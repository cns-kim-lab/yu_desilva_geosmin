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andesilva\Desktop\"/>
    </mc:Choice>
  </mc:AlternateContent>
  <bookViews>
    <workbookView xWindow="28680" yWindow="1680" windowWidth="29040" windowHeight="15720" activeTab="2"/>
  </bookViews>
  <sheets>
    <sheet name="iav G4-kir2.1" sheetId="10" r:id="rId1"/>
    <sheet name="iav lexa-kir2.1" sheetId="9" r:id="rId2"/>
    <sheet name="imm. leg" sheetId="5" r:id="rId3"/>
    <sheet name="Sheet1" sheetId="6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0" l="1"/>
  <c r="D80" i="10"/>
  <c r="G79" i="10"/>
  <c r="D79" i="10"/>
  <c r="G78" i="10"/>
  <c r="D78" i="10"/>
  <c r="G77" i="10"/>
  <c r="D77" i="10"/>
  <c r="G66" i="10"/>
  <c r="D66" i="10"/>
  <c r="G65" i="10"/>
  <c r="D65" i="10"/>
  <c r="G64" i="10"/>
  <c r="D64" i="10"/>
  <c r="G63" i="10"/>
  <c r="D63" i="10"/>
  <c r="G52" i="10"/>
  <c r="D52" i="10"/>
  <c r="G51" i="10"/>
  <c r="D51" i="10"/>
  <c r="G50" i="10"/>
  <c r="D50" i="10"/>
  <c r="G49" i="10"/>
  <c r="D49" i="10"/>
  <c r="G37" i="10"/>
  <c r="D37" i="10"/>
  <c r="G36" i="10"/>
  <c r="D36" i="10"/>
  <c r="G35" i="10"/>
  <c r="D35" i="10"/>
  <c r="G34" i="10"/>
  <c r="D34" i="10"/>
  <c r="G23" i="10"/>
  <c r="D23" i="10"/>
  <c r="G22" i="10"/>
  <c r="D22" i="10"/>
  <c r="G21" i="10"/>
  <c r="D21" i="10"/>
  <c r="G20" i="10"/>
  <c r="D20" i="10"/>
  <c r="G9" i="10"/>
  <c r="D9" i="10"/>
  <c r="G8" i="10"/>
  <c r="D8" i="10"/>
  <c r="G7" i="10"/>
  <c r="D7" i="10"/>
  <c r="G6" i="10"/>
  <c r="D6" i="10"/>
  <c r="G77" i="9"/>
  <c r="D77" i="9"/>
  <c r="G82" i="9"/>
  <c r="D82" i="9"/>
  <c r="G81" i="9"/>
  <c r="D81" i="9"/>
  <c r="G80" i="9"/>
  <c r="D80" i="9"/>
  <c r="G63" i="9"/>
  <c r="D63" i="9"/>
  <c r="G68" i="9"/>
  <c r="D68" i="9"/>
  <c r="G67" i="9"/>
  <c r="D67" i="9"/>
  <c r="G66" i="9"/>
  <c r="D66" i="9"/>
  <c r="G49" i="9"/>
  <c r="D49" i="9"/>
  <c r="G54" i="9"/>
  <c r="D54" i="9"/>
  <c r="G53" i="9"/>
  <c r="D53" i="9"/>
  <c r="G52" i="9"/>
  <c r="D52" i="9"/>
  <c r="G34" i="9"/>
  <c r="D34" i="9"/>
  <c r="G39" i="9"/>
  <c r="D39" i="9"/>
  <c r="G38" i="9"/>
  <c r="D38" i="9"/>
  <c r="G37" i="9"/>
  <c r="D37" i="9"/>
  <c r="G20" i="9"/>
  <c r="D20" i="9"/>
  <c r="G25" i="9"/>
  <c r="D25" i="9"/>
  <c r="G24" i="9"/>
  <c r="D24" i="9"/>
  <c r="G23" i="9"/>
  <c r="D23" i="9"/>
  <c r="G6" i="9"/>
  <c r="D6" i="9"/>
  <c r="G11" i="9"/>
  <c r="D11" i="9"/>
  <c r="G10" i="9"/>
  <c r="D10" i="9"/>
  <c r="G9" i="9"/>
  <c r="D9" i="9"/>
  <c r="G82" i="10" l="1"/>
  <c r="D82" i="10"/>
  <c r="G81" i="10"/>
  <c r="L77" i="10" s="1"/>
  <c r="U14" i="10" s="1"/>
  <c r="D81" i="10"/>
  <c r="L76" i="10" s="1"/>
  <c r="U13" i="10" s="1"/>
  <c r="G68" i="10"/>
  <c r="D68" i="10"/>
  <c r="G67" i="10"/>
  <c r="D67" i="10"/>
  <c r="L63" i="10"/>
  <c r="T14" i="10" s="1"/>
  <c r="L62" i="10"/>
  <c r="T13" i="10" s="1"/>
  <c r="G54" i="10"/>
  <c r="D54" i="10"/>
  <c r="G53" i="10"/>
  <c r="D53" i="10"/>
  <c r="L48" i="10" s="1"/>
  <c r="S13" i="10" s="1"/>
  <c r="L49" i="10"/>
  <c r="S14" i="10" s="1"/>
  <c r="G39" i="10"/>
  <c r="D39" i="10"/>
  <c r="G38" i="10"/>
  <c r="D38" i="10"/>
  <c r="L34" i="10"/>
  <c r="U11" i="10" s="1"/>
  <c r="L33" i="10"/>
  <c r="U10" i="10" s="1"/>
  <c r="G25" i="10"/>
  <c r="D25" i="10"/>
  <c r="G24" i="10"/>
  <c r="D24" i="10"/>
  <c r="L20" i="10"/>
  <c r="T11" i="10" s="1"/>
  <c r="L19" i="10"/>
  <c r="T10" i="10" s="1"/>
  <c r="G11" i="10"/>
  <c r="D11" i="10"/>
  <c r="G10" i="10"/>
  <c r="L6" i="10" s="1"/>
  <c r="S11" i="10" s="1"/>
  <c r="D10" i="10"/>
  <c r="L5" i="10"/>
  <c r="S10" i="10" s="1"/>
  <c r="G79" i="9"/>
  <c r="D79" i="9"/>
  <c r="G78" i="9"/>
  <c r="L77" i="9" s="1"/>
  <c r="U14" i="9" s="1"/>
  <c r="D78" i="9"/>
  <c r="G65" i="9"/>
  <c r="K63" i="9" s="1"/>
  <c r="P14" i="9" s="1"/>
  <c r="D65" i="9"/>
  <c r="K62" i="9" s="1"/>
  <c r="P13" i="9" s="1"/>
  <c r="G64" i="9"/>
  <c r="D64" i="9"/>
  <c r="L62" i="9" s="1"/>
  <c r="T13" i="9" s="1"/>
  <c r="L63" i="9"/>
  <c r="T14" i="9" s="1"/>
  <c r="G51" i="9"/>
  <c r="D51" i="9"/>
  <c r="G50" i="9"/>
  <c r="L49" i="9" s="1"/>
  <c r="S14" i="9" s="1"/>
  <c r="D50" i="9"/>
  <c r="K49" i="9"/>
  <c r="O14" i="9" s="1"/>
  <c r="G36" i="9"/>
  <c r="K34" i="9" s="1"/>
  <c r="Q11" i="9" s="1"/>
  <c r="D36" i="9"/>
  <c r="G35" i="9"/>
  <c r="D35" i="9"/>
  <c r="L33" i="9" s="1"/>
  <c r="U10" i="9" s="1"/>
  <c r="K33" i="9"/>
  <c r="Q10" i="9" s="1"/>
  <c r="G22" i="9"/>
  <c r="D22" i="9"/>
  <c r="G21" i="9"/>
  <c r="L20" i="9" s="1"/>
  <c r="T11" i="9" s="1"/>
  <c r="D21" i="9"/>
  <c r="L19" i="9" s="1"/>
  <c r="T10" i="9" s="1"/>
  <c r="G8" i="9"/>
  <c r="D8" i="9"/>
  <c r="G7" i="9"/>
  <c r="D7" i="9"/>
  <c r="L6" i="9"/>
  <c r="S11" i="9" s="1"/>
  <c r="K6" i="9"/>
  <c r="O11" i="9" s="1"/>
  <c r="K77" i="9" l="1"/>
  <c r="Q14" i="9" s="1"/>
  <c r="L76" i="9"/>
  <c r="U13" i="9" s="1"/>
  <c r="K76" i="9"/>
  <c r="Q13" i="9" s="1"/>
  <c r="K19" i="9"/>
  <c r="P10" i="9" s="1"/>
  <c r="K48" i="9"/>
  <c r="O13" i="9" s="1"/>
  <c r="L5" i="9"/>
  <c r="S10" i="9" s="1"/>
  <c r="K5" i="9"/>
  <c r="O10" i="9" s="1"/>
  <c r="K20" i="9"/>
  <c r="P11" i="9" s="1"/>
  <c r="L34" i="9"/>
  <c r="U11" i="9" s="1"/>
  <c r="L48" i="9"/>
  <c r="S13" i="9" s="1"/>
  <c r="K5" i="10"/>
  <c r="O10" i="10" s="1"/>
  <c r="K6" i="10"/>
  <c r="O11" i="10" s="1"/>
  <c r="K19" i="10"/>
  <c r="P10" i="10" s="1"/>
  <c r="K20" i="10"/>
  <c r="P11" i="10" s="1"/>
  <c r="K33" i="10"/>
  <c r="Q10" i="10" s="1"/>
  <c r="K34" i="10"/>
  <c r="Q11" i="10" s="1"/>
  <c r="K48" i="10"/>
  <c r="O13" i="10" s="1"/>
  <c r="K49" i="10"/>
  <c r="O14" i="10" s="1"/>
  <c r="K62" i="10"/>
  <c r="P13" i="10" s="1"/>
  <c r="K63" i="10"/>
  <c r="P14" i="10" s="1"/>
  <c r="K76" i="10"/>
  <c r="Q13" i="10" s="1"/>
  <c r="K77" i="10"/>
  <c r="Q14" i="10" s="1"/>
  <c r="D81" i="5" l="1"/>
  <c r="D82" i="5"/>
  <c r="D67" i="5"/>
  <c r="D68" i="5"/>
  <c r="D54" i="5"/>
  <c r="D53" i="5"/>
  <c r="D38" i="5"/>
  <c r="D39" i="5"/>
  <c r="L77" i="5"/>
  <c r="L63" i="5"/>
  <c r="L49" i="5"/>
  <c r="L48" i="5"/>
  <c r="L34" i="5"/>
  <c r="L20" i="5"/>
  <c r="L6" i="5"/>
  <c r="L5" i="5"/>
  <c r="D25" i="5"/>
  <c r="D24" i="5"/>
  <c r="D11" i="5"/>
  <c r="D10" i="5"/>
  <c r="G82" i="5"/>
  <c r="G81" i="5"/>
  <c r="G68" i="5"/>
  <c r="G67" i="5"/>
  <c r="G54" i="5"/>
  <c r="G53" i="5"/>
  <c r="G38" i="5"/>
  <c r="G39" i="5"/>
  <c r="G25" i="5"/>
  <c r="G24" i="5"/>
  <c r="G11" i="5"/>
  <c r="G10" i="5"/>
  <c r="D80" i="5" l="1"/>
  <c r="D66" i="5"/>
  <c r="D52" i="5"/>
  <c r="G80" i="5"/>
  <c r="G66" i="5"/>
  <c r="G52" i="5"/>
  <c r="G37" i="5"/>
  <c r="G23" i="5"/>
  <c r="G9" i="5"/>
  <c r="D37" i="5"/>
  <c r="D9" i="5"/>
  <c r="D23" i="5"/>
  <c r="G78" i="5" l="1"/>
  <c r="G79" i="5"/>
  <c r="G64" i="5"/>
  <c r="G65" i="5"/>
  <c r="G50" i="5"/>
  <c r="G51" i="5"/>
  <c r="D79" i="5"/>
  <c r="D78" i="5"/>
  <c r="G77" i="5"/>
  <c r="D77" i="5"/>
  <c r="L76" i="5" s="1"/>
  <c r="D65" i="5"/>
  <c r="D64" i="5"/>
  <c r="G63" i="5"/>
  <c r="D63" i="5"/>
  <c r="L62" i="5" s="1"/>
  <c r="D51" i="5"/>
  <c r="D50" i="5"/>
  <c r="G49" i="5"/>
  <c r="D49" i="5"/>
  <c r="G36" i="5"/>
  <c r="D36" i="5"/>
  <c r="G35" i="5"/>
  <c r="D35" i="5"/>
  <c r="G34" i="5"/>
  <c r="D34" i="5"/>
  <c r="G22" i="5"/>
  <c r="D22" i="5"/>
  <c r="G21" i="5"/>
  <c r="D21" i="5"/>
  <c r="G20" i="5"/>
  <c r="K20" i="5" s="1"/>
  <c r="D20" i="5"/>
  <c r="G8" i="5"/>
  <c r="D8" i="5"/>
  <c r="G7" i="5"/>
  <c r="D7" i="5"/>
  <c r="G6" i="5"/>
  <c r="K6" i="5" s="1"/>
  <c r="D6" i="5"/>
  <c r="L33" i="5" l="1"/>
  <c r="U10" i="5" s="1"/>
  <c r="L19" i="5"/>
  <c r="T10" i="5" s="1"/>
  <c r="K19" i="5"/>
  <c r="P10" i="5" s="1"/>
  <c r="K5" i="5"/>
  <c r="O10" i="5" s="1"/>
  <c r="U14" i="5"/>
  <c r="T13" i="5"/>
  <c r="T14" i="5"/>
  <c r="U11" i="5"/>
  <c r="S10" i="5"/>
  <c r="S14" i="5"/>
  <c r="T11" i="5"/>
  <c r="S13" i="5"/>
  <c r="S11" i="5"/>
  <c r="U13" i="5"/>
  <c r="O11" i="5"/>
  <c r="P11" i="5"/>
  <c r="K77" i="5"/>
  <c r="Q14" i="5" s="1"/>
  <c r="K49" i="5"/>
  <c r="O14" i="5" s="1"/>
  <c r="K33" i="5"/>
  <c r="Q10" i="5" s="1"/>
  <c r="K34" i="5"/>
  <c r="Q11" i="5" s="1"/>
  <c r="K63" i="5"/>
  <c r="P14" i="5" s="1"/>
  <c r="K48" i="5"/>
  <c r="O13" i="5" s="1"/>
  <c r="K62" i="5"/>
  <c r="P13" i="5" s="1"/>
  <c r="K76" i="5"/>
  <c r="Q13" i="5" s="1"/>
</calcChain>
</file>

<file path=xl/sharedStrings.xml><?xml version="1.0" encoding="utf-8"?>
<sst xmlns="http://schemas.openxmlformats.org/spreadsheetml/2006/main" count="260" uniqueCount="29">
  <si>
    <t>10mM Suc.</t>
    <phoneticPr fontId="1" type="noConversion"/>
  </si>
  <si>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</si>
  <si>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</si>
  <si>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</si>
  <si>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</si>
  <si>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</si>
  <si>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</si>
  <si>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50mM Suc.</t>
    <phoneticPr fontId="1" type="noConversion"/>
  </si>
  <si>
    <t>PER (average)</t>
  </si>
  <si>
    <t>Plate #</t>
  </si>
  <si>
    <t>Response Rate</t>
    <phoneticPr fontId="1" type="noConversion"/>
  </si>
  <si>
    <t>SEM</t>
    <phoneticPr fontId="1" type="noConversion"/>
  </si>
  <si>
    <t xml:space="preserve">Fed - Tarsal PER/ Modified PER </t>
    <phoneticPr fontId="1" type="noConversion"/>
  </si>
  <si>
    <t xml:space="preserve">  </t>
    <phoneticPr fontId="1" type="noConversion"/>
  </si>
  <si>
    <t>10mM Suc.</t>
  </si>
  <si>
    <t>50mM Suc.</t>
  </si>
  <si>
    <t>100mM Suc.</t>
  </si>
  <si>
    <t>immobilized leg</t>
  </si>
  <si>
    <t>immobilized leg &amp; Geo</t>
  </si>
  <si>
    <t>movable leg</t>
  </si>
  <si>
    <t>movable leg &amp; Geo</t>
  </si>
  <si>
    <t>/LexAop-Kir2.1</t>
  </si>
  <si>
    <t>IAV-LexA&gt;Kir2.1</t>
  </si>
  <si>
    <t>/LexAop-Kir2.1 &amp; Geo</t>
  </si>
  <si>
    <t>IAV-LexA&gt;Kir2.1 &amp; Geo</t>
  </si>
  <si>
    <t>/UAS-Kir2.1</t>
  </si>
  <si>
    <t>IAV&gt;Kir2.1</t>
  </si>
  <si>
    <t>/UAS-Kir2.1 &amp; Geo</t>
  </si>
  <si>
    <t>IAV&gt;Kir2.1 &amp; 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</si>
</sst>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9"/>
      <color rgb="FF000000"/>
      <name val="Arial"/>
      <family val="2"/>
    </font>
    <font>
      <i/>
      <sz val="8"/>
      <color theme="1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0" borderId="4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7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6" fillId="0" borderId="4" xfId="0" applyFont="1" applyBorder="1">
      <alignment vertical="center"/>
    </xf>
    <xf numFmtId="0" fontId="6" fillId="4" borderId="4" xfId="0" applyFont="1" applyFill="1" applyBorder="1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7" fillId="5" borderId="4" xfId="0" applyFont="1" applyFill="1" applyBorder="1">
      <alignment vertical="center"/>
    </xf>
    <xf numFmtId="0" fontId="3" fillId="5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7" fillId="6" borderId="4" xfId="0" applyFont="1" applyFill="1" applyBorder="1">
      <alignment vertical="center"/>
    </xf>
    <xf numFmtId="0" fontId="3" fillId="6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7" borderId="4" xfId="0" applyFont="1" applyFill="1" applyBorder="1">
      <alignment vertical="center"/>
    </xf>
    <xf numFmtId="0" fontId="3" fillId="7" borderId="0" xfId="0" applyFont="1" applyFill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4" borderId="4" xfId="0" applyFont="1" applyFill="1" applyBorder="1">
      <alignment vertical="center"/>
    </xf>
    <xf numFmtId="0" fontId="5" fillId="5" borderId="0" xfId="0" applyFont="1" applyFill="1">
      <alignment vertical="center"/>
    </xf>
    <xf numFmtId="0" fontId="5" fillId="5" borderId="4" xfId="0" applyFont="1" applyFill="1" applyBorder="1">
      <alignment vertical="center"/>
    </xf>
    <xf numFmtId="0" fontId="6" fillId="7" borderId="4" xfId="0" applyFont="1" applyFill="1" applyBorder="1">
      <alignment vertical="center"/>
    </xf>
    <xf numFmtId="0" fontId="5" fillId="6" borderId="4" xfId="0" applyFont="1" applyFill="1" applyBorder="1">
      <alignment vertical="center"/>
    </xf>
    <xf numFmtId="0" fontId="5" fillId="6" borderId="0" xfId="0" applyFont="1" applyFill="1">
      <alignment vertical="center"/>
    </xf>
    <xf numFmtId="0" fontId="3" fillId="6" borderId="4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'iav G4-kir2.1'!$N$10</c:f>
              <c:strCache>
                <c:ptCount val="1"/>
                <c:pt idx="0">
                  <c:v>/UAS-Kir2.1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G4-kir2.1'!$S$10:$U$10</c:f>
                <c:numCache>
                  <c:formatCode>General</c:formatCode>
                  <c:ptCount val="3"/>
                  <c:pt idx="0">
                    <c:v>3.6746545987008224E-2</c:v>
                  </c:pt>
                  <c:pt idx="1">
                    <c:v>2.344714307796417E-2</c:v>
                  </c:pt>
                  <c:pt idx="2">
                    <c:v>5.2337343559491149E-2</c:v>
                  </c:pt>
                </c:numCache>
              </c:numRef>
            </c:plus>
            <c:minus>
              <c:numRef>
                <c:f>'iav G4-kir2.1'!$S$10:$U$10</c:f>
                <c:numCache>
                  <c:formatCode>General</c:formatCode>
                  <c:ptCount val="3"/>
                  <c:pt idx="0">
                    <c:v>3.6746545987008224E-2</c:v>
                  </c:pt>
                  <c:pt idx="1">
                    <c:v>2.344714307796417E-2</c:v>
                  </c:pt>
                  <c:pt idx="2">
                    <c:v>5.2337343559491149E-2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G4-kir2.1'!$O$9:$Q$9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G4-kir2.1'!$O$10:$Q$10</c:f>
              <c:numCache>
                <c:formatCode>General</c:formatCode>
                <c:ptCount val="3"/>
                <c:pt idx="0">
                  <c:v>0.15277777777777776</c:v>
                </c:pt>
                <c:pt idx="1">
                  <c:v>0.27083333333333331</c:v>
                </c:pt>
                <c:pt idx="2">
                  <c:v>0.51388888888888884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6-45A2-8B20-F00B4A6238BE}"/>
            </c:ext>
          </c:extLst>
        </c:ser>
        <c:ser>
          <c:idx val="2"/>
          <c:order val="1"/>
          <c:tx>
            <c:strRef>
              <c:f>'iav G4-kir2.1'!$N$11</c:f>
              <c:strCache>
                <c:ptCount val="1"/>
                <c:pt idx="0">
                  <c:v>IAV&gt;Kir2.1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G4-kir2.1'!$S$11:$U$11</c:f>
                <c:numCache>
                  <c:formatCode>General</c:formatCode>
                  <c:ptCount val="3"/>
                  <c:pt idx="0">
                    <c:v>4.3033148291193576E-2</c:v>
                  </c:pt>
                  <c:pt idx="1">
                    <c:v>5.8597286415913871E-2</c:v>
                  </c:pt>
                  <c:pt idx="2">
                    <c:v>6.4325200982830122E-2</c:v>
                  </c:pt>
                </c:numCache>
              </c:numRef>
            </c:plus>
            <c:minus>
              <c:numRef>
                <c:f>'iav G4-kir2.1'!$S$11:$U$11</c:f>
                <c:numCache>
                  <c:formatCode>General</c:formatCode>
                  <c:ptCount val="3"/>
                  <c:pt idx="0">
                    <c:v>4.3033148291193576E-2</c:v>
                  </c:pt>
                  <c:pt idx="1">
                    <c:v>5.8597286415913871E-2</c:v>
                  </c:pt>
                  <c:pt idx="2">
                    <c:v>6.4325200982830122E-2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G4-kir2.1'!$O$9:$Q$9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G4-kir2.1'!$O$11:$Q$11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0.44444444444444448</c:v>
                </c:pt>
                <c:pt idx="2">
                  <c:v>0.5625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C6-45A2-8B20-F00B4A6238BE}"/>
            </c:ext>
          </c:extLst>
        </c:ser>
        <c:ser>
          <c:idx val="1"/>
          <c:order val="2"/>
          <c:tx>
            <c:strRef>
              <c:f>'iav G4-kir2.1'!$N$12</c:f>
              <c:strCache>
                <c:ptCount val="1"/>
              </c:strCache>
            </c:strRef>
          </c:tx>
          <c:spPr>
            <a:ln w="19050" cap="flat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G4-kir2.1'!$S$12:$U$12</c:f>
                <c:numCache>
                  <c:formatCode>General</c:formatCode>
                  <c:ptCount val="3"/>
                </c:numCache>
              </c:numRef>
            </c:plus>
            <c:minus>
              <c:numRef>
                <c:f>'iav G4-kir2.1'!$S$12:$U$12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G4-kir2.1'!$O$9:$Q$9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G4-kir2.1'!$O$12:$Q$12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C6-45A2-8B20-F00B4A6238BE}"/>
            </c:ext>
          </c:extLst>
        </c:ser>
        <c:ser>
          <c:idx val="3"/>
          <c:order val="3"/>
          <c:tx>
            <c:strRef>
              <c:f>'iav G4-kir2.1'!$N$13</c:f>
              <c:strCache>
                <c:ptCount val="1"/>
                <c:pt idx="0">
                  <c:v>/UAS-Kir2.1 &amp; Geo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G4-kir2.1'!$S$13:$U$13</c:f>
                <c:numCache>
                  <c:formatCode>General</c:formatCode>
                  <c:ptCount val="3"/>
                  <c:pt idx="0">
                    <c:v>2.9788348041010031E-2</c:v>
                  </c:pt>
                  <c:pt idx="1">
                    <c:v>3.1671539586087177E-2</c:v>
                  </c:pt>
                  <c:pt idx="2">
                    <c:v>5.1594932280574213E-2</c:v>
                  </c:pt>
                </c:numCache>
              </c:numRef>
            </c:plus>
            <c:minus>
              <c:numRef>
                <c:f>'iav G4-kir2.1'!$S$13:$U$13</c:f>
                <c:numCache>
                  <c:formatCode>General</c:formatCode>
                  <c:ptCount val="3"/>
                  <c:pt idx="0">
                    <c:v>2.9788348041010031E-2</c:v>
                  </c:pt>
                  <c:pt idx="1">
                    <c:v>3.1671539586087177E-2</c:v>
                  </c:pt>
                  <c:pt idx="2">
                    <c:v>5.1594932280574213E-2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G4-kir2.1'!$O$9:$Q$9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G4-kir2.1'!$O$13:$Q$13</c:f>
              <c:numCache>
                <c:formatCode>General</c:formatCode>
                <c:ptCount val="3"/>
                <c:pt idx="0">
                  <c:v>9.722222222222221E-2</c:v>
                </c:pt>
                <c:pt idx="1">
                  <c:v>0.15277777777777776</c:v>
                </c:pt>
                <c:pt idx="2">
                  <c:v>0.29166666666666669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C6-45A2-8B20-F00B4A6238BE}"/>
            </c:ext>
          </c:extLst>
        </c:ser>
        <c:ser>
          <c:idx val="4"/>
          <c:order val="4"/>
          <c:tx>
            <c:strRef>
              <c:f>'iav G4-kir2.1'!$N$14</c:f>
              <c:strCache>
                <c:ptCount val="1"/>
                <c:pt idx="0">
                  <c:v>IAV&gt;Kir2.1 &amp; Geo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1"/>
            <c:marker>
              <c:symbol val="triangle"/>
              <c:size val="5"/>
              <c:spPr>
                <a:solidFill>
                  <a:schemeClr val="accent1">
                    <a:lumMod val="20000"/>
                    <a:lumOff val="80000"/>
                  </a:schemeClr>
                </a:solidFill>
                <a:ln w="9525"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20000"/>
                    <a:lumOff val="80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CAD-41C6-991F-1F7728FC2FF2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'iav G4-kir2.1'!$S$14:$U$14</c:f>
                <c:numCache>
                  <c:formatCode>General</c:formatCode>
                  <c:ptCount val="3"/>
                  <c:pt idx="0">
                    <c:v>4.1317985501787557E-2</c:v>
                  </c:pt>
                  <c:pt idx="1">
                    <c:v>3.2274861218395144E-2</c:v>
                  </c:pt>
                  <c:pt idx="2">
                    <c:v>5.7601225981465942E-2</c:v>
                  </c:pt>
                </c:numCache>
              </c:numRef>
            </c:plus>
            <c:minus>
              <c:numRef>
                <c:f>'iav G4-kir2.1'!$S$14:$U$14</c:f>
                <c:numCache>
                  <c:formatCode>General</c:formatCode>
                  <c:ptCount val="3"/>
                  <c:pt idx="0">
                    <c:v>4.1317985501787557E-2</c:v>
                  </c:pt>
                  <c:pt idx="1">
                    <c:v>3.2274861218395144E-2</c:v>
                  </c:pt>
                  <c:pt idx="2">
                    <c:v>5.7601225981465942E-2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G4-kir2.1'!$O$9:$Q$9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G4-kir2.1'!$O$14:$Q$14</c:f>
              <c:numCache>
                <c:formatCode>General</c:formatCode>
                <c:ptCount val="3"/>
                <c:pt idx="0">
                  <c:v>0.27083333333333331</c:v>
                </c:pt>
                <c:pt idx="1">
                  <c:v>0.375</c:v>
                </c:pt>
                <c:pt idx="2">
                  <c:v>0.56944444444444453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C6-45A2-8B20-F00B4A6238BE}"/>
            </c:ext>
          </c:extLst>
        </c:ser>
        <c:ser>
          <c:idx val="5"/>
          <c:order val="5"/>
          <c:tx>
            <c:strRef>
              <c:f>'iav G4-kir2.1'!$N$15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G4-kir2.1'!$S$15:$U$15</c:f>
                <c:numCache>
                  <c:formatCode>General</c:formatCode>
                  <c:ptCount val="3"/>
                </c:numCache>
              </c:numRef>
            </c:plus>
            <c:minus>
              <c:numRef>
                <c:f>'iav G4-kir2.1'!$S$15:$U$15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G4-kir2.1'!$O$9:$Q$9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G4-kir2.1'!$O$15:$Q$15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C6-45A2-8B20-F00B4A623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5"/>
        <c:delete val="1"/>
      </c:legendEntry>
      <c:layout>
        <c:manualLayout>
          <c:xMode val="edge"/>
          <c:yMode val="edge"/>
          <c:x val="5.0357485953053817E-2"/>
          <c:y val="0.66293839464246029"/>
          <c:w val="0.92280346577009753"/>
          <c:h val="0.22683953208862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'iav lexa-kir2.1'!$N$10</c:f>
              <c:strCache>
                <c:ptCount val="1"/>
                <c:pt idx="0">
                  <c:v>/LexAop-Kir2.1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lexa-kir2.1'!$S$10:$U$10</c:f>
                <c:numCache>
                  <c:formatCode>General</c:formatCode>
                  <c:ptCount val="3"/>
                  <c:pt idx="0">
                    <c:v>2.9298643207956967E-2</c:v>
                  </c:pt>
                  <c:pt idx="1">
                    <c:v>2.9298643207956967E-2</c:v>
                  </c:pt>
                  <c:pt idx="2">
                    <c:v>5.0936446724700546E-2</c:v>
                  </c:pt>
                </c:numCache>
              </c:numRef>
            </c:plus>
            <c:minus>
              <c:numRef>
                <c:f>'iav lexa-kir2.1'!$S$10:$U$10</c:f>
                <c:numCache>
                  <c:formatCode>General</c:formatCode>
                  <c:ptCount val="3"/>
                  <c:pt idx="0">
                    <c:v>2.9298643207956967E-2</c:v>
                  </c:pt>
                  <c:pt idx="1">
                    <c:v>2.9298643207956967E-2</c:v>
                  </c:pt>
                  <c:pt idx="2">
                    <c:v>5.0936446724700546E-2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lexa-kir2.1'!$O$9:$Q$9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lexa-kir2.1'!$O$10:$Q$10</c:f>
              <c:numCache>
                <c:formatCode>General</c:formatCode>
                <c:ptCount val="3"/>
                <c:pt idx="0">
                  <c:v>0.17361111111111108</c:v>
                </c:pt>
                <c:pt idx="1">
                  <c:v>0.2986111111111111</c:v>
                </c:pt>
                <c:pt idx="2">
                  <c:v>0.50694444444444453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C-48C1-9522-9BDC9CA73A81}"/>
            </c:ext>
          </c:extLst>
        </c:ser>
        <c:ser>
          <c:idx val="2"/>
          <c:order val="1"/>
          <c:tx>
            <c:strRef>
              <c:f>'iav lexa-kir2.1'!$N$11</c:f>
              <c:strCache>
                <c:ptCount val="1"/>
                <c:pt idx="0">
                  <c:v>IAV-LexA&gt;Kir2.1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bevel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lexa-kir2.1'!$S$11:$U$11</c:f>
                <c:numCache>
                  <c:formatCode>General</c:formatCode>
                  <c:ptCount val="3"/>
                  <c:pt idx="0">
                    <c:v>4.269562819149833E-2</c:v>
                  </c:pt>
                  <c:pt idx="1">
                    <c:v>5.7349507839062827E-2</c:v>
                  </c:pt>
                  <c:pt idx="2">
                    <c:v>6.1488732281051915E-2</c:v>
                  </c:pt>
                </c:numCache>
              </c:numRef>
            </c:plus>
            <c:minus>
              <c:numRef>
                <c:f>'iav lexa-kir2.1'!$S$11:$U$11</c:f>
                <c:numCache>
                  <c:formatCode>General</c:formatCode>
                  <c:ptCount val="3"/>
                  <c:pt idx="0">
                    <c:v>4.269562819149833E-2</c:v>
                  </c:pt>
                  <c:pt idx="1">
                    <c:v>5.7349507839062827E-2</c:v>
                  </c:pt>
                  <c:pt idx="2">
                    <c:v>6.1488732281051915E-2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lexa-kir2.1'!$O$9:$Q$9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lexa-kir2.1'!$O$11:$Q$11</c:f>
              <c:numCache>
                <c:formatCode>General</c:formatCode>
                <c:ptCount val="3"/>
                <c:pt idx="0">
                  <c:v>0.3125</c:v>
                </c:pt>
                <c:pt idx="1">
                  <c:v>0.49305555555555552</c:v>
                </c:pt>
                <c:pt idx="2">
                  <c:v>0.55555555555555547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C-48C1-9522-9BDC9CA73A81}"/>
            </c:ext>
          </c:extLst>
        </c:ser>
        <c:ser>
          <c:idx val="1"/>
          <c:order val="2"/>
          <c:tx>
            <c:strRef>
              <c:f>'iav lexa-kir2.1'!$N$12</c:f>
              <c:strCache>
                <c:ptCount val="1"/>
              </c:strCache>
            </c:strRef>
          </c:tx>
          <c:spPr>
            <a:ln w="19050" cap="flat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lexa-kir2.1'!$S$12:$U$12</c:f>
                <c:numCache>
                  <c:formatCode>General</c:formatCode>
                  <c:ptCount val="3"/>
                </c:numCache>
              </c:numRef>
            </c:plus>
            <c:minus>
              <c:numRef>
                <c:f>'iav lexa-kir2.1'!$S$12:$U$12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lexa-kir2.1'!$O$9:$Q$9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lexa-kir2.1'!$O$12:$Q$12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C-48C1-9522-9BDC9CA73A81}"/>
            </c:ext>
          </c:extLst>
        </c:ser>
        <c:ser>
          <c:idx val="3"/>
          <c:order val="3"/>
          <c:tx>
            <c:strRef>
              <c:f>'iav lexa-kir2.1'!$N$13</c:f>
              <c:strCache>
                <c:ptCount val="1"/>
                <c:pt idx="0">
                  <c:v>/LexAop-Kir2.1 &amp; Geo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lexa-kir2.1'!$S$13:$U$13</c:f>
                <c:numCache>
                  <c:formatCode>General</c:formatCode>
                  <c:ptCount val="3"/>
                  <c:pt idx="0">
                    <c:v>2.7777777777777787E-2</c:v>
                  </c:pt>
                  <c:pt idx="1">
                    <c:v>3.2274861218395158E-2</c:v>
                  </c:pt>
                  <c:pt idx="2">
                    <c:v>5.3791435363991912E-2</c:v>
                  </c:pt>
                </c:numCache>
              </c:numRef>
            </c:plus>
            <c:minus>
              <c:numRef>
                <c:f>'iav lexa-kir2.1'!$S$13:$U$13</c:f>
                <c:numCache>
                  <c:formatCode>General</c:formatCode>
                  <c:ptCount val="3"/>
                  <c:pt idx="0">
                    <c:v>2.7777777777777787E-2</c:v>
                  </c:pt>
                  <c:pt idx="1">
                    <c:v>3.2274861218395158E-2</c:v>
                  </c:pt>
                  <c:pt idx="2">
                    <c:v>5.3791435363991912E-2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lexa-kir2.1'!$O$9:$Q$9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lexa-kir2.1'!$O$13:$Q$13</c:f>
              <c:numCache>
                <c:formatCode>General</c:formatCode>
                <c:ptCount val="3"/>
                <c:pt idx="0">
                  <c:v>0.1111111111111111</c:v>
                </c:pt>
                <c:pt idx="1">
                  <c:v>0.16666666666666666</c:v>
                </c:pt>
                <c:pt idx="2">
                  <c:v>0.29166666666666669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5C-48C1-9522-9BDC9CA73A81}"/>
            </c:ext>
          </c:extLst>
        </c:ser>
        <c:ser>
          <c:idx val="4"/>
          <c:order val="4"/>
          <c:tx>
            <c:strRef>
              <c:f>'iav lexa-kir2.1'!$N$14</c:f>
              <c:strCache>
                <c:ptCount val="1"/>
                <c:pt idx="0">
                  <c:v>IAV-LexA&gt;Kir2.1 &amp; Geo</c:v>
                </c:pt>
              </c:strCache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lexa-kir2.1'!$S$14:$U$14</c:f>
                <c:numCache>
                  <c:formatCode>General</c:formatCode>
                  <c:ptCount val="3"/>
                  <c:pt idx="0">
                    <c:v>4.1317985501787578E-2</c:v>
                  </c:pt>
                  <c:pt idx="1">
                    <c:v>3.977172517576761E-2</c:v>
                  </c:pt>
                  <c:pt idx="2">
                    <c:v>5.7601225981466012E-2</c:v>
                  </c:pt>
                </c:numCache>
              </c:numRef>
            </c:plus>
            <c:minus>
              <c:numRef>
                <c:f>'iav lexa-kir2.1'!$S$14:$U$14</c:f>
                <c:numCache>
                  <c:formatCode>General</c:formatCode>
                  <c:ptCount val="3"/>
                  <c:pt idx="0">
                    <c:v>4.1317985501787578E-2</c:v>
                  </c:pt>
                  <c:pt idx="1">
                    <c:v>3.977172517576761E-2</c:v>
                  </c:pt>
                  <c:pt idx="2">
                    <c:v>5.7601225981466012E-2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lexa-kir2.1'!$O$9:$Q$9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lexa-kir2.1'!$O$14:$Q$14</c:f>
              <c:numCache>
                <c:formatCode>General</c:formatCode>
                <c:ptCount val="3"/>
                <c:pt idx="0">
                  <c:v>0.27083333333333331</c:v>
                </c:pt>
                <c:pt idx="1">
                  <c:v>0.40277777777777785</c:v>
                </c:pt>
                <c:pt idx="2">
                  <c:v>0.56944444444444442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5C-48C1-9522-9BDC9CA73A81}"/>
            </c:ext>
          </c:extLst>
        </c:ser>
        <c:ser>
          <c:idx val="5"/>
          <c:order val="5"/>
          <c:tx>
            <c:strRef>
              <c:f>'iav lexa-kir2.1'!$N$15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'iav lexa-kir2.1'!$S$15:$U$15</c:f>
                <c:numCache>
                  <c:formatCode>General</c:formatCode>
                  <c:ptCount val="3"/>
                </c:numCache>
              </c:numRef>
            </c:plus>
            <c:minus>
              <c:numRef>
                <c:f>'iav lexa-kir2.1'!$S$15:$U$15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'iav lexa-kir2.1'!$O$9:$Q$9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'iav lexa-kir2.1'!$O$15:$Q$15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5C-48C1-9522-9BDC9CA73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5"/>
        <c:delete val="1"/>
      </c:legendEntry>
      <c:layout>
        <c:manualLayout>
          <c:xMode val="edge"/>
          <c:yMode val="edge"/>
          <c:x val="5.0357485953053817E-2"/>
          <c:y val="0.66293839464246029"/>
          <c:w val="0.92280346577009753"/>
          <c:h val="0.22683953208862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'imm. leg'!$N$10</c:f>
              <c:strCache>
                <c:ptCount val="1"/>
                <c:pt idx="0">
                  <c:v>movable leg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'imm. leg'!$S$10:$U$10</c:f>
                <c:numCache>
                  <c:formatCode>General</c:formatCode>
                  <c:ptCount val="3"/>
                  <c:pt idx="0">
                    <c:v>3.6350700911951112E-2</c:v>
                  </c:pt>
                  <c:pt idx="1">
                    <c:v>3.9771725175767679E-2</c:v>
                  </c:pt>
                  <c:pt idx="2">
                    <c:v>6.4024614286756099E-2</c:v>
                  </c:pt>
                </c:numCache>
              </c:numRef>
            </c:plus>
            <c:minus>
              <c:numRef>
                <c:f>'imm. leg'!$S$10:$U$10</c:f>
                <c:numCache>
                  <c:formatCode>General</c:formatCode>
                  <c:ptCount val="3"/>
                  <c:pt idx="0">
                    <c:v>3.6350700911951112E-2</c:v>
                  </c:pt>
                  <c:pt idx="1">
                    <c:v>3.9771725175767679E-2</c:v>
                  </c:pt>
                  <c:pt idx="2">
                    <c:v>6.4024614286756099E-2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'imm. leg'!$O$9:$Q$9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'imm. leg'!$O$10:$Q$10</c:f>
              <c:numCache>
                <c:formatCode>General</c:formatCode>
                <c:ptCount val="3"/>
                <c:pt idx="0">
                  <c:v>0.17361111111111113</c:v>
                </c:pt>
                <c:pt idx="1">
                  <c:v>0.2638888888888889</c:v>
                </c:pt>
                <c:pt idx="2">
                  <c:v>0.49305555555555558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F-490B-AD98-607B5B8000E2}"/>
            </c:ext>
          </c:extLst>
        </c:ser>
        <c:ser>
          <c:idx val="2"/>
          <c:order val="1"/>
          <c:tx>
            <c:strRef>
              <c:f>'imm. leg'!$N$11</c:f>
              <c:strCache>
                <c:ptCount val="1"/>
                <c:pt idx="0">
                  <c:v>immobilized leg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bevel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'imm. leg'!$S$11:$U$11</c:f>
                <c:numCache>
                  <c:formatCode>General</c:formatCode>
                  <c:ptCount val="3"/>
                  <c:pt idx="0">
                    <c:v>5.0936446724700726E-2</c:v>
                  </c:pt>
                  <c:pt idx="1">
                    <c:v>5.0173310744967878E-2</c:v>
                  </c:pt>
                  <c:pt idx="2">
                    <c:v>6.7757282875835864E-2</c:v>
                  </c:pt>
                </c:numCache>
              </c:numRef>
            </c:plus>
            <c:minus>
              <c:numRef>
                <c:f>'imm. leg'!$S$11:$U$11</c:f>
                <c:numCache>
                  <c:formatCode>General</c:formatCode>
                  <c:ptCount val="3"/>
                  <c:pt idx="0">
                    <c:v>5.0936446724700726E-2</c:v>
                  </c:pt>
                  <c:pt idx="1">
                    <c:v>5.0173310744967878E-2</c:v>
                  </c:pt>
                  <c:pt idx="2">
                    <c:v>6.7757282875835864E-2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'imm. leg'!$O$9:$Q$9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'imm. leg'!$O$11:$Q$11</c:f>
              <c:numCache>
                <c:formatCode>General</c:formatCode>
                <c:ptCount val="3"/>
                <c:pt idx="0">
                  <c:v>0.34027777777777773</c:v>
                </c:pt>
                <c:pt idx="1">
                  <c:v>0.47916666666666669</c:v>
                </c:pt>
                <c:pt idx="2">
                  <c:v>0.56944444444444442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F-490B-AD98-607B5B8000E2}"/>
            </c:ext>
          </c:extLst>
        </c:ser>
        <c:ser>
          <c:idx val="1"/>
          <c:order val="2"/>
          <c:tx>
            <c:strRef>
              <c:f>'imm. leg'!$N$12</c:f>
              <c:strCache>
                <c:ptCount val="1"/>
              </c:strCache>
            </c:strRef>
          </c:tx>
          <c:spPr>
            <a:ln w="19050" cap="flat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'imm. leg'!$S$12:$U$12</c:f>
                <c:numCache>
                  <c:formatCode>General</c:formatCode>
                  <c:ptCount val="3"/>
                </c:numCache>
              </c:numRef>
            </c:plus>
            <c:minus>
              <c:numRef>
                <c:f>'imm. leg'!$S$12:$U$12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'imm. leg'!$O$9:$Q$9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'imm. leg'!$O$12:$Q$12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F-490B-AD98-607B5B8000E2}"/>
            </c:ext>
          </c:extLst>
        </c:ser>
        <c:ser>
          <c:idx val="3"/>
          <c:order val="3"/>
          <c:tx>
            <c:strRef>
              <c:f>'imm. leg'!$N$13</c:f>
              <c:strCache>
                <c:ptCount val="1"/>
                <c:pt idx="0">
                  <c:v>movable leg &amp; Geo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'imm. leg'!$S$13:$U$13</c:f>
                <c:numCache>
                  <c:formatCode>General</c:formatCode>
                  <c:ptCount val="3"/>
                  <c:pt idx="0">
                    <c:v>2.777777777777779E-2</c:v>
                  </c:pt>
                  <c:pt idx="1">
                    <c:v>4.0848447694035415E-2</c:v>
                  </c:pt>
                  <c:pt idx="2">
                    <c:v>5.5642293400028152E-2</c:v>
                  </c:pt>
                </c:numCache>
              </c:numRef>
            </c:plus>
            <c:minus>
              <c:numRef>
                <c:f>'imm. leg'!$S$13:$U$13</c:f>
                <c:numCache>
                  <c:formatCode>General</c:formatCode>
                  <c:ptCount val="3"/>
                  <c:pt idx="0">
                    <c:v>2.777777777777779E-2</c:v>
                  </c:pt>
                  <c:pt idx="1">
                    <c:v>4.0848447694035415E-2</c:v>
                  </c:pt>
                  <c:pt idx="2">
                    <c:v>5.5642293400028152E-2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'imm. leg'!$O$9:$Q$9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'imm. leg'!$O$13:$Q$13</c:f>
              <c:numCache>
                <c:formatCode>General</c:formatCode>
                <c:ptCount val="3"/>
                <c:pt idx="0">
                  <c:v>0.1111111111111111</c:v>
                </c:pt>
                <c:pt idx="1">
                  <c:v>0.17361111111111108</c:v>
                </c:pt>
                <c:pt idx="2">
                  <c:v>0.27083333333333331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8-4C60-82EC-C18FA9AA8732}"/>
            </c:ext>
          </c:extLst>
        </c:ser>
        <c:ser>
          <c:idx val="4"/>
          <c:order val="4"/>
          <c:tx>
            <c:strRef>
              <c:f>'imm. leg'!$N$14</c:f>
              <c:strCache>
                <c:ptCount val="1"/>
                <c:pt idx="0">
                  <c:v>immobilized leg &amp; Geo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'imm. leg'!$S$14:$U$14</c:f>
                <c:numCache>
                  <c:formatCode>General</c:formatCode>
                  <c:ptCount val="3"/>
                  <c:pt idx="0">
                    <c:v>4.1317985501787557E-2</c:v>
                  </c:pt>
                  <c:pt idx="1">
                    <c:v>4.22414064604043E-2</c:v>
                  </c:pt>
                  <c:pt idx="2">
                    <c:v>4.7405689349655562E-2</c:v>
                  </c:pt>
                </c:numCache>
              </c:numRef>
            </c:plus>
            <c:minus>
              <c:numRef>
                <c:f>'imm. leg'!$S$14:$U$14</c:f>
                <c:numCache>
                  <c:formatCode>General</c:formatCode>
                  <c:ptCount val="3"/>
                  <c:pt idx="0">
                    <c:v>4.1317985501787557E-2</c:v>
                  </c:pt>
                  <c:pt idx="1">
                    <c:v>4.22414064604043E-2</c:v>
                  </c:pt>
                  <c:pt idx="2">
                    <c:v>4.7405689349655562E-2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'imm. leg'!$O$9:$Q$9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'imm. leg'!$O$14:$Q$14</c:f>
              <c:numCache>
                <c:formatCode>General</c:formatCode>
                <c:ptCount val="3"/>
                <c:pt idx="0">
                  <c:v>0.27083333333333331</c:v>
                </c:pt>
                <c:pt idx="1">
                  <c:v>0.42361111111111116</c:v>
                </c:pt>
                <c:pt idx="2">
                  <c:v>0.53472222222222221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6-4254-88F6-E4E1E4046418}"/>
            </c:ext>
          </c:extLst>
        </c:ser>
        <c:ser>
          <c:idx val="5"/>
          <c:order val="5"/>
          <c:tx>
            <c:strRef>
              <c:f>'imm. leg'!$N$15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'imm. leg'!$S$15:$U$15</c:f>
                <c:numCache>
                  <c:formatCode>General</c:formatCode>
                  <c:ptCount val="3"/>
                </c:numCache>
              </c:numRef>
            </c:plus>
            <c:minus>
              <c:numRef>
                <c:f>'imm. leg'!$S$15:$U$15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'imm. leg'!$O$9:$Q$9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'imm. leg'!$O$15:$Q$15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36-4254-88F6-E4E1E4046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5"/>
        <c:delete val="1"/>
      </c:legendEntry>
      <c:layout>
        <c:manualLayout>
          <c:xMode val="edge"/>
          <c:yMode val="edge"/>
          <c:x val="5.0357485953053817E-2"/>
          <c:y val="0.66293839464246029"/>
          <c:w val="0.92280346577009753"/>
          <c:h val="0.22683953208862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382700</xdr:colOff>
      <xdr:row>16</xdr:row>
      <xdr:rowOff>132264</xdr:rowOff>
    </xdr:from>
    <xdr:to>
      <xdr:col>17</xdr:col>
      <xdr:colOff>0</xdr:colOff>
      <xdr:row>43</xdr:row>
      <xdr:rowOff>20819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A595D4-1E1E-4643-912C-1337CA3E9645}"/>
            </a:ext>
          </a:extLst>
        </xdr:cNvPr>
        <xdr:cNvGrpSpPr/>
      </xdr:nvGrpSpPr>
      <xdr:grpSpPr>
        <a:xfrm>
          <a:off x="8232321" y="2470992"/>
          <a:ext cx="2644889" cy="3809113"/>
          <a:chOff x="8232321" y="2474802"/>
          <a:chExt cx="3002076" cy="330823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8E27F7A-008D-CBD5-3444-3E4173B57F8B}"/>
              </a:ext>
            </a:extLst>
          </xdr:cNvPr>
          <xdr:cNvGraphicFramePr>
            <a:graphicFrameLocks/>
          </xdr:cNvGraphicFramePr>
        </xdr:nvGraphicFramePr>
        <xdr:xfrm>
          <a:off x="8232321" y="2474802"/>
          <a:ext cx="3002076" cy="33082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963F622-6067-AD3E-FAF1-D704F948A866}"/>
              </a:ext>
            </a:extLst>
          </xdr:cNvPr>
          <xdr:cNvSpPr txBox="1"/>
        </xdr:nvSpPr>
        <xdr:spPr>
          <a:xfrm>
            <a:off x="9159007" y="2541312"/>
            <a:ext cx="1467253" cy="2518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state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382700</xdr:colOff>
      <xdr:row>16</xdr:row>
      <xdr:rowOff>132264</xdr:rowOff>
    </xdr:from>
    <xdr:to>
      <xdr:col>17</xdr:col>
      <xdr:colOff>0</xdr:colOff>
      <xdr:row>43</xdr:row>
      <xdr:rowOff>20819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A595D4-1E1E-4643-912C-1337CA3E9645}"/>
            </a:ext>
          </a:extLst>
        </xdr:cNvPr>
        <xdr:cNvGrpSpPr/>
      </xdr:nvGrpSpPr>
      <xdr:grpSpPr>
        <a:xfrm>
          <a:off x="8232321" y="2470992"/>
          <a:ext cx="2644889" cy="3809113"/>
          <a:chOff x="8232321" y="2474802"/>
          <a:chExt cx="3002076" cy="330823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8E27F7A-008D-CBD5-3444-3E4173B57F8B}"/>
              </a:ext>
            </a:extLst>
          </xdr:cNvPr>
          <xdr:cNvGraphicFramePr>
            <a:graphicFrameLocks/>
          </xdr:cNvGraphicFramePr>
        </xdr:nvGraphicFramePr>
        <xdr:xfrm>
          <a:off x="8232321" y="2474802"/>
          <a:ext cx="3002076" cy="33082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963F622-6067-AD3E-FAF1-D704F948A866}"/>
              </a:ext>
            </a:extLst>
          </xdr:cNvPr>
          <xdr:cNvSpPr txBox="1"/>
        </xdr:nvSpPr>
        <xdr:spPr>
          <a:xfrm>
            <a:off x="9159007" y="2541312"/>
            <a:ext cx="1467253" cy="2518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state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382700</xdr:colOff>
      <xdr:row>16</xdr:row>
      <xdr:rowOff>132264</xdr:rowOff>
    </xdr:from>
    <xdr:to>
      <xdr:col>17</xdr:col>
      <xdr:colOff>0</xdr:colOff>
      <xdr:row>43</xdr:row>
      <xdr:rowOff>20819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A595D4-1E1E-4643-912C-1337CA3E9645}"/>
            </a:ext>
          </a:extLst>
        </xdr:cNvPr>
        <xdr:cNvGrpSpPr/>
      </xdr:nvGrpSpPr>
      <xdr:grpSpPr>
        <a:xfrm>
          <a:off x="8232321" y="2470992"/>
          <a:ext cx="2644889" cy="3809113"/>
          <a:chOff x="8232321" y="2474802"/>
          <a:chExt cx="3002076" cy="330823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8E27F7A-008D-CBD5-3444-3E4173B57F8B}"/>
              </a:ext>
            </a:extLst>
          </xdr:cNvPr>
          <xdr:cNvGraphicFramePr>
            <a:graphicFrameLocks/>
          </xdr:cNvGraphicFramePr>
        </xdr:nvGraphicFramePr>
        <xdr:xfrm>
          <a:off x="8232321" y="2474802"/>
          <a:ext cx="3002076" cy="33082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963F622-6067-AD3E-FAF1-D704F948A866}"/>
              </a:ext>
            </a:extLst>
          </xdr:cNvPr>
          <xdr:cNvSpPr txBox="1"/>
        </xdr:nvSpPr>
        <xdr:spPr>
          <a:xfrm>
            <a:off x="9159007" y="2541312"/>
            <a:ext cx="1467253" cy="2518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state, w1118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zoomScale="112" zoomScaleNormal="112" workbookViewId="0">
      <selection activeCell="I85" sqref="I85"/>
    </sheetView>
  </sheetViews>
  <sheetFormatPr defaultColWidth="9" defaultRowHeight="11.25"/>
  <cols>
    <col min="1" max="13" width="9" style="2"/>
    <col min="14" max="14" width="18.28515625" style="2" customWidth="1"/>
    <col min="15" max="16384" width="9" style="2"/>
  </cols>
  <sheetData>
    <row r="1" spans="1:22">
      <c r="A1" s="1" t="s">
        <v>12</v>
      </c>
    </row>
    <row r="2" spans="1:22">
      <c r="N2" s="3"/>
      <c r="O2" s="3"/>
      <c r="P2" s="3"/>
    </row>
    <row r="3" spans="1:22" ht="12">
      <c r="B3" s="9" t="s">
        <v>25</v>
      </c>
      <c r="C3" s="4"/>
      <c r="D3" s="4"/>
      <c r="E3" s="73" t="s">
        <v>26</v>
      </c>
      <c r="F3" s="51"/>
      <c r="G3" s="51"/>
      <c r="H3" s="4"/>
      <c r="I3" s="8" t="s">
        <v>14</v>
      </c>
      <c r="J3" s="8"/>
      <c r="K3" s="4"/>
      <c r="L3" s="4"/>
      <c r="N3" s="3"/>
      <c r="O3" s="3"/>
      <c r="P3" s="3"/>
    </row>
    <row r="4" spans="1:22">
      <c r="A4" s="4"/>
      <c r="B4" s="36" t="s">
        <v>0</v>
      </c>
      <c r="C4" s="38"/>
      <c r="D4" s="37"/>
      <c r="E4" s="52" t="s">
        <v>14</v>
      </c>
      <c r="F4" s="53"/>
      <c r="G4" s="54"/>
      <c r="H4" s="4"/>
      <c r="I4" s="4"/>
      <c r="J4" s="4"/>
      <c r="K4" s="26" t="s">
        <v>1</v>
      </c>
      <c r="L4" s="6" t="s">
        <v>2</v>
      </c>
      <c r="N4" s="3"/>
      <c r="O4" s="3"/>
      <c r="P4" s="3"/>
    </row>
    <row r="5" spans="1:22">
      <c r="A5" s="7" t="s">
        <v>3</v>
      </c>
      <c r="B5" s="26" t="s">
        <v>4</v>
      </c>
      <c r="C5" s="26" t="s">
        <v>5</v>
      </c>
      <c r="D5" s="26" t="s">
        <v>6</v>
      </c>
      <c r="E5" s="55" t="s">
        <v>4</v>
      </c>
      <c r="F5" s="55" t="s">
        <v>5</v>
      </c>
      <c r="G5" s="55" t="s">
        <v>6</v>
      </c>
      <c r="H5" s="4"/>
      <c r="I5" s="42"/>
      <c r="J5" s="42"/>
      <c r="K5" s="26">
        <f>AVERAGE(D6:D15)</f>
        <v>0.15277777777777776</v>
      </c>
      <c r="L5" s="26">
        <f>STDEV(D6:D15)/SQRT(6)</f>
        <v>3.6746545987008224E-2</v>
      </c>
      <c r="N5" s="3"/>
      <c r="O5" s="3"/>
      <c r="P5" s="3"/>
    </row>
    <row r="6" spans="1:22">
      <c r="A6" s="26">
        <v>1</v>
      </c>
      <c r="B6" s="27">
        <v>1</v>
      </c>
      <c r="C6" s="27">
        <v>24</v>
      </c>
      <c r="D6" s="27">
        <f>B6/C6</f>
        <v>4.1666666666666664E-2</v>
      </c>
      <c r="E6" s="55">
        <v>6</v>
      </c>
      <c r="F6" s="55">
        <v>24</v>
      </c>
      <c r="G6" s="55">
        <f>E6/F6</f>
        <v>0.25</v>
      </c>
      <c r="H6" s="4"/>
      <c r="I6" s="71"/>
      <c r="J6" s="71"/>
      <c r="K6" s="26">
        <f>AVERAGE(G6:G15)</f>
        <v>0.33333333333333331</v>
      </c>
      <c r="L6" s="26">
        <f>STDEV(G6:G15)/SQRT(6)</f>
        <v>4.3033148291193576E-2</v>
      </c>
    </row>
    <row r="7" spans="1:22">
      <c r="A7" s="26">
        <v>2</v>
      </c>
      <c r="B7" s="27">
        <v>4</v>
      </c>
      <c r="C7" s="27">
        <v>24</v>
      </c>
      <c r="D7" s="27">
        <f>B7/C7</f>
        <v>0.16666666666666666</v>
      </c>
      <c r="E7" s="55">
        <v>5</v>
      </c>
      <c r="F7" s="55">
        <v>24</v>
      </c>
      <c r="G7" s="55">
        <f t="shared" ref="G7:G8" si="0">E7/F7</f>
        <v>0.20833333333333334</v>
      </c>
      <c r="H7" s="4"/>
      <c r="I7" s="33"/>
      <c r="J7" s="33"/>
      <c r="K7" s="25"/>
      <c r="L7" s="25"/>
    </row>
    <row r="8" spans="1:22">
      <c r="A8" s="26">
        <v>3</v>
      </c>
      <c r="B8" s="27">
        <v>5</v>
      </c>
      <c r="C8" s="27">
        <v>24</v>
      </c>
      <c r="D8" s="27">
        <f>B8/C8</f>
        <v>0.20833333333333334</v>
      </c>
      <c r="E8" s="55">
        <v>9</v>
      </c>
      <c r="F8" s="55">
        <v>24</v>
      </c>
      <c r="G8" s="55">
        <f t="shared" si="0"/>
        <v>0.375</v>
      </c>
      <c r="H8" s="4"/>
      <c r="I8" s="4"/>
      <c r="J8" s="4"/>
      <c r="K8" s="4"/>
      <c r="L8" s="4"/>
      <c r="O8" s="8" t="s">
        <v>1</v>
      </c>
      <c r="S8" s="1" t="s">
        <v>11</v>
      </c>
    </row>
    <row r="9" spans="1:22">
      <c r="A9" s="26">
        <v>4</v>
      </c>
      <c r="B9" s="27">
        <v>3</v>
      </c>
      <c r="C9" s="27">
        <v>24</v>
      </c>
      <c r="D9" s="27">
        <f>B9/C9</f>
        <v>0.125</v>
      </c>
      <c r="E9" s="55">
        <v>9</v>
      </c>
      <c r="F9" s="55">
        <v>24</v>
      </c>
      <c r="G9" s="55">
        <f>E9/F9</f>
        <v>0.375</v>
      </c>
      <c r="H9" s="4"/>
      <c r="I9" s="4"/>
      <c r="J9" s="4"/>
      <c r="K9" s="4"/>
      <c r="L9" s="4"/>
      <c r="N9" s="13"/>
      <c r="O9" s="13">
        <v>10</v>
      </c>
      <c r="P9" s="13">
        <v>50</v>
      </c>
      <c r="Q9" s="13">
        <v>100</v>
      </c>
      <c r="R9" s="1"/>
      <c r="S9" s="1">
        <v>10</v>
      </c>
      <c r="T9" s="1">
        <v>50</v>
      </c>
      <c r="U9" s="1">
        <v>100</v>
      </c>
    </row>
    <row r="10" spans="1:22">
      <c r="A10" s="26">
        <v>5</v>
      </c>
      <c r="B10" s="26">
        <v>7</v>
      </c>
      <c r="C10" s="26">
        <v>24</v>
      </c>
      <c r="D10" s="26">
        <f t="shared" ref="D6:D11" si="1">B10/C10</f>
        <v>0.29166666666666669</v>
      </c>
      <c r="E10" s="55">
        <v>7</v>
      </c>
      <c r="F10" s="55">
        <v>24</v>
      </c>
      <c r="G10" s="55">
        <f>E10/F10</f>
        <v>0.29166666666666669</v>
      </c>
      <c r="H10" s="4"/>
      <c r="I10" s="4"/>
      <c r="J10" s="4"/>
      <c r="K10" s="4"/>
      <c r="L10" s="4"/>
      <c r="N10" s="28" t="s">
        <v>25</v>
      </c>
      <c r="O10" s="14">
        <f>K5</f>
        <v>0.15277777777777776</v>
      </c>
      <c r="P10" s="14">
        <f>K19</f>
        <v>0.27083333333333331</v>
      </c>
      <c r="Q10" s="14">
        <f>K33</f>
        <v>0.51388888888888884</v>
      </c>
      <c r="S10" s="2">
        <f>L5</f>
        <v>3.6746545987008224E-2</v>
      </c>
      <c r="T10" s="2">
        <f>L19</f>
        <v>2.344714307796417E-2</v>
      </c>
      <c r="U10" s="2">
        <f>L33</f>
        <v>5.2337343559491149E-2</v>
      </c>
      <c r="V10" s="10"/>
    </row>
    <row r="11" spans="1:22" ht="12">
      <c r="A11" s="26">
        <v>6</v>
      </c>
      <c r="B11" s="26">
        <v>2</v>
      </c>
      <c r="C11" s="26">
        <v>24</v>
      </c>
      <c r="D11" s="26">
        <f t="shared" si="1"/>
        <v>8.3333333333333329E-2</v>
      </c>
      <c r="E11" s="55">
        <v>12</v>
      </c>
      <c r="F11" s="55">
        <v>24</v>
      </c>
      <c r="G11" s="55">
        <f>E11/F11</f>
        <v>0.5</v>
      </c>
      <c r="H11" s="4"/>
      <c r="I11" s="4"/>
      <c r="J11" s="4"/>
      <c r="K11" s="4"/>
      <c r="L11" s="4"/>
      <c r="N11" s="74" t="s">
        <v>26</v>
      </c>
      <c r="O11" s="14">
        <f>K6</f>
        <v>0.33333333333333331</v>
      </c>
      <c r="P11" s="14">
        <f>K20</f>
        <v>0.44444444444444448</v>
      </c>
      <c r="Q11" s="14">
        <f t="shared" ref="Q11" si="2">K34</f>
        <v>0.5625</v>
      </c>
      <c r="S11" s="2">
        <f t="shared" ref="S11" si="3">L6</f>
        <v>4.3033148291193576E-2</v>
      </c>
      <c r="T11" s="2">
        <f t="shared" ref="T11" si="4">L20</f>
        <v>5.8597286415913871E-2</v>
      </c>
      <c r="U11" s="2">
        <f t="shared" ref="U11" si="5">L34</f>
        <v>6.4325200982830122E-2</v>
      </c>
      <c r="V11" s="10"/>
    </row>
    <row r="12" spans="1:22" ht="12">
      <c r="A12" s="26">
        <v>7</v>
      </c>
      <c r="B12" s="26"/>
      <c r="C12" s="26"/>
      <c r="D12" s="26"/>
      <c r="E12" s="55"/>
      <c r="F12" s="55"/>
      <c r="G12" s="55"/>
      <c r="H12" s="4"/>
      <c r="I12" s="4"/>
      <c r="J12" s="4"/>
      <c r="K12" s="4"/>
      <c r="L12" s="4"/>
      <c r="N12" s="20"/>
      <c r="O12" s="14"/>
      <c r="P12" s="14"/>
      <c r="Q12" s="14"/>
    </row>
    <row r="13" spans="1:22">
      <c r="A13" s="26">
        <v>8</v>
      </c>
      <c r="B13" s="26"/>
      <c r="C13" s="26"/>
      <c r="D13" s="26"/>
      <c r="E13" s="55"/>
      <c r="F13" s="55"/>
      <c r="G13" s="55"/>
      <c r="H13" s="4"/>
      <c r="I13" s="4"/>
      <c r="J13" s="4"/>
      <c r="K13" s="4"/>
      <c r="L13" s="4"/>
      <c r="N13" s="28" t="s">
        <v>27</v>
      </c>
      <c r="O13" s="14">
        <f>K48</f>
        <v>9.722222222222221E-2</v>
      </c>
      <c r="P13" s="14">
        <f>K62</f>
        <v>0.15277777777777776</v>
      </c>
      <c r="Q13" s="14">
        <f>K76</f>
        <v>0.29166666666666669</v>
      </c>
      <c r="S13" s="2">
        <f>L48</f>
        <v>2.9788348041010031E-2</v>
      </c>
      <c r="T13" s="2">
        <f>L62</f>
        <v>3.1671539586087177E-2</v>
      </c>
      <c r="U13" s="2">
        <f>L76</f>
        <v>5.1594932280574213E-2</v>
      </c>
    </row>
    <row r="14" spans="1:22">
      <c r="A14" s="26">
        <v>9</v>
      </c>
      <c r="B14" s="26"/>
      <c r="C14" s="26"/>
      <c r="D14" s="26"/>
      <c r="E14" s="55"/>
      <c r="F14" s="55"/>
      <c r="G14" s="55"/>
      <c r="H14" s="4"/>
      <c r="I14" s="4"/>
      <c r="J14" s="4"/>
      <c r="K14" s="4"/>
      <c r="L14" s="4"/>
      <c r="N14" s="29" t="s">
        <v>28</v>
      </c>
      <c r="O14" s="14">
        <f>K49</f>
        <v>0.27083333333333331</v>
      </c>
      <c r="P14" s="14">
        <f>K63</f>
        <v>0.375</v>
      </c>
      <c r="Q14" s="14">
        <f>K77</f>
        <v>0.56944444444444453</v>
      </c>
      <c r="S14" s="2">
        <f>L49</f>
        <v>4.1317985501787557E-2</v>
      </c>
      <c r="T14" s="2">
        <f>L63</f>
        <v>3.2274861218395144E-2</v>
      </c>
      <c r="U14" s="2">
        <f>L77</f>
        <v>5.7601225981465942E-2</v>
      </c>
    </row>
    <row r="15" spans="1:22">
      <c r="A15" s="26">
        <v>10</v>
      </c>
      <c r="B15" s="26"/>
      <c r="C15" s="26"/>
      <c r="D15" s="26"/>
      <c r="E15" s="55"/>
      <c r="F15" s="55"/>
      <c r="G15" s="55"/>
      <c r="H15" s="4"/>
      <c r="I15" s="4"/>
      <c r="J15" s="4"/>
      <c r="K15" s="4"/>
      <c r="L15" s="4"/>
      <c r="N15" s="21"/>
      <c r="O15" s="14"/>
      <c r="P15" s="14"/>
      <c r="Q15" s="14"/>
    </row>
    <row r="16" spans="1:22">
      <c r="A16" s="4"/>
      <c r="B16" s="4"/>
      <c r="C16" s="4"/>
      <c r="D16" s="4"/>
      <c r="E16" s="51"/>
      <c r="F16" s="51"/>
      <c r="G16" s="51"/>
      <c r="H16" s="4"/>
      <c r="I16" s="4"/>
      <c r="J16" s="4"/>
      <c r="K16" s="4"/>
      <c r="L16" s="4"/>
    </row>
    <row r="17" spans="1:12" ht="12">
      <c r="B17" s="24"/>
      <c r="C17" s="4"/>
      <c r="D17" s="4"/>
      <c r="E17" s="50"/>
      <c r="F17" s="51"/>
      <c r="G17" s="51"/>
      <c r="H17" s="4"/>
      <c r="I17" s="8" t="s">
        <v>15</v>
      </c>
      <c r="J17" s="8"/>
      <c r="K17" s="4"/>
      <c r="L17" s="4"/>
    </row>
    <row r="18" spans="1:12">
      <c r="A18" s="4"/>
      <c r="B18" s="36" t="s">
        <v>15</v>
      </c>
      <c r="C18" s="38"/>
      <c r="D18" s="37"/>
      <c r="E18" s="52" t="s">
        <v>7</v>
      </c>
      <c r="F18" s="53"/>
      <c r="G18" s="54"/>
      <c r="H18" s="4"/>
      <c r="I18" s="4"/>
      <c r="J18" s="4"/>
      <c r="K18" s="26" t="s">
        <v>8</v>
      </c>
      <c r="L18" s="6" t="s">
        <v>2</v>
      </c>
    </row>
    <row r="19" spans="1:12">
      <c r="A19" s="7" t="s">
        <v>9</v>
      </c>
      <c r="B19" s="26" t="s">
        <v>4</v>
      </c>
      <c r="C19" s="26" t="s">
        <v>5</v>
      </c>
      <c r="D19" s="26" t="s">
        <v>6</v>
      </c>
      <c r="E19" s="55" t="s">
        <v>4</v>
      </c>
      <c r="F19" s="55" t="s">
        <v>5</v>
      </c>
      <c r="G19" s="55" t="s">
        <v>10</v>
      </c>
      <c r="H19" s="4"/>
      <c r="I19" s="36"/>
      <c r="J19" s="37"/>
      <c r="K19" s="26">
        <f>AVERAGE(D20:D29)</f>
        <v>0.27083333333333331</v>
      </c>
      <c r="L19" s="26">
        <f>STDEV(D20:D29)/SQRT(6)</f>
        <v>2.344714307796417E-2</v>
      </c>
    </row>
    <row r="20" spans="1:12">
      <c r="A20" s="26">
        <v>1</v>
      </c>
      <c r="B20" s="27">
        <v>5</v>
      </c>
      <c r="C20" s="27">
        <v>24</v>
      </c>
      <c r="D20" s="27">
        <f>B20/C20</f>
        <v>0.20833333333333334</v>
      </c>
      <c r="E20" s="55">
        <v>8</v>
      </c>
      <c r="F20" s="55">
        <v>24</v>
      </c>
      <c r="G20" s="55">
        <f>E20/F20</f>
        <v>0.33333333333333331</v>
      </c>
      <c r="H20" s="4"/>
      <c r="I20" s="71"/>
      <c r="J20" s="71"/>
      <c r="K20" s="26">
        <f>AVERAGE(G20:G29)</f>
        <v>0.44444444444444448</v>
      </c>
      <c r="L20" s="26">
        <f>STDEV(G20:G29)/SQRT(6)</f>
        <v>5.8597286415913871E-2</v>
      </c>
    </row>
    <row r="21" spans="1:12">
      <c r="A21" s="26">
        <v>2</v>
      </c>
      <c r="B21" s="27">
        <v>7</v>
      </c>
      <c r="C21" s="27">
        <v>24</v>
      </c>
      <c r="D21" s="27">
        <f t="shared" ref="D21:D22" si="6">B21/C21</f>
        <v>0.29166666666666669</v>
      </c>
      <c r="E21" s="55">
        <v>7</v>
      </c>
      <c r="F21" s="55">
        <v>24</v>
      </c>
      <c r="G21" s="55">
        <f t="shared" ref="G21:G22" si="7">E21/F21</f>
        <v>0.29166666666666669</v>
      </c>
      <c r="H21" s="4"/>
      <c r="I21" s="33"/>
      <c r="J21" s="33"/>
      <c r="K21" s="18"/>
      <c r="L21" s="18"/>
    </row>
    <row r="22" spans="1:12">
      <c r="A22" s="26">
        <v>3</v>
      </c>
      <c r="B22" s="27">
        <v>8</v>
      </c>
      <c r="C22" s="27">
        <v>24</v>
      </c>
      <c r="D22" s="27">
        <f t="shared" si="6"/>
        <v>0.33333333333333331</v>
      </c>
      <c r="E22" s="55">
        <v>14</v>
      </c>
      <c r="F22" s="55">
        <v>24</v>
      </c>
      <c r="G22" s="55">
        <f t="shared" si="7"/>
        <v>0.58333333333333337</v>
      </c>
      <c r="H22" s="4"/>
      <c r="I22" s="4"/>
      <c r="J22" s="4"/>
      <c r="K22" s="4"/>
      <c r="L22" s="4"/>
    </row>
    <row r="23" spans="1:12">
      <c r="A23" s="26">
        <v>4</v>
      </c>
      <c r="B23" s="27">
        <v>5</v>
      </c>
      <c r="C23" s="27">
        <v>24</v>
      </c>
      <c r="D23" s="27">
        <f>B23/C23</f>
        <v>0.20833333333333334</v>
      </c>
      <c r="E23" s="55">
        <v>12</v>
      </c>
      <c r="F23" s="55">
        <v>24</v>
      </c>
      <c r="G23" s="55">
        <f>E23/F23</f>
        <v>0.5</v>
      </c>
      <c r="H23" s="4"/>
      <c r="I23" s="4"/>
      <c r="J23" s="4"/>
      <c r="K23" s="4"/>
      <c r="L23" s="4"/>
    </row>
    <row r="24" spans="1:12">
      <c r="A24" s="26">
        <v>5</v>
      </c>
      <c r="B24" s="26">
        <v>8</v>
      </c>
      <c r="C24" s="26">
        <v>24</v>
      </c>
      <c r="D24" s="26">
        <f>B24/C24</f>
        <v>0.33333333333333331</v>
      </c>
      <c r="E24" s="55">
        <v>8</v>
      </c>
      <c r="F24" s="55">
        <v>24</v>
      </c>
      <c r="G24" s="55">
        <f t="shared" ref="G24:G25" si="8">E24/F24</f>
        <v>0.33333333333333331</v>
      </c>
      <c r="H24" s="4"/>
      <c r="I24" s="4"/>
      <c r="J24" s="4"/>
      <c r="K24" s="4"/>
      <c r="L24" s="4"/>
    </row>
    <row r="25" spans="1:12">
      <c r="A25" s="26">
        <v>6</v>
      </c>
      <c r="B25" s="26">
        <v>6</v>
      </c>
      <c r="C25" s="26">
        <v>24</v>
      </c>
      <c r="D25" s="26">
        <f>B25/C25</f>
        <v>0.25</v>
      </c>
      <c r="E25" s="55">
        <v>15</v>
      </c>
      <c r="F25" s="55">
        <v>24</v>
      </c>
      <c r="G25" s="55">
        <f t="shared" si="8"/>
        <v>0.625</v>
      </c>
      <c r="H25" s="4"/>
      <c r="I25" s="4"/>
      <c r="J25" s="4"/>
      <c r="K25" s="4"/>
      <c r="L25" s="4"/>
    </row>
    <row r="26" spans="1:12">
      <c r="A26" s="26">
        <v>7</v>
      </c>
      <c r="B26" s="26"/>
      <c r="C26" s="26"/>
      <c r="D26" s="26"/>
      <c r="E26" s="55"/>
      <c r="F26" s="55"/>
      <c r="G26" s="55"/>
      <c r="H26" s="4"/>
      <c r="I26" s="4"/>
      <c r="J26" s="4"/>
      <c r="K26" s="4"/>
      <c r="L26" s="4"/>
    </row>
    <row r="27" spans="1:12">
      <c r="A27" s="26">
        <v>8</v>
      </c>
      <c r="B27" s="26"/>
      <c r="C27" s="26"/>
      <c r="D27" s="26"/>
      <c r="E27" s="55"/>
      <c r="F27" s="55"/>
      <c r="G27" s="55"/>
      <c r="H27" s="4"/>
      <c r="I27" s="4"/>
      <c r="J27" s="4"/>
      <c r="K27" s="4"/>
      <c r="L27" s="4"/>
    </row>
    <row r="28" spans="1:12">
      <c r="A28" s="26">
        <v>9</v>
      </c>
      <c r="B28" s="26"/>
      <c r="C28" s="26"/>
      <c r="D28" s="26"/>
      <c r="E28" s="55"/>
      <c r="F28" s="55"/>
      <c r="G28" s="55"/>
      <c r="H28" s="4"/>
      <c r="I28" s="4"/>
      <c r="J28" s="4"/>
      <c r="K28" s="4"/>
      <c r="L28" s="4"/>
    </row>
    <row r="29" spans="1:12">
      <c r="A29" s="26">
        <v>10</v>
      </c>
      <c r="B29" s="26"/>
      <c r="C29" s="26"/>
      <c r="D29" s="26"/>
      <c r="E29" s="55"/>
      <c r="F29" s="55"/>
      <c r="G29" s="55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51"/>
      <c r="F30" s="51"/>
      <c r="G30" s="51"/>
      <c r="H30" s="4"/>
      <c r="I30" s="4"/>
      <c r="J30" s="4"/>
      <c r="K30" s="4"/>
      <c r="L30" s="4"/>
    </row>
    <row r="31" spans="1:12" ht="12">
      <c r="A31" s="9"/>
      <c r="B31" s="24"/>
      <c r="C31" s="4"/>
      <c r="D31" s="4"/>
      <c r="E31" s="50"/>
      <c r="F31" s="51"/>
      <c r="G31" s="51"/>
      <c r="H31" s="4"/>
      <c r="I31" s="8" t="s">
        <v>16</v>
      </c>
      <c r="J31" s="8"/>
      <c r="K31" s="4"/>
      <c r="L31" s="4"/>
    </row>
    <row r="32" spans="1:12">
      <c r="A32" s="4"/>
      <c r="B32" s="36" t="s">
        <v>16</v>
      </c>
      <c r="C32" s="38"/>
      <c r="D32" s="37"/>
      <c r="E32" s="52" t="s">
        <v>16</v>
      </c>
      <c r="F32" s="53"/>
      <c r="G32" s="54"/>
      <c r="H32" s="4"/>
      <c r="I32" s="4"/>
      <c r="J32" s="4"/>
      <c r="K32" s="26" t="s">
        <v>1</v>
      </c>
      <c r="L32" s="6" t="s">
        <v>2</v>
      </c>
    </row>
    <row r="33" spans="1:15">
      <c r="A33" s="7" t="s">
        <v>3</v>
      </c>
      <c r="B33" s="26" t="s">
        <v>4</v>
      </c>
      <c r="C33" s="26" t="s">
        <v>5</v>
      </c>
      <c r="D33" s="26" t="s">
        <v>6</v>
      </c>
      <c r="E33" s="55" t="s">
        <v>4</v>
      </c>
      <c r="F33" s="55" t="s">
        <v>5</v>
      </c>
      <c r="G33" s="55" t="s">
        <v>6</v>
      </c>
      <c r="H33" s="4"/>
      <c r="I33" s="36"/>
      <c r="J33" s="37"/>
      <c r="K33" s="26">
        <f>AVERAGE(D34:D43)</f>
        <v>0.51388888888888884</v>
      </c>
      <c r="L33" s="26">
        <f>STDEV(D34:D43)/SQRT(6)</f>
        <v>5.2337343559491149E-2</v>
      </c>
    </row>
    <row r="34" spans="1:15">
      <c r="A34" s="26">
        <v>1</v>
      </c>
      <c r="B34" s="27">
        <v>11</v>
      </c>
      <c r="C34" s="27">
        <v>24</v>
      </c>
      <c r="D34" s="27">
        <f>B34/C34</f>
        <v>0.45833333333333331</v>
      </c>
      <c r="E34" s="55">
        <v>13</v>
      </c>
      <c r="F34" s="55">
        <v>24</v>
      </c>
      <c r="G34" s="55">
        <f>E34/F34</f>
        <v>0.54166666666666663</v>
      </c>
      <c r="H34" s="4"/>
      <c r="I34" s="71"/>
      <c r="J34" s="71"/>
      <c r="K34" s="26">
        <f>AVERAGE(G34:G43)</f>
        <v>0.5625</v>
      </c>
      <c r="L34" s="26">
        <f>STDEV(G34:G43)/SQRT(6)</f>
        <v>6.4325200982830122E-2</v>
      </c>
      <c r="O34" s="2" t="s">
        <v>13</v>
      </c>
    </row>
    <row r="35" spans="1:15">
      <c r="A35" s="26">
        <v>2</v>
      </c>
      <c r="B35" s="27">
        <v>8</v>
      </c>
      <c r="C35" s="27">
        <v>24</v>
      </c>
      <c r="D35" s="27">
        <f t="shared" ref="D35:D36" si="9">B35/C35</f>
        <v>0.33333333333333331</v>
      </c>
      <c r="E35" s="55">
        <v>9</v>
      </c>
      <c r="F35" s="55">
        <v>24</v>
      </c>
      <c r="G35" s="55">
        <f t="shared" ref="G35:G36" si="10">E35/F35</f>
        <v>0.375</v>
      </c>
      <c r="H35" s="4"/>
      <c r="I35" s="33"/>
      <c r="J35" s="33"/>
      <c r="K35" s="25"/>
      <c r="L35" s="25"/>
    </row>
    <row r="36" spans="1:15">
      <c r="A36" s="26">
        <v>3</v>
      </c>
      <c r="B36" s="27">
        <v>17</v>
      </c>
      <c r="C36" s="27">
        <v>24</v>
      </c>
      <c r="D36" s="27">
        <f t="shared" si="9"/>
        <v>0.70833333333333337</v>
      </c>
      <c r="E36" s="55">
        <v>17</v>
      </c>
      <c r="F36" s="55">
        <v>24</v>
      </c>
      <c r="G36" s="55">
        <f t="shared" si="10"/>
        <v>0.70833333333333337</v>
      </c>
      <c r="H36" s="4"/>
      <c r="I36" s="4"/>
      <c r="J36" s="4"/>
      <c r="K36" s="4"/>
      <c r="L36" s="4"/>
    </row>
    <row r="37" spans="1:15">
      <c r="A37" s="26">
        <v>4</v>
      </c>
      <c r="B37" s="27">
        <v>11</v>
      </c>
      <c r="C37" s="27">
        <v>24</v>
      </c>
      <c r="D37" s="27">
        <f>B37/C37</f>
        <v>0.45833333333333331</v>
      </c>
      <c r="E37" s="55">
        <v>16</v>
      </c>
      <c r="F37" s="55">
        <v>24</v>
      </c>
      <c r="G37" s="55">
        <f>E37/F37</f>
        <v>0.66666666666666663</v>
      </c>
      <c r="H37" s="4"/>
      <c r="I37" s="4"/>
      <c r="J37" s="4"/>
      <c r="K37" s="4"/>
      <c r="L37" s="4"/>
    </row>
    <row r="38" spans="1:15">
      <c r="A38" s="26">
        <v>5</v>
      </c>
      <c r="B38" s="26">
        <v>14</v>
      </c>
      <c r="C38" s="26">
        <v>24</v>
      </c>
      <c r="D38" s="26">
        <f t="shared" ref="D38:D39" si="11">B38/C38</f>
        <v>0.58333333333333337</v>
      </c>
      <c r="E38" s="55">
        <v>9</v>
      </c>
      <c r="F38" s="55">
        <v>24</v>
      </c>
      <c r="G38" s="55">
        <f t="shared" ref="G38:G39" si="12">E38/F38</f>
        <v>0.375</v>
      </c>
      <c r="H38" s="4"/>
      <c r="I38" s="4"/>
      <c r="J38" s="4"/>
      <c r="K38" s="4"/>
      <c r="L38" s="4"/>
    </row>
    <row r="39" spans="1:15">
      <c r="A39" s="26">
        <v>6</v>
      </c>
      <c r="B39" s="26">
        <v>13</v>
      </c>
      <c r="C39" s="26">
        <v>24</v>
      </c>
      <c r="D39" s="26">
        <f t="shared" si="11"/>
        <v>0.54166666666666663</v>
      </c>
      <c r="E39" s="55">
        <v>17</v>
      </c>
      <c r="F39" s="55">
        <v>24</v>
      </c>
      <c r="G39" s="55">
        <f t="shared" si="12"/>
        <v>0.70833333333333337</v>
      </c>
      <c r="H39" s="4"/>
      <c r="I39" s="4"/>
      <c r="J39" s="4"/>
      <c r="K39" s="4"/>
      <c r="L39" s="4"/>
    </row>
    <row r="40" spans="1:15">
      <c r="A40" s="26">
        <v>7</v>
      </c>
      <c r="B40" s="26"/>
      <c r="C40" s="26"/>
      <c r="D40" s="26"/>
      <c r="E40" s="55"/>
      <c r="F40" s="55"/>
      <c r="G40" s="55"/>
      <c r="H40" s="4"/>
      <c r="I40" s="4"/>
      <c r="J40" s="4"/>
      <c r="K40" s="4"/>
      <c r="L40" s="4"/>
    </row>
    <row r="41" spans="1:15">
      <c r="A41" s="26">
        <v>8</v>
      </c>
      <c r="B41" s="26"/>
      <c r="C41" s="26"/>
      <c r="D41" s="26"/>
      <c r="E41" s="55"/>
      <c r="F41" s="55"/>
      <c r="G41" s="55"/>
      <c r="H41" s="4"/>
      <c r="I41" s="4"/>
      <c r="J41" s="4"/>
      <c r="K41" s="4"/>
      <c r="L41" s="4"/>
    </row>
    <row r="42" spans="1:15">
      <c r="A42" s="26">
        <v>9</v>
      </c>
      <c r="B42" s="26"/>
      <c r="C42" s="26"/>
      <c r="D42" s="26"/>
      <c r="E42" s="55"/>
      <c r="F42" s="55"/>
      <c r="G42" s="55"/>
      <c r="H42" s="4"/>
      <c r="I42" s="4"/>
      <c r="J42" s="4"/>
      <c r="K42" s="4"/>
      <c r="L42" s="4"/>
    </row>
    <row r="43" spans="1:15">
      <c r="A43" s="26">
        <v>10</v>
      </c>
      <c r="B43" s="26"/>
      <c r="C43" s="26"/>
      <c r="D43" s="26"/>
      <c r="E43" s="55"/>
      <c r="F43" s="55"/>
      <c r="G43" s="55"/>
      <c r="H43" s="4"/>
      <c r="I43" s="4"/>
      <c r="J43" s="4"/>
      <c r="K43" s="4"/>
      <c r="L43" s="4"/>
    </row>
    <row r="46" spans="1:15">
      <c r="B46" s="28" t="s">
        <v>27</v>
      </c>
      <c r="C46" s="4"/>
      <c r="D46" s="4"/>
      <c r="E46" s="29" t="s">
        <v>28</v>
      </c>
      <c r="F46" s="31"/>
      <c r="G46" s="31"/>
      <c r="I46" s="8" t="s">
        <v>14</v>
      </c>
      <c r="J46" s="8"/>
    </row>
    <row r="47" spans="1:15">
      <c r="A47" s="4"/>
      <c r="B47" s="36" t="s">
        <v>14</v>
      </c>
      <c r="C47" s="38"/>
      <c r="D47" s="37"/>
      <c r="E47" s="46" t="s">
        <v>14</v>
      </c>
      <c r="F47" s="49"/>
      <c r="G47" s="47"/>
      <c r="H47" s="4"/>
      <c r="I47" s="4"/>
      <c r="J47" s="4"/>
      <c r="K47" s="26" t="s">
        <v>1</v>
      </c>
      <c r="L47" s="6" t="s">
        <v>2</v>
      </c>
    </row>
    <row r="48" spans="1:15">
      <c r="A48" s="7" t="s">
        <v>3</v>
      </c>
      <c r="B48" s="26" t="s">
        <v>4</v>
      </c>
      <c r="C48" s="26" t="s">
        <v>5</v>
      </c>
      <c r="D48" s="26" t="s">
        <v>6</v>
      </c>
      <c r="E48" s="32" t="s">
        <v>4</v>
      </c>
      <c r="F48" s="32" t="s">
        <v>5</v>
      </c>
      <c r="G48" s="32" t="s">
        <v>6</v>
      </c>
      <c r="H48" s="4"/>
      <c r="I48" s="36"/>
      <c r="J48" s="37"/>
      <c r="K48" s="26">
        <f>AVERAGE(D49:D58)</f>
        <v>9.722222222222221E-2</v>
      </c>
      <c r="L48" s="26">
        <f>STDEV(D49:D58)/SQRT(6)</f>
        <v>2.9788348041010031E-2</v>
      </c>
    </row>
    <row r="49" spans="1:12">
      <c r="A49" s="26">
        <v>1</v>
      </c>
      <c r="B49" s="27">
        <v>1</v>
      </c>
      <c r="C49" s="27">
        <v>24</v>
      </c>
      <c r="D49" s="27">
        <f>B49/C49</f>
        <v>4.1666666666666664E-2</v>
      </c>
      <c r="E49" s="32">
        <v>7</v>
      </c>
      <c r="F49" s="32">
        <v>24</v>
      </c>
      <c r="G49" s="32">
        <f>E49/F49</f>
        <v>0.29166666666666669</v>
      </c>
      <c r="H49" s="4"/>
      <c r="I49" s="48"/>
      <c r="J49" s="48"/>
      <c r="K49" s="26">
        <f>AVERAGE(G49:G58)</f>
        <v>0.27083333333333331</v>
      </c>
      <c r="L49" s="26">
        <f>STDEV(G49:G58)/SQRT(6)</f>
        <v>4.1317985501787557E-2</v>
      </c>
    </row>
    <row r="50" spans="1:12">
      <c r="A50" s="26">
        <v>2</v>
      </c>
      <c r="B50" s="27">
        <v>2</v>
      </c>
      <c r="C50" s="27">
        <v>24</v>
      </c>
      <c r="D50" s="27">
        <f>B50/C50</f>
        <v>8.3333333333333329E-2</v>
      </c>
      <c r="E50" s="32">
        <v>6</v>
      </c>
      <c r="F50" s="32">
        <v>24</v>
      </c>
      <c r="G50" s="32">
        <f t="shared" ref="G50:G51" si="13">E50/F50</f>
        <v>0.25</v>
      </c>
      <c r="H50" s="4"/>
      <c r="I50" s="33"/>
      <c r="J50" s="33"/>
      <c r="K50" s="25"/>
      <c r="L50" s="25"/>
    </row>
    <row r="51" spans="1:12">
      <c r="A51" s="26">
        <v>3</v>
      </c>
      <c r="B51" s="27">
        <v>4</v>
      </c>
      <c r="C51" s="27">
        <v>24</v>
      </c>
      <c r="D51" s="27">
        <f>B51/C51</f>
        <v>0.16666666666666666</v>
      </c>
      <c r="E51" s="32">
        <v>10</v>
      </c>
      <c r="F51" s="32">
        <v>24</v>
      </c>
      <c r="G51" s="32">
        <f t="shared" si="13"/>
        <v>0.41666666666666669</v>
      </c>
      <c r="H51" s="4"/>
      <c r="I51" s="4"/>
      <c r="J51" s="4"/>
      <c r="K51" s="4"/>
      <c r="L51" s="4"/>
    </row>
    <row r="52" spans="1:12">
      <c r="A52" s="26">
        <v>4</v>
      </c>
      <c r="B52" s="27">
        <v>1</v>
      </c>
      <c r="C52" s="27">
        <v>24</v>
      </c>
      <c r="D52" s="27">
        <f>B52/C52</f>
        <v>4.1666666666666664E-2</v>
      </c>
      <c r="E52" s="32">
        <v>8</v>
      </c>
      <c r="F52" s="32">
        <v>24</v>
      </c>
      <c r="G52" s="32">
        <f>E52/F52</f>
        <v>0.33333333333333331</v>
      </c>
      <c r="H52" s="4"/>
      <c r="I52" s="4"/>
      <c r="J52" s="4"/>
      <c r="K52" s="4"/>
      <c r="L52" s="4"/>
    </row>
    <row r="53" spans="1:12">
      <c r="A53" s="26">
        <v>5</v>
      </c>
      <c r="B53" s="26">
        <v>5</v>
      </c>
      <c r="C53" s="26">
        <v>24</v>
      </c>
      <c r="D53" s="26">
        <f t="shared" ref="D49:D54" si="14">B53/C53</f>
        <v>0.20833333333333334</v>
      </c>
      <c r="E53" s="32">
        <v>3</v>
      </c>
      <c r="F53" s="32">
        <v>24</v>
      </c>
      <c r="G53" s="32">
        <f>E53/F53</f>
        <v>0.125</v>
      </c>
      <c r="H53" s="4"/>
      <c r="I53" s="4"/>
      <c r="J53" s="4"/>
      <c r="K53" s="4"/>
      <c r="L53" s="4"/>
    </row>
    <row r="54" spans="1:12">
      <c r="A54" s="26">
        <v>6</v>
      </c>
      <c r="B54" s="26">
        <v>1</v>
      </c>
      <c r="C54" s="26">
        <v>24</v>
      </c>
      <c r="D54" s="26">
        <f t="shared" si="14"/>
        <v>4.1666666666666664E-2</v>
      </c>
      <c r="E54" s="32">
        <v>5</v>
      </c>
      <c r="F54" s="32">
        <v>24</v>
      </c>
      <c r="G54" s="32">
        <f>E54/F54</f>
        <v>0.20833333333333334</v>
      </c>
      <c r="H54" s="4"/>
      <c r="I54" s="4"/>
      <c r="J54" s="4"/>
      <c r="K54" s="4"/>
      <c r="L54" s="4"/>
    </row>
    <row r="55" spans="1:12">
      <c r="A55" s="26">
        <v>7</v>
      </c>
      <c r="B55" s="26"/>
      <c r="C55" s="26"/>
      <c r="D55" s="26"/>
      <c r="E55" s="32"/>
      <c r="F55" s="32"/>
      <c r="G55" s="32"/>
      <c r="H55" s="4"/>
      <c r="I55" s="4"/>
      <c r="J55" s="4"/>
      <c r="K55" s="4"/>
      <c r="L55" s="4"/>
    </row>
    <row r="56" spans="1:12">
      <c r="A56" s="26">
        <v>8</v>
      </c>
      <c r="B56" s="26"/>
      <c r="C56" s="26"/>
      <c r="D56" s="26"/>
      <c r="E56" s="32"/>
      <c r="F56" s="32"/>
      <c r="G56" s="32"/>
      <c r="H56" s="4"/>
      <c r="I56" s="4"/>
      <c r="J56" s="4"/>
      <c r="K56" s="4"/>
      <c r="L56" s="4"/>
    </row>
    <row r="57" spans="1:12">
      <c r="A57" s="26">
        <v>9</v>
      </c>
      <c r="B57" s="26"/>
      <c r="C57" s="26"/>
      <c r="D57" s="26"/>
      <c r="E57" s="32"/>
      <c r="F57" s="32"/>
      <c r="G57" s="32"/>
      <c r="H57" s="4"/>
      <c r="I57" s="4"/>
      <c r="J57" s="4"/>
      <c r="K57" s="4"/>
      <c r="L57" s="4"/>
    </row>
    <row r="58" spans="1:12">
      <c r="A58" s="26">
        <v>10</v>
      </c>
      <c r="B58" s="26"/>
      <c r="C58" s="26"/>
      <c r="D58" s="26"/>
      <c r="E58" s="32"/>
      <c r="F58" s="32"/>
      <c r="G58" s="32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31"/>
      <c r="F59" s="31"/>
      <c r="G59" s="31"/>
      <c r="H59" s="4"/>
      <c r="I59" s="4"/>
      <c r="J59" s="4"/>
      <c r="K59" s="4"/>
      <c r="L59" s="4"/>
    </row>
    <row r="60" spans="1:12" ht="12">
      <c r="A60" s="9"/>
      <c r="B60" s="24"/>
      <c r="E60" s="72"/>
      <c r="F60" s="30"/>
      <c r="G60" s="30"/>
      <c r="H60" s="4"/>
      <c r="I60" s="8" t="s">
        <v>15</v>
      </c>
      <c r="J60" s="8"/>
      <c r="K60" s="4"/>
      <c r="L60" s="4"/>
    </row>
    <row r="61" spans="1:12">
      <c r="A61" s="4"/>
      <c r="B61" s="36" t="s">
        <v>15</v>
      </c>
      <c r="C61" s="38"/>
      <c r="D61" s="37"/>
      <c r="E61" s="46" t="s">
        <v>7</v>
      </c>
      <c r="F61" s="49"/>
      <c r="G61" s="47"/>
      <c r="H61" s="4"/>
      <c r="I61" s="4"/>
      <c r="J61" s="4"/>
      <c r="K61" s="26" t="s">
        <v>8</v>
      </c>
      <c r="L61" s="6" t="s">
        <v>2</v>
      </c>
    </row>
    <row r="62" spans="1:12">
      <c r="A62" s="7" t="s">
        <v>9</v>
      </c>
      <c r="B62" s="26" t="s">
        <v>4</v>
      </c>
      <c r="C62" s="26" t="s">
        <v>5</v>
      </c>
      <c r="D62" s="26" t="s">
        <v>6</v>
      </c>
      <c r="E62" s="32" t="s">
        <v>4</v>
      </c>
      <c r="F62" s="32" t="s">
        <v>5</v>
      </c>
      <c r="G62" s="32" t="s">
        <v>10</v>
      </c>
      <c r="H62" s="4"/>
      <c r="I62" s="36"/>
      <c r="J62" s="37"/>
      <c r="K62" s="26">
        <f>AVERAGE(D63:D72)</f>
        <v>0.15277777777777776</v>
      </c>
      <c r="L62" s="26">
        <f>STDEV(D63:D72)/SQRT(6)</f>
        <v>3.1671539586087177E-2</v>
      </c>
    </row>
    <row r="63" spans="1:12">
      <c r="A63" s="26">
        <v>1</v>
      </c>
      <c r="B63" s="27">
        <v>2</v>
      </c>
      <c r="C63" s="27">
        <v>24</v>
      </c>
      <c r="D63" s="27">
        <f>B63/C63</f>
        <v>8.3333333333333329E-2</v>
      </c>
      <c r="E63" s="32">
        <v>9</v>
      </c>
      <c r="F63" s="32">
        <v>24</v>
      </c>
      <c r="G63" s="32">
        <f>E63/F63</f>
        <v>0.375</v>
      </c>
      <c r="H63" s="4"/>
      <c r="I63" s="48"/>
      <c r="J63" s="48"/>
      <c r="K63" s="26">
        <f>AVERAGE(G63:G72)</f>
        <v>0.375</v>
      </c>
      <c r="L63" s="26">
        <f>STDEV(G63:G72)/SQRT(6)</f>
        <v>3.2274861218395144E-2</v>
      </c>
    </row>
    <row r="64" spans="1:12">
      <c r="A64" s="26">
        <v>2</v>
      </c>
      <c r="B64" s="27">
        <v>6</v>
      </c>
      <c r="C64" s="27">
        <v>24</v>
      </c>
      <c r="D64" s="27">
        <f t="shared" ref="D64:D65" si="15">B64/C64</f>
        <v>0.25</v>
      </c>
      <c r="E64" s="32">
        <v>7</v>
      </c>
      <c r="F64" s="32">
        <v>24</v>
      </c>
      <c r="G64" s="32">
        <f t="shared" ref="G64:G65" si="16">E64/F64</f>
        <v>0.29166666666666669</v>
      </c>
      <c r="H64" s="4"/>
      <c r="I64" s="33"/>
      <c r="J64" s="33"/>
      <c r="K64" s="25"/>
      <c r="L64" s="25"/>
    </row>
    <row r="65" spans="1:12">
      <c r="A65" s="26">
        <v>3</v>
      </c>
      <c r="B65" s="27">
        <v>2</v>
      </c>
      <c r="C65" s="27">
        <v>24</v>
      </c>
      <c r="D65" s="27">
        <f t="shared" si="15"/>
        <v>8.3333333333333329E-2</v>
      </c>
      <c r="E65" s="32">
        <v>12</v>
      </c>
      <c r="F65" s="32">
        <v>24</v>
      </c>
      <c r="G65" s="32">
        <f t="shared" si="16"/>
        <v>0.5</v>
      </c>
      <c r="H65" s="4"/>
      <c r="I65" s="4"/>
      <c r="J65" s="4"/>
      <c r="K65" s="4"/>
      <c r="L65" s="4"/>
    </row>
    <row r="66" spans="1:12">
      <c r="A66" s="26">
        <v>4</v>
      </c>
      <c r="B66" s="27">
        <v>3</v>
      </c>
      <c r="C66" s="27">
        <v>24</v>
      </c>
      <c r="D66" s="27">
        <f>B66/C66</f>
        <v>0.125</v>
      </c>
      <c r="E66" s="32">
        <v>10</v>
      </c>
      <c r="F66" s="32">
        <v>24</v>
      </c>
      <c r="G66" s="32">
        <f>E66/F66</f>
        <v>0.41666666666666669</v>
      </c>
      <c r="H66" s="4"/>
      <c r="I66" s="4"/>
      <c r="J66" s="4"/>
      <c r="K66" s="4"/>
      <c r="L66" s="4"/>
    </row>
    <row r="67" spans="1:12">
      <c r="A67" s="26">
        <v>5</v>
      </c>
      <c r="B67" s="26">
        <v>6</v>
      </c>
      <c r="C67" s="26">
        <v>24</v>
      </c>
      <c r="D67" s="26">
        <f t="shared" ref="D67:D68" si="17">B67/C67</f>
        <v>0.25</v>
      </c>
      <c r="E67" s="32">
        <v>7</v>
      </c>
      <c r="F67" s="32">
        <v>24</v>
      </c>
      <c r="G67" s="32">
        <f>E67/F67</f>
        <v>0.29166666666666669</v>
      </c>
      <c r="H67" s="4"/>
      <c r="I67" s="4"/>
      <c r="J67" s="4"/>
      <c r="K67" s="4"/>
      <c r="L67" s="4"/>
    </row>
    <row r="68" spans="1:12">
      <c r="A68" s="26">
        <v>6</v>
      </c>
      <c r="B68" s="26">
        <v>3</v>
      </c>
      <c r="C68" s="26">
        <v>24</v>
      </c>
      <c r="D68" s="26">
        <f t="shared" si="17"/>
        <v>0.125</v>
      </c>
      <c r="E68" s="32">
        <v>9</v>
      </c>
      <c r="F68" s="32">
        <v>24</v>
      </c>
      <c r="G68" s="32">
        <f>E68/F68</f>
        <v>0.375</v>
      </c>
      <c r="H68" s="4"/>
      <c r="I68" s="4"/>
      <c r="J68" s="4"/>
      <c r="K68" s="4"/>
      <c r="L68" s="4"/>
    </row>
    <row r="69" spans="1:12">
      <c r="A69" s="26">
        <v>7</v>
      </c>
      <c r="B69" s="26"/>
      <c r="C69" s="26"/>
      <c r="D69" s="26"/>
      <c r="E69" s="32"/>
      <c r="F69" s="32"/>
      <c r="G69" s="32"/>
      <c r="H69" s="4"/>
      <c r="I69" s="4"/>
      <c r="J69" s="4"/>
      <c r="K69" s="4"/>
      <c r="L69" s="4"/>
    </row>
    <row r="70" spans="1:12">
      <c r="A70" s="26">
        <v>8</v>
      </c>
      <c r="B70" s="26"/>
      <c r="C70" s="26"/>
      <c r="D70" s="26"/>
      <c r="E70" s="32"/>
      <c r="F70" s="32"/>
      <c r="G70" s="32"/>
      <c r="H70" s="4"/>
      <c r="I70" s="4"/>
      <c r="J70" s="4"/>
      <c r="K70" s="4"/>
      <c r="L70" s="4"/>
    </row>
    <row r="71" spans="1:12">
      <c r="A71" s="26">
        <v>9</v>
      </c>
      <c r="B71" s="26"/>
      <c r="C71" s="26"/>
      <c r="D71" s="26"/>
      <c r="E71" s="32"/>
      <c r="F71" s="32"/>
      <c r="G71" s="32"/>
      <c r="H71" s="4"/>
      <c r="I71" s="4"/>
      <c r="J71" s="4"/>
      <c r="K71" s="4"/>
      <c r="L71" s="4"/>
    </row>
    <row r="72" spans="1:12">
      <c r="A72" s="26">
        <v>10</v>
      </c>
      <c r="B72" s="26"/>
      <c r="C72" s="26"/>
      <c r="D72" s="26"/>
      <c r="E72" s="32"/>
      <c r="F72" s="32"/>
      <c r="G72" s="32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31"/>
      <c r="F73" s="31"/>
      <c r="G73" s="31"/>
      <c r="H73" s="4"/>
      <c r="I73" s="4"/>
      <c r="J73" s="4"/>
      <c r="K73" s="4"/>
      <c r="L73" s="4"/>
    </row>
    <row r="74" spans="1:12" ht="12">
      <c r="A74" s="9"/>
      <c r="B74" s="24"/>
      <c r="E74" s="72"/>
      <c r="F74" s="30"/>
      <c r="G74" s="30"/>
      <c r="H74" s="4"/>
      <c r="I74" s="8" t="s">
        <v>16</v>
      </c>
      <c r="J74" s="8"/>
      <c r="K74" s="4"/>
      <c r="L74" s="4"/>
    </row>
    <row r="75" spans="1:12">
      <c r="A75" s="4"/>
      <c r="B75" s="36" t="s">
        <v>16</v>
      </c>
      <c r="C75" s="38"/>
      <c r="D75" s="37"/>
      <c r="E75" s="46" t="s">
        <v>16</v>
      </c>
      <c r="F75" s="49"/>
      <c r="G75" s="47"/>
      <c r="H75" s="4"/>
      <c r="I75" s="4"/>
      <c r="J75" s="4"/>
      <c r="K75" s="26" t="s">
        <v>1</v>
      </c>
      <c r="L75" s="6" t="s">
        <v>2</v>
      </c>
    </row>
    <row r="76" spans="1:12">
      <c r="A76" s="7" t="s">
        <v>3</v>
      </c>
      <c r="B76" s="26" t="s">
        <v>4</v>
      </c>
      <c r="C76" s="26" t="s">
        <v>5</v>
      </c>
      <c r="D76" s="26" t="s">
        <v>6</v>
      </c>
      <c r="E76" s="32" t="s">
        <v>4</v>
      </c>
      <c r="F76" s="32" t="s">
        <v>5</v>
      </c>
      <c r="G76" s="32" t="s">
        <v>6</v>
      </c>
      <c r="H76" s="4"/>
      <c r="I76" s="36"/>
      <c r="J76" s="37"/>
      <c r="K76" s="26">
        <f>AVERAGE(D77:D86)</f>
        <v>0.29166666666666669</v>
      </c>
      <c r="L76" s="26">
        <f>STDEV(D77:D86)/SQRT(6)</f>
        <v>5.1594932280574213E-2</v>
      </c>
    </row>
    <row r="77" spans="1:12">
      <c r="A77" s="26">
        <v>1</v>
      </c>
      <c r="B77" s="27">
        <v>3</v>
      </c>
      <c r="C77" s="27">
        <v>24</v>
      </c>
      <c r="D77" s="27">
        <f>B77/C77</f>
        <v>0.125</v>
      </c>
      <c r="E77" s="32">
        <v>12</v>
      </c>
      <c r="F77" s="32">
        <v>24</v>
      </c>
      <c r="G77" s="32">
        <f>E77/F77</f>
        <v>0.5</v>
      </c>
      <c r="H77" s="4"/>
      <c r="I77" s="48"/>
      <c r="J77" s="48"/>
      <c r="K77" s="26">
        <f>AVERAGE(G77:G86)</f>
        <v>0.56944444444444453</v>
      </c>
      <c r="L77" s="26">
        <f>STDEV(G77:G86)/SQRT(6)</f>
        <v>5.7601225981465942E-2</v>
      </c>
    </row>
    <row r="78" spans="1:12">
      <c r="A78" s="26">
        <v>2</v>
      </c>
      <c r="B78" s="27">
        <v>4</v>
      </c>
      <c r="C78" s="27">
        <v>24</v>
      </c>
      <c r="D78" s="27">
        <f t="shared" ref="D78:D79" si="18">B78/C78</f>
        <v>0.16666666666666666</v>
      </c>
      <c r="E78" s="32">
        <v>10</v>
      </c>
      <c r="F78" s="32">
        <v>24</v>
      </c>
      <c r="G78" s="32">
        <f t="shared" ref="G78:G79" si="19">E78/F78</f>
        <v>0.41666666666666669</v>
      </c>
      <c r="H78" s="4"/>
      <c r="I78" s="33"/>
      <c r="J78" s="33"/>
      <c r="K78" s="25"/>
      <c r="L78" s="25"/>
    </row>
    <row r="79" spans="1:12">
      <c r="A79" s="26">
        <v>3</v>
      </c>
      <c r="B79" s="27">
        <v>8</v>
      </c>
      <c r="C79" s="27">
        <v>24</v>
      </c>
      <c r="D79" s="27">
        <f t="shared" si="18"/>
        <v>0.33333333333333331</v>
      </c>
      <c r="E79" s="32">
        <v>16</v>
      </c>
      <c r="F79" s="32">
        <v>24</v>
      </c>
      <c r="G79" s="32">
        <f t="shared" si="19"/>
        <v>0.66666666666666663</v>
      </c>
      <c r="H79" s="4"/>
      <c r="I79" s="4"/>
      <c r="J79" s="4"/>
      <c r="K79" s="4"/>
      <c r="L79" s="4"/>
    </row>
    <row r="80" spans="1:12">
      <c r="A80" s="26">
        <v>4</v>
      </c>
      <c r="B80" s="27">
        <v>7</v>
      </c>
      <c r="C80" s="27">
        <v>24</v>
      </c>
      <c r="D80" s="27">
        <f>B80/C80</f>
        <v>0.29166666666666669</v>
      </c>
      <c r="E80" s="32">
        <v>17</v>
      </c>
      <c r="F80" s="32">
        <v>24</v>
      </c>
      <c r="G80" s="32">
        <f>E80/F80</f>
        <v>0.70833333333333337</v>
      </c>
      <c r="H80" s="4"/>
      <c r="I80" s="4"/>
      <c r="J80" s="4"/>
      <c r="K80" s="4"/>
      <c r="L80" s="4"/>
    </row>
    <row r="81" spans="1:12">
      <c r="A81" s="26">
        <v>5</v>
      </c>
      <c r="B81" s="26">
        <v>11</v>
      </c>
      <c r="C81" s="26">
        <v>24</v>
      </c>
      <c r="D81" s="26">
        <f t="shared" ref="D81:D82" si="20">B81/C81</f>
        <v>0.45833333333333331</v>
      </c>
      <c r="E81" s="32">
        <v>10</v>
      </c>
      <c r="F81" s="32">
        <v>24</v>
      </c>
      <c r="G81" s="32">
        <f>E81/F81</f>
        <v>0.41666666666666669</v>
      </c>
      <c r="H81" s="4"/>
      <c r="I81" s="4"/>
      <c r="J81" s="4"/>
      <c r="K81" s="4"/>
      <c r="L81" s="4"/>
    </row>
    <row r="82" spans="1:12">
      <c r="A82" s="26">
        <v>6</v>
      </c>
      <c r="B82" s="26">
        <v>9</v>
      </c>
      <c r="C82" s="26">
        <v>24</v>
      </c>
      <c r="D82" s="26">
        <f t="shared" si="20"/>
        <v>0.375</v>
      </c>
      <c r="E82" s="32">
        <v>17</v>
      </c>
      <c r="F82" s="32">
        <v>24</v>
      </c>
      <c r="G82" s="32">
        <f>E82/F82</f>
        <v>0.70833333333333337</v>
      </c>
      <c r="H82" s="4"/>
      <c r="I82" s="4"/>
      <c r="J82" s="4"/>
      <c r="K82" s="4"/>
      <c r="L82" s="4"/>
    </row>
    <row r="83" spans="1:12">
      <c r="A83" s="26">
        <v>7</v>
      </c>
      <c r="B83" s="26"/>
      <c r="C83" s="26"/>
      <c r="D83" s="26"/>
      <c r="E83" s="32"/>
      <c r="F83" s="32"/>
      <c r="G83" s="32"/>
      <c r="H83" s="4"/>
      <c r="I83" s="4"/>
      <c r="J83" s="4"/>
      <c r="K83" s="4"/>
      <c r="L83" s="4"/>
    </row>
    <row r="84" spans="1:12">
      <c r="A84" s="26">
        <v>8</v>
      </c>
      <c r="B84" s="26"/>
      <c r="C84" s="26"/>
      <c r="D84" s="26"/>
      <c r="E84" s="32"/>
      <c r="F84" s="32"/>
      <c r="G84" s="32"/>
      <c r="H84" s="4"/>
      <c r="I84" s="4"/>
      <c r="J84" s="4"/>
      <c r="K84" s="4"/>
      <c r="L84" s="4"/>
    </row>
    <row r="85" spans="1:12">
      <c r="A85" s="26">
        <v>9</v>
      </c>
      <c r="B85" s="26"/>
      <c r="C85" s="26"/>
      <c r="D85" s="26"/>
      <c r="E85" s="32"/>
      <c r="F85" s="32"/>
      <c r="G85" s="32"/>
      <c r="H85" s="4"/>
      <c r="I85" s="4"/>
      <c r="J85" s="4"/>
      <c r="K85" s="4"/>
      <c r="L85" s="4"/>
    </row>
    <row r="86" spans="1:12">
      <c r="A86" s="26">
        <v>10</v>
      </c>
      <c r="B86" s="26"/>
      <c r="C86" s="26"/>
      <c r="D86" s="26"/>
      <c r="E86" s="32"/>
      <c r="F86" s="32"/>
      <c r="G86" s="32"/>
      <c r="H86" s="4"/>
      <c r="I86" s="4"/>
      <c r="J86" s="4"/>
      <c r="K86" s="4"/>
      <c r="L86" s="4"/>
    </row>
  </sheetData>
  <mergeCells count="30">
    <mergeCell ref="I33:J33"/>
    <mergeCell ref="B4:D4"/>
    <mergeCell ref="E4:G4"/>
    <mergeCell ref="I5:J5"/>
    <mergeCell ref="I6:J6"/>
    <mergeCell ref="I7:J7"/>
    <mergeCell ref="B18:D18"/>
    <mergeCell ref="E18:G18"/>
    <mergeCell ref="I19:J19"/>
    <mergeCell ref="I20:J20"/>
    <mergeCell ref="I21:J21"/>
    <mergeCell ref="B32:D32"/>
    <mergeCell ref="E32:G32"/>
    <mergeCell ref="I64:J64"/>
    <mergeCell ref="I34:J34"/>
    <mergeCell ref="I35:J35"/>
    <mergeCell ref="B47:D47"/>
    <mergeCell ref="E47:G47"/>
    <mergeCell ref="I48:J48"/>
    <mergeCell ref="I49:J49"/>
    <mergeCell ref="I50:J50"/>
    <mergeCell ref="B61:D61"/>
    <mergeCell ref="E61:G61"/>
    <mergeCell ref="I62:J62"/>
    <mergeCell ref="I63:J63"/>
    <mergeCell ref="B75:D75"/>
    <mergeCell ref="E75:G75"/>
    <mergeCell ref="I76:J76"/>
    <mergeCell ref="I77:J77"/>
    <mergeCell ref="I78:J7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zoomScale="112" zoomScaleNormal="112" workbookViewId="0">
      <selection activeCell="K8" sqref="K8"/>
    </sheetView>
  </sheetViews>
  <sheetFormatPr defaultColWidth="9" defaultRowHeight="11.25"/>
  <cols>
    <col min="1" max="13" width="9" style="2"/>
    <col min="14" max="14" width="18.28515625" style="2" customWidth="1"/>
    <col min="15" max="16384" width="9" style="2"/>
  </cols>
  <sheetData>
    <row r="1" spans="1:22">
      <c r="A1" s="1" t="s">
        <v>12</v>
      </c>
    </row>
    <row r="2" spans="1:22">
      <c r="N2" s="3"/>
      <c r="O2" s="3"/>
      <c r="P2" s="3"/>
    </row>
    <row r="3" spans="1:22" ht="12">
      <c r="B3" s="9" t="s">
        <v>21</v>
      </c>
      <c r="C3" s="4"/>
      <c r="D3" s="4"/>
      <c r="E3" s="77" t="s">
        <v>22</v>
      </c>
      <c r="F3" s="57"/>
      <c r="G3" s="57"/>
      <c r="H3" s="4"/>
      <c r="I3" s="8" t="s">
        <v>14</v>
      </c>
      <c r="J3" s="8"/>
      <c r="K3" s="4"/>
      <c r="L3" s="4"/>
      <c r="N3" s="3"/>
      <c r="O3" s="3"/>
      <c r="P3" s="3"/>
    </row>
    <row r="4" spans="1:22">
      <c r="A4" s="4"/>
      <c r="B4" s="36" t="s">
        <v>0</v>
      </c>
      <c r="C4" s="38"/>
      <c r="D4" s="37"/>
      <c r="E4" s="58" t="s">
        <v>14</v>
      </c>
      <c r="F4" s="59"/>
      <c r="G4" s="60"/>
      <c r="H4" s="4"/>
      <c r="I4" s="4"/>
      <c r="J4" s="4"/>
      <c r="K4" s="26" t="s">
        <v>1</v>
      </c>
      <c r="L4" s="6" t="s">
        <v>2</v>
      </c>
      <c r="N4" s="3"/>
      <c r="O4" s="3"/>
      <c r="P4" s="3"/>
    </row>
    <row r="5" spans="1:22">
      <c r="A5" s="7" t="s">
        <v>3</v>
      </c>
      <c r="B5" s="26" t="s">
        <v>4</v>
      </c>
      <c r="C5" s="26" t="s">
        <v>5</v>
      </c>
      <c r="D5" s="26" t="s">
        <v>6</v>
      </c>
      <c r="E5" s="61" t="s">
        <v>4</v>
      </c>
      <c r="F5" s="61" t="s">
        <v>5</v>
      </c>
      <c r="G5" s="61" t="s">
        <v>6</v>
      </c>
      <c r="H5" s="4"/>
      <c r="I5" s="42"/>
      <c r="J5" s="42"/>
      <c r="K5" s="26">
        <f>AVERAGE(D6:D12)</f>
        <v>0.17361111111111108</v>
      </c>
      <c r="L5" s="26">
        <f>STDEV(D6:D12)/SQRT(6)</f>
        <v>2.9298643207956967E-2</v>
      </c>
      <c r="N5" s="3"/>
      <c r="O5" s="3"/>
      <c r="P5" s="3"/>
    </row>
    <row r="6" spans="1:22">
      <c r="A6" s="26">
        <v>1</v>
      </c>
      <c r="B6" s="27">
        <v>3</v>
      </c>
      <c r="C6" s="27">
        <v>24</v>
      </c>
      <c r="D6" s="27">
        <f>B6/C6</f>
        <v>0.125</v>
      </c>
      <c r="E6" s="61">
        <v>9</v>
      </c>
      <c r="F6" s="61">
        <v>24</v>
      </c>
      <c r="G6" s="61">
        <f>E6/F6</f>
        <v>0.375</v>
      </c>
      <c r="H6" s="4"/>
      <c r="I6" s="69"/>
      <c r="J6" s="69"/>
      <c r="K6" s="26">
        <f>AVERAGE(G6:G12)</f>
        <v>0.3125</v>
      </c>
      <c r="L6" s="26">
        <f>STDEV(G6:G12)/SQRT(6)</f>
        <v>4.269562819149833E-2</v>
      </c>
    </row>
    <row r="7" spans="1:22">
      <c r="A7" s="26">
        <v>2</v>
      </c>
      <c r="B7" s="26">
        <v>6</v>
      </c>
      <c r="C7" s="26">
        <v>24</v>
      </c>
      <c r="D7" s="26">
        <f>B7/C7</f>
        <v>0.25</v>
      </c>
      <c r="E7" s="61">
        <v>5</v>
      </c>
      <c r="F7" s="61">
        <v>24</v>
      </c>
      <c r="G7" s="61">
        <f>E7/F7</f>
        <v>0.20833333333333334</v>
      </c>
      <c r="H7" s="4"/>
      <c r="I7" s="33"/>
      <c r="J7" s="33"/>
      <c r="K7" s="25"/>
      <c r="L7" s="25"/>
    </row>
    <row r="8" spans="1:22">
      <c r="A8" s="26">
        <v>3</v>
      </c>
      <c r="B8" s="26">
        <v>2</v>
      </c>
      <c r="C8" s="26">
        <v>24</v>
      </c>
      <c r="D8" s="26">
        <f>B8/C8</f>
        <v>8.3333333333333329E-2</v>
      </c>
      <c r="E8" s="61">
        <v>11</v>
      </c>
      <c r="F8" s="61">
        <v>24</v>
      </c>
      <c r="G8" s="61">
        <f>E8/F8</f>
        <v>0.45833333333333331</v>
      </c>
      <c r="H8" s="4"/>
      <c r="I8" s="4"/>
      <c r="J8" s="4"/>
      <c r="K8" s="4"/>
      <c r="L8" s="4"/>
      <c r="O8" s="8" t="s">
        <v>1</v>
      </c>
      <c r="S8" s="1" t="s">
        <v>11</v>
      </c>
    </row>
    <row r="9" spans="1:22">
      <c r="A9" s="26">
        <v>4</v>
      </c>
      <c r="B9" s="27">
        <v>3</v>
      </c>
      <c r="C9" s="27">
        <v>24</v>
      </c>
      <c r="D9" s="27">
        <f>B9/C9</f>
        <v>0.125</v>
      </c>
      <c r="E9" s="61">
        <v>6</v>
      </c>
      <c r="F9" s="61">
        <v>24</v>
      </c>
      <c r="G9" s="61">
        <f>E9/F9</f>
        <v>0.25</v>
      </c>
      <c r="H9" s="4"/>
      <c r="I9" s="4"/>
      <c r="J9" s="4"/>
      <c r="K9" s="4"/>
      <c r="L9" s="4"/>
      <c r="N9" s="13"/>
      <c r="O9" s="13">
        <v>10</v>
      </c>
      <c r="P9" s="13">
        <v>50</v>
      </c>
      <c r="Q9" s="13">
        <v>100</v>
      </c>
      <c r="R9" s="1"/>
      <c r="S9" s="1">
        <v>10</v>
      </c>
      <c r="T9" s="1">
        <v>50</v>
      </c>
      <c r="U9" s="1">
        <v>100</v>
      </c>
    </row>
    <row r="10" spans="1:22">
      <c r="A10" s="26">
        <v>5</v>
      </c>
      <c r="B10" s="27">
        <v>5</v>
      </c>
      <c r="C10" s="27">
        <v>24</v>
      </c>
      <c r="D10" s="27">
        <f>B10/C10</f>
        <v>0.20833333333333334</v>
      </c>
      <c r="E10" s="61">
        <v>5</v>
      </c>
      <c r="F10" s="61">
        <v>24</v>
      </c>
      <c r="G10" s="61">
        <f t="shared" ref="G10:G11" si="0">E10/F10</f>
        <v>0.20833333333333334</v>
      </c>
      <c r="H10" s="4"/>
      <c r="I10" s="4"/>
      <c r="J10" s="4"/>
      <c r="K10" s="4"/>
      <c r="L10" s="4"/>
      <c r="N10" s="28" t="s">
        <v>21</v>
      </c>
      <c r="O10" s="14">
        <f>K5</f>
        <v>0.17361111111111108</v>
      </c>
      <c r="P10" s="14">
        <f>K19</f>
        <v>0.2986111111111111</v>
      </c>
      <c r="Q10" s="14">
        <f>K33</f>
        <v>0.50694444444444453</v>
      </c>
      <c r="S10" s="2">
        <f>L5</f>
        <v>2.9298643207956967E-2</v>
      </c>
      <c r="T10" s="2">
        <f>L19</f>
        <v>2.9298643207956967E-2</v>
      </c>
      <c r="U10" s="2">
        <f>L33</f>
        <v>5.0936446724700546E-2</v>
      </c>
      <c r="V10" s="10"/>
    </row>
    <row r="11" spans="1:22" ht="12">
      <c r="A11" s="26">
        <v>6</v>
      </c>
      <c r="B11" s="27">
        <v>6</v>
      </c>
      <c r="C11" s="27">
        <v>24</v>
      </c>
      <c r="D11" s="27">
        <f>B11/C11</f>
        <v>0.25</v>
      </c>
      <c r="E11" s="61">
        <v>9</v>
      </c>
      <c r="F11" s="61">
        <v>24</v>
      </c>
      <c r="G11" s="61">
        <f t="shared" si="0"/>
        <v>0.375</v>
      </c>
      <c r="H11" s="4"/>
      <c r="I11" s="4"/>
      <c r="J11" s="4"/>
      <c r="K11" s="4"/>
      <c r="L11" s="4"/>
      <c r="N11" s="76" t="s">
        <v>22</v>
      </c>
      <c r="O11" s="14">
        <f>K6</f>
        <v>0.3125</v>
      </c>
      <c r="P11" s="14">
        <f>K20</f>
        <v>0.49305555555555552</v>
      </c>
      <c r="Q11" s="14">
        <f t="shared" ref="Q11" si="1">K34</f>
        <v>0.55555555555555547</v>
      </c>
      <c r="S11" s="2">
        <f t="shared" ref="S11" si="2">L6</f>
        <v>4.269562819149833E-2</v>
      </c>
      <c r="T11" s="2">
        <f t="shared" ref="T11" si="3">L20</f>
        <v>5.7349507839062827E-2</v>
      </c>
      <c r="U11" s="2">
        <f t="shared" ref="U11" si="4">L34</f>
        <v>6.1488732281051915E-2</v>
      </c>
      <c r="V11" s="10"/>
    </row>
    <row r="12" spans="1:22" ht="12">
      <c r="A12" s="26">
        <v>7</v>
      </c>
      <c r="B12" s="26"/>
      <c r="C12" s="26"/>
      <c r="D12" s="26"/>
      <c r="E12" s="61"/>
      <c r="F12" s="61"/>
      <c r="G12" s="61"/>
      <c r="H12" s="4"/>
      <c r="I12" s="4"/>
      <c r="J12" s="4"/>
      <c r="K12" s="4"/>
      <c r="L12" s="4"/>
      <c r="N12" s="20"/>
      <c r="O12" s="14"/>
      <c r="P12" s="14"/>
      <c r="Q12" s="14"/>
    </row>
    <row r="13" spans="1:22">
      <c r="A13" s="26">
        <v>8</v>
      </c>
      <c r="B13" s="14"/>
      <c r="C13" s="14"/>
      <c r="D13" s="14"/>
      <c r="E13" s="78"/>
      <c r="F13" s="78"/>
      <c r="G13" s="78"/>
      <c r="H13" s="4"/>
      <c r="I13" s="4"/>
      <c r="J13" s="4"/>
      <c r="K13" s="4"/>
      <c r="L13" s="4"/>
      <c r="N13" s="28" t="s">
        <v>23</v>
      </c>
      <c r="O13" s="14">
        <f>K48</f>
        <v>0.1111111111111111</v>
      </c>
      <c r="P13" s="14">
        <f>K62</f>
        <v>0.16666666666666666</v>
      </c>
      <c r="Q13" s="14">
        <f>K76</f>
        <v>0.29166666666666669</v>
      </c>
      <c r="S13" s="2">
        <f>L48</f>
        <v>2.7777777777777787E-2</v>
      </c>
      <c r="T13" s="2">
        <f>L62</f>
        <v>3.2274861218395158E-2</v>
      </c>
      <c r="U13" s="2">
        <f>L76</f>
        <v>5.3791435363991912E-2</v>
      </c>
    </row>
    <row r="14" spans="1:22">
      <c r="A14" s="26">
        <v>9</v>
      </c>
      <c r="B14" s="14"/>
      <c r="C14" s="14"/>
      <c r="D14" s="14"/>
      <c r="E14" s="78"/>
      <c r="F14" s="78"/>
      <c r="G14" s="78"/>
      <c r="H14" s="4"/>
      <c r="I14" s="4"/>
      <c r="J14" s="4"/>
      <c r="K14" s="4"/>
      <c r="L14" s="4"/>
      <c r="N14" s="75" t="s">
        <v>24</v>
      </c>
      <c r="O14" s="14">
        <f>K49</f>
        <v>0.27083333333333331</v>
      </c>
      <c r="P14" s="14">
        <f>K63</f>
        <v>0.40277777777777785</v>
      </c>
      <c r="Q14" s="14">
        <f>K77</f>
        <v>0.56944444444444442</v>
      </c>
      <c r="S14" s="2">
        <f>L49</f>
        <v>4.1317985501787578E-2</v>
      </c>
      <c r="T14" s="2">
        <f>L63</f>
        <v>3.977172517576761E-2</v>
      </c>
      <c r="U14" s="2">
        <f>L77</f>
        <v>5.7601225981466012E-2</v>
      </c>
    </row>
    <row r="15" spans="1:22">
      <c r="A15" s="26">
        <v>10</v>
      </c>
      <c r="B15" s="14"/>
      <c r="C15" s="14"/>
      <c r="D15" s="14"/>
      <c r="E15" s="78"/>
      <c r="F15" s="78"/>
      <c r="G15" s="78"/>
      <c r="H15" s="4"/>
      <c r="I15" s="4"/>
      <c r="J15" s="4"/>
      <c r="K15" s="4"/>
      <c r="L15" s="4"/>
      <c r="N15" s="21"/>
      <c r="O15" s="14"/>
      <c r="P15" s="14"/>
      <c r="Q15" s="14"/>
    </row>
    <row r="16" spans="1:22">
      <c r="A16" s="4"/>
      <c r="B16" s="4"/>
      <c r="C16" s="4"/>
      <c r="D16" s="4"/>
      <c r="E16" s="57"/>
      <c r="F16" s="57"/>
      <c r="G16" s="57"/>
      <c r="H16" s="4"/>
      <c r="I16" s="4"/>
      <c r="J16" s="4"/>
      <c r="K16" s="4"/>
      <c r="L16" s="4"/>
    </row>
    <row r="17" spans="1:12" ht="12">
      <c r="B17" s="24"/>
      <c r="C17" s="4"/>
      <c r="D17" s="4"/>
      <c r="E17" s="56"/>
      <c r="F17" s="57"/>
      <c r="G17" s="57"/>
      <c r="H17" s="4"/>
      <c r="I17" s="8" t="s">
        <v>15</v>
      </c>
      <c r="J17" s="8"/>
      <c r="K17" s="4"/>
      <c r="L17" s="4"/>
    </row>
    <row r="18" spans="1:12">
      <c r="A18" s="4"/>
      <c r="B18" s="36" t="s">
        <v>15</v>
      </c>
      <c r="C18" s="38"/>
      <c r="D18" s="37"/>
      <c r="E18" s="58" t="s">
        <v>7</v>
      </c>
      <c r="F18" s="59"/>
      <c r="G18" s="60"/>
      <c r="H18" s="4"/>
      <c r="I18" s="4"/>
      <c r="J18" s="4"/>
      <c r="K18" s="26" t="s">
        <v>8</v>
      </c>
      <c r="L18" s="6" t="s">
        <v>2</v>
      </c>
    </row>
    <row r="19" spans="1:12">
      <c r="A19" s="7" t="s">
        <v>9</v>
      </c>
      <c r="B19" s="26" t="s">
        <v>4</v>
      </c>
      <c r="C19" s="26" t="s">
        <v>5</v>
      </c>
      <c r="D19" s="26" t="s">
        <v>6</v>
      </c>
      <c r="E19" s="61" t="s">
        <v>4</v>
      </c>
      <c r="F19" s="61" t="s">
        <v>5</v>
      </c>
      <c r="G19" s="61" t="s">
        <v>10</v>
      </c>
      <c r="H19" s="4"/>
      <c r="I19" s="36"/>
      <c r="J19" s="37"/>
      <c r="K19" s="26">
        <f>AVERAGE(D20:D26)</f>
        <v>0.2986111111111111</v>
      </c>
      <c r="L19" s="26">
        <f>STDEV(D20:D26)/SQRT(6)</f>
        <v>2.9298643207956967E-2</v>
      </c>
    </row>
    <row r="20" spans="1:12">
      <c r="A20" s="26">
        <v>1</v>
      </c>
      <c r="B20" s="27">
        <v>5</v>
      </c>
      <c r="C20" s="27">
        <v>24</v>
      </c>
      <c r="D20" s="27">
        <f>B20/C20</f>
        <v>0.20833333333333334</v>
      </c>
      <c r="E20" s="61">
        <v>12</v>
      </c>
      <c r="F20" s="61">
        <v>24</v>
      </c>
      <c r="G20" s="61">
        <f>E20/F20</f>
        <v>0.5</v>
      </c>
      <c r="H20" s="4"/>
      <c r="I20" s="69"/>
      <c r="J20" s="69"/>
      <c r="K20" s="26">
        <f>AVERAGE(G20:G26)</f>
        <v>0.49305555555555552</v>
      </c>
      <c r="L20" s="26">
        <f>STDEV(G20:G26)/SQRT(6)</f>
        <v>5.7349507839062827E-2</v>
      </c>
    </row>
    <row r="21" spans="1:12">
      <c r="A21" s="26">
        <v>2</v>
      </c>
      <c r="B21" s="26">
        <v>8</v>
      </c>
      <c r="C21" s="26">
        <v>24</v>
      </c>
      <c r="D21" s="26">
        <f>B21/C21</f>
        <v>0.33333333333333331</v>
      </c>
      <c r="E21" s="61">
        <v>8</v>
      </c>
      <c r="F21" s="61">
        <v>24</v>
      </c>
      <c r="G21" s="61">
        <f t="shared" ref="G21:G22" si="5">E21/F21</f>
        <v>0.33333333333333331</v>
      </c>
      <c r="H21" s="4"/>
      <c r="I21" s="33"/>
      <c r="J21" s="33"/>
      <c r="K21" s="18"/>
      <c r="L21" s="18"/>
    </row>
    <row r="22" spans="1:12">
      <c r="A22" s="26">
        <v>3</v>
      </c>
      <c r="B22" s="26">
        <v>8</v>
      </c>
      <c r="C22" s="26">
        <v>24</v>
      </c>
      <c r="D22" s="26">
        <f>B22/C22</f>
        <v>0.33333333333333331</v>
      </c>
      <c r="E22" s="61">
        <v>15</v>
      </c>
      <c r="F22" s="61">
        <v>24</v>
      </c>
      <c r="G22" s="61">
        <f t="shared" si="5"/>
        <v>0.625</v>
      </c>
      <c r="H22" s="4"/>
      <c r="I22" s="4"/>
      <c r="J22" s="4"/>
      <c r="K22" s="4"/>
      <c r="L22" s="4"/>
    </row>
    <row r="23" spans="1:12">
      <c r="A23" s="26">
        <v>4</v>
      </c>
      <c r="B23" s="27">
        <v>5</v>
      </c>
      <c r="C23" s="27">
        <v>24</v>
      </c>
      <c r="D23" s="27">
        <f>B23/C23</f>
        <v>0.20833333333333334</v>
      </c>
      <c r="E23" s="61">
        <v>8</v>
      </c>
      <c r="F23" s="61">
        <v>24</v>
      </c>
      <c r="G23" s="61">
        <f>E23/F23</f>
        <v>0.33333333333333331</v>
      </c>
      <c r="H23" s="4"/>
      <c r="I23" s="4"/>
      <c r="J23" s="4"/>
      <c r="K23" s="4"/>
      <c r="L23" s="4"/>
    </row>
    <row r="24" spans="1:12">
      <c r="A24" s="26">
        <v>5</v>
      </c>
      <c r="B24" s="27">
        <v>9</v>
      </c>
      <c r="C24" s="27">
        <v>24</v>
      </c>
      <c r="D24" s="27">
        <f t="shared" ref="D24:D25" si="6">B24/C24</f>
        <v>0.375</v>
      </c>
      <c r="E24" s="61">
        <v>12</v>
      </c>
      <c r="F24" s="61">
        <v>24</v>
      </c>
      <c r="G24" s="61">
        <f t="shared" ref="G24:G25" si="7">E24/F24</f>
        <v>0.5</v>
      </c>
      <c r="H24" s="4"/>
      <c r="I24" s="4"/>
      <c r="J24" s="4"/>
      <c r="K24" s="4"/>
      <c r="L24" s="4"/>
    </row>
    <row r="25" spans="1:12">
      <c r="A25" s="26">
        <v>6</v>
      </c>
      <c r="B25" s="27">
        <v>8</v>
      </c>
      <c r="C25" s="27">
        <v>24</v>
      </c>
      <c r="D25" s="27">
        <f t="shared" si="6"/>
        <v>0.33333333333333331</v>
      </c>
      <c r="E25" s="61">
        <v>16</v>
      </c>
      <c r="F25" s="61">
        <v>24</v>
      </c>
      <c r="G25" s="61">
        <f t="shared" si="7"/>
        <v>0.66666666666666663</v>
      </c>
      <c r="H25" s="4"/>
      <c r="I25" s="4"/>
      <c r="J25" s="4"/>
      <c r="K25" s="4"/>
      <c r="L25" s="4"/>
    </row>
    <row r="26" spans="1:12">
      <c r="A26" s="26">
        <v>7</v>
      </c>
      <c r="B26" s="26"/>
      <c r="C26" s="26"/>
      <c r="D26" s="26"/>
      <c r="E26" s="61"/>
      <c r="F26" s="61"/>
      <c r="G26" s="61"/>
      <c r="H26" s="4"/>
      <c r="I26" s="4"/>
      <c r="J26" s="4"/>
      <c r="K26" s="4"/>
      <c r="L26" s="4"/>
    </row>
    <row r="27" spans="1:12">
      <c r="A27" s="26">
        <v>8</v>
      </c>
      <c r="B27" s="14"/>
      <c r="C27" s="14"/>
      <c r="D27" s="14"/>
      <c r="E27" s="78"/>
      <c r="F27" s="78"/>
      <c r="G27" s="78"/>
      <c r="H27" s="4"/>
      <c r="I27" s="4"/>
      <c r="J27" s="4"/>
      <c r="K27" s="4"/>
      <c r="L27" s="4"/>
    </row>
    <row r="28" spans="1:12">
      <c r="A28" s="26">
        <v>9</v>
      </c>
      <c r="B28" s="14"/>
      <c r="C28" s="14"/>
      <c r="D28" s="14"/>
      <c r="E28" s="78"/>
      <c r="F28" s="78"/>
      <c r="G28" s="78"/>
      <c r="H28" s="4"/>
      <c r="I28" s="4"/>
      <c r="J28" s="4"/>
      <c r="K28" s="4"/>
      <c r="L28" s="4"/>
    </row>
    <row r="29" spans="1:12">
      <c r="A29" s="26">
        <v>10</v>
      </c>
      <c r="B29" s="14"/>
      <c r="C29" s="14"/>
      <c r="D29" s="14"/>
      <c r="E29" s="78"/>
      <c r="F29" s="78"/>
      <c r="G29" s="78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57"/>
      <c r="F30" s="57"/>
      <c r="G30" s="57"/>
      <c r="H30" s="4"/>
      <c r="I30" s="4"/>
      <c r="J30" s="4"/>
      <c r="K30" s="4"/>
      <c r="L30" s="4"/>
    </row>
    <row r="31" spans="1:12" ht="12">
      <c r="A31" s="9"/>
      <c r="B31" s="24"/>
      <c r="C31" s="4"/>
      <c r="D31" s="4"/>
      <c r="E31" s="56"/>
      <c r="F31" s="57"/>
      <c r="G31" s="57"/>
      <c r="H31" s="4"/>
      <c r="I31" s="8" t="s">
        <v>16</v>
      </c>
      <c r="J31" s="8"/>
      <c r="K31" s="4"/>
      <c r="L31" s="4"/>
    </row>
    <row r="32" spans="1:12">
      <c r="A32" s="4"/>
      <c r="B32" s="36" t="s">
        <v>16</v>
      </c>
      <c r="C32" s="38"/>
      <c r="D32" s="37"/>
      <c r="E32" s="58" t="s">
        <v>16</v>
      </c>
      <c r="F32" s="59"/>
      <c r="G32" s="60"/>
      <c r="H32" s="4"/>
      <c r="I32" s="4"/>
      <c r="J32" s="4"/>
      <c r="K32" s="26" t="s">
        <v>1</v>
      </c>
      <c r="L32" s="6" t="s">
        <v>2</v>
      </c>
    </row>
    <row r="33" spans="1:15">
      <c r="A33" s="7" t="s">
        <v>3</v>
      </c>
      <c r="B33" s="26" t="s">
        <v>4</v>
      </c>
      <c r="C33" s="26" t="s">
        <v>5</v>
      </c>
      <c r="D33" s="26" t="s">
        <v>6</v>
      </c>
      <c r="E33" s="61" t="s">
        <v>4</v>
      </c>
      <c r="F33" s="61" t="s">
        <v>5</v>
      </c>
      <c r="G33" s="61" t="s">
        <v>6</v>
      </c>
      <c r="H33" s="4"/>
      <c r="I33" s="36"/>
      <c r="J33" s="37"/>
      <c r="K33" s="26">
        <f>AVERAGE(D34:D40)</f>
        <v>0.50694444444444453</v>
      </c>
      <c r="L33" s="26">
        <f>STDEV(D34:D40)/SQRT(6)</f>
        <v>5.0936446724700546E-2</v>
      </c>
    </row>
    <row r="34" spans="1:15">
      <c r="A34" s="26">
        <v>1</v>
      </c>
      <c r="B34" s="27">
        <v>11</v>
      </c>
      <c r="C34" s="27">
        <v>24</v>
      </c>
      <c r="D34" s="27">
        <f>B34/C34</f>
        <v>0.45833333333333331</v>
      </c>
      <c r="E34" s="61">
        <v>16</v>
      </c>
      <c r="F34" s="61">
        <v>24</v>
      </c>
      <c r="G34" s="61">
        <f>E34/F34</f>
        <v>0.66666666666666663</v>
      </c>
      <c r="H34" s="4"/>
      <c r="I34" s="69"/>
      <c r="J34" s="69"/>
      <c r="K34" s="26">
        <f>AVERAGE(G34:G40)</f>
        <v>0.55555555555555547</v>
      </c>
      <c r="L34" s="26">
        <f>STDEV(G34:G40)/SQRT(6)</f>
        <v>6.1488732281051915E-2</v>
      </c>
      <c r="O34" s="2" t="s">
        <v>13</v>
      </c>
    </row>
    <row r="35" spans="1:15">
      <c r="A35" s="26">
        <v>2</v>
      </c>
      <c r="B35" s="26">
        <v>11</v>
      </c>
      <c r="C35" s="26">
        <v>24</v>
      </c>
      <c r="D35" s="26">
        <f t="shared" ref="D35:D36" si="8">B35/C35</f>
        <v>0.45833333333333331</v>
      </c>
      <c r="E35" s="61">
        <v>9</v>
      </c>
      <c r="F35" s="61">
        <v>24</v>
      </c>
      <c r="G35" s="61">
        <f t="shared" ref="G35:G36" si="9">E35/F35</f>
        <v>0.375</v>
      </c>
      <c r="H35" s="4"/>
      <c r="I35" s="33"/>
      <c r="J35" s="33"/>
      <c r="K35" s="25"/>
      <c r="L35" s="25"/>
    </row>
    <row r="36" spans="1:15">
      <c r="A36" s="26">
        <v>3</v>
      </c>
      <c r="B36" s="26">
        <v>13</v>
      </c>
      <c r="C36" s="26">
        <v>24</v>
      </c>
      <c r="D36" s="26">
        <f t="shared" si="8"/>
        <v>0.54166666666666663</v>
      </c>
      <c r="E36" s="61">
        <v>16</v>
      </c>
      <c r="F36" s="61">
        <v>24</v>
      </c>
      <c r="G36" s="61">
        <f t="shared" si="9"/>
        <v>0.66666666666666663</v>
      </c>
      <c r="H36" s="4"/>
      <c r="I36" s="4"/>
      <c r="J36" s="4"/>
      <c r="K36" s="4"/>
      <c r="L36" s="4"/>
    </row>
    <row r="37" spans="1:15">
      <c r="A37" s="26">
        <v>4</v>
      </c>
      <c r="B37" s="27">
        <v>13</v>
      </c>
      <c r="C37" s="27">
        <v>24</v>
      </c>
      <c r="D37" s="27">
        <f>B37/C37</f>
        <v>0.54166666666666663</v>
      </c>
      <c r="E37" s="61">
        <v>13</v>
      </c>
      <c r="F37" s="61">
        <v>24</v>
      </c>
      <c r="G37" s="61">
        <f>E37/F37</f>
        <v>0.54166666666666663</v>
      </c>
      <c r="H37" s="4"/>
      <c r="I37" s="4"/>
      <c r="J37" s="4"/>
      <c r="K37" s="4"/>
      <c r="L37" s="4"/>
    </row>
    <row r="38" spans="1:15">
      <c r="A38" s="26">
        <v>5</v>
      </c>
      <c r="B38" s="27">
        <v>8</v>
      </c>
      <c r="C38" s="27">
        <v>24</v>
      </c>
      <c r="D38" s="27">
        <f>B38/C38</f>
        <v>0.33333333333333331</v>
      </c>
      <c r="E38" s="61">
        <v>9</v>
      </c>
      <c r="F38" s="61">
        <v>24</v>
      </c>
      <c r="G38" s="61">
        <f>E38/F38</f>
        <v>0.375</v>
      </c>
      <c r="H38" s="4"/>
      <c r="I38" s="4"/>
      <c r="J38" s="4"/>
      <c r="K38" s="4"/>
      <c r="L38" s="4"/>
    </row>
    <row r="39" spans="1:15">
      <c r="A39" s="26">
        <v>6</v>
      </c>
      <c r="B39" s="27">
        <v>17</v>
      </c>
      <c r="C39" s="27">
        <v>24</v>
      </c>
      <c r="D39" s="27">
        <f>B39/C39</f>
        <v>0.70833333333333337</v>
      </c>
      <c r="E39" s="61">
        <v>17</v>
      </c>
      <c r="F39" s="61">
        <v>24</v>
      </c>
      <c r="G39" s="61">
        <f>E39/F39</f>
        <v>0.70833333333333337</v>
      </c>
      <c r="H39" s="4"/>
      <c r="I39" s="4"/>
      <c r="J39" s="4"/>
      <c r="K39" s="4"/>
      <c r="L39" s="4"/>
    </row>
    <row r="40" spans="1:15">
      <c r="A40" s="26">
        <v>7</v>
      </c>
      <c r="B40" s="26"/>
      <c r="C40" s="26"/>
      <c r="D40" s="26"/>
      <c r="E40" s="61"/>
      <c r="F40" s="61"/>
      <c r="G40" s="61"/>
      <c r="H40" s="4"/>
      <c r="I40" s="4"/>
      <c r="J40" s="4"/>
      <c r="K40" s="4"/>
      <c r="L40" s="4"/>
    </row>
    <row r="41" spans="1:15">
      <c r="A41" s="26">
        <v>8</v>
      </c>
      <c r="B41" s="14"/>
      <c r="C41" s="14"/>
      <c r="D41" s="14"/>
      <c r="E41" s="78"/>
      <c r="F41" s="78"/>
      <c r="G41" s="78"/>
      <c r="H41" s="4"/>
      <c r="I41" s="4"/>
      <c r="J41" s="4"/>
      <c r="K41" s="4"/>
      <c r="L41" s="4"/>
    </row>
    <row r="42" spans="1:15">
      <c r="A42" s="26">
        <v>9</v>
      </c>
      <c r="B42" s="14"/>
      <c r="C42" s="14"/>
      <c r="D42" s="14"/>
      <c r="E42" s="78"/>
      <c r="F42" s="78"/>
      <c r="G42" s="78"/>
      <c r="H42" s="4"/>
      <c r="I42" s="4"/>
      <c r="J42" s="4"/>
      <c r="K42" s="4"/>
      <c r="L42" s="4"/>
    </row>
    <row r="43" spans="1:15">
      <c r="A43" s="26">
        <v>10</v>
      </c>
      <c r="B43" s="14"/>
      <c r="C43" s="14"/>
      <c r="D43" s="14"/>
      <c r="E43" s="78"/>
      <c r="F43" s="78"/>
      <c r="G43" s="78"/>
      <c r="H43" s="4"/>
      <c r="I43" s="4"/>
      <c r="J43" s="4"/>
      <c r="K43" s="4"/>
      <c r="L43" s="4"/>
    </row>
    <row r="46" spans="1:15">
      <c r="B46" s="28" t="s">
        <v>23</v>
      </c>
      <c r="E46" s="75" t="s">
        <v>24</v>
      </c>
      <c r="F46" s="63"/>
      <c r="G46" s="63"/>
      <c r="I46" s="8" t="s">
        <v>14</v>
      </c>
      <c r="J46" s="8"/>
    </row>
    <row r="47" spans="1:15">
      <c r="A47" s="4"/>
      <c r="B47" s="36" t="s">
        <v>14</v>
      </c>
      <c r="C47" s="38"/>
      <c r="D47" s="37"/>
      <c r="E47" s="64" t="s">
        <v>14</v>
      </c>
      <c r="F47" s="65"/>
      <c r="G47" s="66"/>
      <c r="H47" s="4"/>
      <c r="I47" s="4"/>
      <c r="J47" s="4"/>
      <c r="K47" s="26" t="s">
        <v>1</v>
      </c>
      <c r="L47" s="6" t="s">
        <v>2</v>
      </c>
    </row>
    <row r="48" spans="1:15">
      <c r="A48" s="7" t="s">
        <v>3</v>
      </c>
      <c r="B48" s="26" t="s">
        <v>4</v>
      </c>
      <c r="C48" s="26" t="s">
        <v>5</v>
      </c>
      <c r="D48" s="26" t="s">
        <v>6</v>
      </c>
      <c r="E48" s="67" t="s">
        <v>4</v>
      </c>
      <c r="F48" s="67" t="s">
        <v>5</v>
      </c>
      <c r="G48" s="67" t="s">
        <v>6</v>
      </c>
      <c r="H48" s="4"/>
      <c r="I48" s="36"/>
      <c r="J48" s="37"/>
      <c r="K48" s="26">
        <f>AVERAGE(D49:D55)</f>
        <v>0.1111111111111111</v>
      </c>
      <c r="L48" s="26">
        <f>STDEV(D49:D55)/SQRT(6)</f>
        <v>2.7777777777777787E-2</v>
      </c>
    </row>
    <row r="49" spans="1:12">
      <c r="A49" s="26">
        <v>1</v>
      </c>
      <c r="B49" s="27">
        <v>1</v>
      </c>
      <c r="C49" s="27">
        <v>24</v>
      </c>
      <c r="D49" s="27">
        <f>B49/C49</f>
        <v>4.1666666666666664E-2</v>
      </c>
      <c r="E49" s="67">
        <v>8</v>
      </c>
      <c r="F49" s="67">
        <v>24</v>
      </c>
      <c r="G49" s="67">
        <f>E49/F49</f>
        <v>0.33333333333333331</v>
      </c>
      <c r="H49" s="4"/>
      <c r="I49" s="70"/>
      <c r="J49" s="70"/>
      <c r="K49" s="26">
        <f>AVERAGE(G49:G55)</f>
        <v>0.27083333333333331</v>
      </c>
      <c r="L49" s="26">
        <f>STDEV(G49:G55)/SQRT(6)</f>
        <v>4.1317985501787578E-2</v>
      </c>
    </row>
    <row r="50" spans="1:12">
      <c r="A50" s="26">
        <v>2</v>
      </c>
      <c r="B50" s="26">
        <v>2</v>
      </c>
      <c r="C50" s="26">
        <v>24</v>
      </c>
      <c r="D50" s="26">
        <f t="shared" ref="D50:D51" si="10">B50/C50</f>
        <v>8.3333333333333329E-2</v>
      </c>
      <c r="E50" s="67">
        <v>3</v>
      </c>
      <c r="F50" s="67">
        <v>24</v>
      </c>
      <c r="G50" s="67">
        <f>E50/F50</f>
        <v>0.125</v>
      </c>
      <c r="H50" s="4"/>
      <c r="I50" s="33"/>
      <c r="J50" s="33"/>
      <c r="K50" s="25"/>
      <c r="L50" s="25"/>
    </row>
    <row r="51" spans="1:12">
      <c r="A51" s="26">
        <v>3</v>
      </c>
      <c r="B51" s="26">
        <v>5</v>
      </c>
      <c r="C51" s="26">
        <v>24</v>
      </c>
      <c r="D51" s="26">
        <f t="shared" si="10"/>
        <v>0.20833333333333334</v>
      </c>
      <c r="E51" s="67">
        <v>5</v>
      </c>
      <c r="F51" s="67">
        <v>24</v>
      </c>
      <c r="G51" s="67">
        <f>E51/F51</f>
        <v>0.20833333333333334</v>
      </c>
      <c r="H51" s="4"/>
      <c r="I51" s="4"/>
      <c r="J51" s="4"/>
      <c r="K51" s="4"/>
      <c r="L51" s="4"/>
    </row>
    <row r="52" spans="1:12">
      <c r="A52" s="26">
        <v>4</v>
      </c>
      <c r="B52" s="27">
        <v>1</v>
      </c>
      <c r="C52" s="27">
        <v>24</v>
      </c>
      <c r="D52" s="27">
        <f>B52/C52</f>
        <v>4.1666666666666664E-2</v>
      </c>
      <c r="E52" s="67">
        <v>7</v>
      </c>
      <c r="F52" s="67">
        <v>24</v>
      </c>
      <c r="G52" s="67">
        <f>E52/F52</f>
        <v>0.29166666666666669</v>
      </c>
      <c r="H52" s="4"/>
      <c r="I52" s="4"/>
      <c r="J52" s="4"/>
      <c r="K52" s="4"/>
      <c r="L52" s="4"/>
    </row>
    <row r="53" spans="1:12">
      <c r="A53" s="26">
        <v>5</v>
      </c>
      <c r="B53" s="27">
        <v>3</v>
      </c>
      <c r="C53" s="27">
        <v>24</v>
      </c>
      <c r="D53" s="27">
        <f>B53/C53</f>
        <v>0.125</v>
      </c>
      <c r="E53" s="67">
        <v>6</v>
      </c>
      <c r="F53" s="67">
        <v>24</v>
      </c>
      <c r="G53" s="67">
        <f t="shared" ref="G53:G54" si="11">E53/F53</f>
        <v>0.25</v>
      </c>
      <c r="H53" s="4"/>
      <c r="I53" s="4"/>
      <c r="J53" s="4"/>
      <c r="K53" s="4"/>
      <c r="L53" s="4"/>
    </row>
    <row r="54" spans="1:12">
      <c r="A54" s="26">
        <v>6</v>
      </c>
      <c r="B54" s="27">
        <v>4</v>
      </c>
      <c r="C54" s="27">
        <v>24</v>
      </c>
      <c r="D54" s="27">
        <f>B54/C54</f>
        <v>0.16666666666666666</v>
      </c>
      <c r="E54" s="67">
        <v>10</v>
      </c>
      <c r="F54" s="67">
        <v>24</v>
      </c>
      <c r="G54" s="67">
        <f t="shared" si="11"/>
        <v>0.41666666666666669</v>
      </c>
      <c r="H54" s="4"/>
      <c r="I54" s="4"/>
      <c r="J54" s="4"/>
      <c r="K54" s="4"/>
      <c r="L54" s="4"/>
    </row>
    <row r="55" spans="1:12">
      <c r="A55" s="26">
        <v>7</v>
      </c>
      <c r="B55" s="27"/>
      <c r="C55" s="27"/>
      <c r="D55" s="27"/>
      <c r="E55" s="67"/>
      <c r="F55" s="67"/>
      <c r="G55" s="67"/>
      <c r="H55" s="4"/>
      <c r="I55" s="4"/>
      <c r="J55" s="4"/>
      <c r="K55" s="4"/>
      <c r="L55" s="4"/>
    </row>
    <row r="56" spans="1:12">
      <c r="A56" s="26">
        <v>8</v>
      </c>
      <c r="B56" s="14"/>
      <c r="C56" s="14"/>
      <c r="D56" s="14"/>
      <c r="E56" s="62"/>
      <c r="F56" s="62"/>
      <c r="G56" s="62"/>
      <c r="H56" s="4"/>
      <c r="I56" s="4"/>
      <c r="J56" s="4"/>
      <c r="K56" s="4"/>
      <c r="L56" s="4"/>
    </row>
    <row r="57" spans="1:12">
      <c r="A57" s="26">
        <v>9</v>
      </c>
      <c r="B57" s="14"/>
      <c r="C57" s="14"/>
      <c r="D57" s="14"/>
      <c r="E57" s="62"/>
      <c r="F57" s="62"/>
      <c r="G57" s="62"/>
      <c r="H57" s="4"/>
      <c r="I57" s="4"/>
      <c r="J57" s="4"/>
      <c r="K57" s="4"/>
      <c r="L57" s="4"/>
    </row>
    <row r="58" spans="1:12">
      <c r="A58" s="26">
        <v>10</v>
      </c>
      <c r="B58" s="14"/>
      <c r="C58" s="14"/>
      <c r="D58" s="14"/>
      <c r="E58" s="62"/>
      <c r="F58" s="62"/>
      <c r="G58" s="62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68"/>
      <c r="F59" s="68"/>
      <c r="G59" s="68"/>
      <c r="H59" s="4"/>
      <c r="I59" s="4"/>
      <c r="J59" s="4"/>
      <c r="K59" s="4"/>
      <c r="L59" s="4"/>
    </row>
    <row r="60" spans="1:12" ht="12">
      <c r="A60" s="9"/>
      <c r="B60" s="24"/>
      <c r="E60" s="62"/>
      <c r="F60" s="63"/>
      <c r="G60" s="63"/>
      <c r="H60" s="4"/>
      <c r="I60" s="8" t="s">
        <v>15</v>
      </c>
      <c r="J60" s="8"/>
      <c r="K60" s="4"/>
      <c r="L60" s="4"/>
    </row>
    <row r="61" spans="1:12">
      <c r="A61" s="4"/>
      <c r="B61" s="36" t="s">
        <v>15</v>
      </c>
      <c r="C61" s="38"/>
      <c r="D61" s="37"/>
      <c r="E61" s="64" t="s">
        <v>7</v>
      </c>
      <c r="F61" s="65"/>
      <c r="G61" s="66"/>
      <c r="H61" s="4"/>
      <c r="I61" s="4"/>
      <c r="J61" s="4"/>
      <c r="K61" s="26" t="s">
        <v>8</v>
      </c>
      <c r="L61" s="6" t="s">
        <v>2</v>
      </c>
    </row>
    <row r="62" spans="1:12">
      <c r="A62" s="7" t="s">
        <v>9</v>
      </c>
      <c r="B62" s="26" t="s">
        <v>4</v>
      </c>
      <c r="C62" s="26" t="s">
        <v>5</v>
      </c>
      <c r="D62" s="26" t="s">
        <v>6</v>
      </c>
      <c r="E62" s="67" t="s">
        <v>4</v>
      </c>
      <c r="F62" s="67" t="s">
        <v>5</v>
      </c>
      <c r="G62" s="67" t="s">
        <v>10</v>
      </c>
      <c r="H62" s="4"/>
      <c r="I62" s="36"/>
      <c r="J62" s="37"/>
      <c r="K62" s="26">
        <f>AVERAGE(D63:D69)</f>
        <v>0.16666666666666666</v>
      </c>
      <c r="L62" s="26">
        <f>STDEV(D63:D69)/SQRT(6)</f>
        <v>3.2274861218395158E-2</v>
      </c>
    </row>
    <row r="63" spans="1:12">
      <c r="A63" s="26">
        <v>1</v>
      </c>
      <c r="B63" s="27">
        <v>5</v>
      </c>
      <c r="C63" s="27">
        <v>24</v>
      </c>
      <c r="D63" s="27">
        <f>B63/C63</f>
        <v>0.20833333333333334</v>
      </c>
      <c r="E63" s="67">
        <v>10</v>
      </c>
      <c r="F63" s="67">
        <v>24</v>
      </c>
      <c r="G63" s="67">
        <f>E63/F63</f>
        <v>0.41666666666666669</v>
      </c>
      <c r="H63" s="4"/>
      <c r="I63" s="70"/>
      <c r="J63" s="70"/>
      <c r="K63" s="26">
        <f>AVERAGE(G63:G69)</f>
        <v>0.40277777777777785</v>
      </c>
      <c r="L63" s="26">
        <f>STDEV(G63:G69)/SQRT(6)</f>
        <v>3.977172517576761E-2</v>
      </c>
    </row>
    <row r="64" spans="1:12">
      <c r="A64" s="26">
        <v>2</v>
      </c>
      <c r="B64" s="26">
        <v>3</v>
      </c>
      <c r="C64" s="26">
        <v>24</v>
      </c>
      <c r="D64" s="26">
        <f t="shared" ref="D64:D65" si="12">B64/C64</f>
        <v>0.125</v>
      </c>
      <c r="E64" s="67">
        <v>7</v>
      </c>
      <c r="F64" s="67">
        <v>24</v>
      </c>
      <c r="G64" s="67">
        <f>E64/F64</f>
        <v>0.29166666666666669</v>
      </c>
      <c r="H64" s="4"/>
      <c r="I64" s="33"/>
      <c r="J64" s="33"/>
      <c r="K64" s="25"/>
      <c r="L64" s="25"/>
    </row>
    <row r="65" spans="1:12">
      <c r="A65" s="26">
        <v>3</v>
      </c>
      <c r="B65" s="26">
        <v>6</v>
      </c>
      <c r="C65" s="26">
        <v>24</v>
      </c>
      <c r="D65" s="26">
        <f t="shared" si="12"/>
        <v>0.25</v>
      </c>
      <c r="E65" s="67">
        <v>9</v>
      </c>
      <c r="F65" s="67">
        <v>24</v>
      </c>
      <c r="G65" s="67">
        <f>E65/F65</f>
        <v>0.375</v>
      </c>
      <c r="H65" s="4"/>
      <c r="I65" s="4"/>
      <c r="J65" s="4"/>
      <c r="K65" s="4"/>
      <c r="L65" s="4"/>
    </row>
    <row r="66" spans="1:12">
      <c r="A66" s="26">
        <v>4</v>
      </c>
      <c r="B66" s="27">
        <v>2</v>
      </c>
      <c r="C66" s="27">
        <v>24</v>
      </c>
      <c r="D66" s="27">
        <f>B66/C66</f>
        <v>8.3333333333333329E-2</v>
      </c>
      <c r="E66" s="67">
        <v>9</v>
      </c>
      <c r="F66" s="67">
        <v>24</v>
      </c>
      <c r="G66" s="67">
        <f>E66/F66</f>
        <v>0.375</v>
      </c>
      <c r="H66" s="4"/>
      <c r="I66" s="4"/>
      <c r="J66" s="4"/>
      <c r="K66" s="4"/>
      <c r="L66" s="4"/>
    </row>
    <row r="67" spans="1:12">
      <c r="A67" s="26">
        <v>5</v>
      </c>
      <c r="B67" s="27">
        <v>6</v>
      </c>
      <c r="C67" s="27">
        <v>24</v>
      </c>
      <c r="D67" s="27">
        <f t="shared" ref="D67:D68" si="13">B67/C67</f>
        <v>0.25</v>
      </c>
      <c r="E67" s="67">
        <v>9</v>
      </c>
      <c r="F67" s="67">
        <v>24</v>
      </c>
      <c r="G67" s="67">
        <f t="shared" ref="G67:G68" si="14">E67/F67</f>
        <v>0.375</v>
      </c>
      <c r="H67" s="4"/>
      <c r="I67" s="4"/>
      <c r="J67" s="4"/>
      <c r="K67" s="4"/>
      <c r="L67" s="4"/>
    </row>
    <row r="68" spans="1:12">
      <c r="A68" s="26">
        <v>6</v>
      </c>
      <c r="B68" s="27">
        <v>2</v>
      </c>
      <c r="C68" s="27">
        <v>24</v>
      </c>
      <c r="D68" s="27">
        <f t="shared" si="13"/>
        <v>8.3333333333333329E-2</v>
      </c>
      <c r="E68" s="67">
        <v>14</v>
      </c>
      <c r="F68" s="67">
        <v>24</v>
      </c>
      <c r="G68" s="67">
        <f t="shared" si="14"/>
        <v>0.58333333333333337</v>
      </c>
      <c r="H68" s="4"/>
      <c r="I68" s="4"/>
      <c r="J68" s="4"/>
      <c r="K68" s="4"/>
      <c r="L68" s="4"/>
    </row>
    <row r="69" spans="1:12">
      <c r="A69" s="26">
        <v>7</v>
      </c>
      <c r="B69" s="26"/>
      <c r="C69" s="26"/>
      <c r="D69" s="26"/>
      <c r="E69" s="67"/>
      <c r="F69" s="67"/>
      <c r="G69" s="67"/>
      <c r="H69" s="4"/>
      <c r="I69" s="4"/>
      <c r="J69" s="4"/>
      <c r="K69" s="4"/>
      <c r="L69" s="4"/>
    </row>
    <row r="70" spans="1:12">
      <c r="A70" s="26">
        <v>8</v>
      </c>
      <c r="B70" s="14"/>
      <c r="C70" s="14"/>
      <c r="D70" s="14"/>
      <c r="E70" s="62"/>
      <c r="F70" s="62"/>
      <c r="G70" s="62"/>
      <c r="H70" s="4"/>
      <c r="I70" s="4"/>
      <c r="J70" s="4"/>
      <c r="K70" s="4"/>
      <c r="L70" s="4"/>
    </row>
    <row r="71" spans="1:12">
      <c r="A71" s="26">
        <v>9</v>
      </c>
      <c r="B71" s="14"/>
      <c r="C71" s="14"/>
      <c r="D71" s="14"/>
      <c r="E71" s="62"/>
      <c r="F71" s="62"/>
      <c r="G71" s="62"/>
      <c r="H71" s="4"/>
      <c r="I71" s="4"/>
      <c r="J71" s="4"/>
      <c r="K71" s="4"/>
      <c r="L71" s="4"/>
    </row>
    <row r="72" spans="1:12">
      <c r="A72" s="26">
        <v>10</v>
      </c>
      <c r="B72" s="14"/>
      <c r="C72" s="14"/>
      <c r="D72" s="14"/>
      <c r="E72" s="62"/>
      <c r="F72" s="62"/>
      <c r="G72" s="62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68"/>
      <c r="F73" s="68"/>
      <c r="G73" s="68"/>
      <c r="H73" s="4"/>
      <c r="I73" s="4"/>
      <c r="J73" s="4"/>
      <c r="K73" s="4"/>
      <c r="L73" s="4"/>
    </row>
    <row r="74" spans="1:12" ht="12">
      <c r="A74" s="9"/>
      <c r="B74" s="24"/>
      <c r="E74" s="62"/>
      <c r="F74" s="63"/>
      <c r="G74" s="63"/>
      <c r="H74" s="4"/>
      <c r="I74" s="8" t="s">
        <v>16</v>
      </c>
      <c r="J74" s="8"/>
      <c r="K74" s="4"/>
      <c r="L74" s="4"/>
    </row>
    <row r="75" spans="1:12">
      <c r="A75" s="4"/>
      <c r="B75" s="36" t="s">
        <v>16</v>
      </c>
      <c r="C75" s="38"/>
      <c r="D75" s="37"/>
      <c r="E75" s="64" t="s">
        <v>16</v>
      </c>
      <c r="F75" s="65"/>
      <c r="G75" s="66"/>
      <c r="H75" s="4"/>
      <c r="I75" s="4"/>
      <c r="J75" s="4"/>
      <c r="K75" s="26" t="s">
        <v>1</v>
      </c>
      <c r="L75" s="6" t="s">
        <v>2</v>
      </c>
    </row>
    <row r="76" spans="1:12">
      <c r="A76" s="7" t="s">
        <v>3</v>
      </c>
      <c r="B76" s="26" t="s">
        <v>4</v>
      </c>
      <c r="C76" s="26" t="s">
        <v>5</v>
      </c>
      <c r="D76" s="26" t="s">
        <v>6</v>
      </c>
      <c r="E76" s="67" t="s">
        <v>4</v>
      </c>
      <c r="F76" s="67" t="s">
        <v>5</v>
      </c>
      <c r="G76" s="67" t="s">
        <v>6</v>
      </c>
      <c r="H76" s="4"/>
      <c r="I76" s="36"/>
      <c r="J76" s="37"/>
      <c r="K76" s="26">
        <f>AVERAGE(D77:D83)</f>
        <v>0.29166666666666669</v>
      </c>
      <c r="L76" s="26">
        <f>STDEV(D77:D83)/SQRT(6)</f>
        <v>5.3791435363991912E-2</v>
      </c>
    </row>
    <row r="77" spans="1:12">
      <c r="A77" s="26">
        <v>1</v>
      </c>
      <c r="B77" s="27">
        <v>9</v>
      </c>
      <c r="C77" s="27">
        <v>24</v>
      </c>
      <c r="D77" s="27">
        <f>B77/C77</f>
        <v>0.375</v>
      </c>
      <c r="E77" s="67">
        <v>17</v>
      </c>
      <c r="F77" s="67">
        <v>24</v>
      </c>
      <c r="G77" s="67">
        <f>E77/F77</f>
        <v>0.70833333333333337</v>
      </c>
      <c r="H77" s="4"/>
      <c r="I77" s="70"/>
      <c r="J77" s="70"/>
      <c r="K77" s="26">
        <f>AVERAGE(G77:G83)</f>
        <v>0.56944444444444442</v>
      </c>
      <c r="L77" s="26">
        <f>STDEV(G77:G83)/SQRT(6)</f>
        <v>5.7601225981466012E-2</v>
      </c>
    </row>
    <row r="78" spans="1:12">
      <c r="A78" s="26">
        <v>2</v>
      </c>
      <c r="B78" s="26">
        <v>4</v>
      </c>
      <c r="C78" s="26">
        <v>24</v>
      </c>
      <c r="D78" s="26">
        <f t="shared" ref="D78:D79" si="15">B78/C78</f>
        <v>0.16666666666666666</v>
      </c>
      <c r="E78" s="67">
        <v>17</v>
      </c>
      <c r="F78" s="67">
        <v>24</v>
      </c>
      <c r="G78" s="67">
        <f>E78/F78</f>
        <v>0.70833333333333337</v>
      </c>
      <c r="H78" s="4"/>
      <c r="I78" s="33"/>
      <c r="J78" s="33"/>
      <c r="K78" s="25"/>
      <c r="L78" s="25"/>
    </row>
    <row r="79" spans="1:12">
      <c r="A79" s="26">
        <v>3</v>
      </c>
      <c r="B79" s="26">
        <v>11</v>
      </c>
      <c r="C79" s="26">
        <v>24</v>
      </c>
      <c r="D79" s="26">
        <f t="shared" si="15"/>
        <v>0.45833333333333331</v>
      </c>
      <c r="E79" s="67">
        <v>10</v>
      </c>
      <c r="F79" s="67">
        <v>24</v>
      </c>
      <c r="G79" s="67">
        <f>E79/F79</f>
        <v>0.41666666666666669</v>
      </c>
      <c r="H79" s="4"/>
      <c r="I79" s="4"/>
      <c r="J79" s="4"/>
      <c r="K79" s="4"/>
      <c r="L79" s="4"/>
    </row>
    <row r="80" spans="1:12">
      <c r="A80" s="26">
        <v>4</v>
      </c>
      <c r="B80" s="27">
        <v>3</v>
      </c>
      <c r="C80" s="27">
        <v>24</v>
      </c>
      <c r="D80" s="27">
        <f>B80/C80</f>
        <v>0.125</v>
      </c>
      <c r="E80" s="67">
        <v>12</v>
      </c>
      <c r="F80" s="67">
        <v>24</v>
      </c>
      <c r="G80" s="67">
        <f>E80/F80</f>
        <v>0.5</v>
      </c>
      <c r="H80" s="4"/>
      <c r="I80" s="4"/>
      <c r="J80" s="4"/>
      <c r="K80" s="4"/>
      <c r="L80" s="4"/>
    </row>
    <row r="81" spans="1:12">
      <c r="A81" s="26">
        <v>5</v>
      </c>
      <c r="B81" s="27">
        <v>6</v>
      </c>
      <c r="C81" s="27">
        <v>24</v>
      </c>
      <c r="D81" s="27">
        <f t="shared" ref="D81:D82" si="16">B81/C81</f>
        <v>0.25</v>
      </c>
      <c r="E81" s="67">
        <v>10</v>
      </c>
      <c r="F81" s="67">
        <v>24</v>
      </c>
      <c r="G81" s="67">
        <f t="shared" ref="G81:G82" si="17">E81/F81</f>
        <v>0.41666666666666669</v>
      </c>
      <c r="H81" s="4"/>
      <c r="I81" s="4"/>
      <c r="J81" s="4"/>
      <c r="K81" s="4"/>
      <c r="L81" s="4"/>
    </row>
    <row r="82" spans="1:12">
      <c r="A82" s="26">
        <v>6</v>
      </c>
      <c r="B82" s="27">
        <v>9</v>
      </c>
      <c r="C82" s="27">
        <v>24</v>
      </c>
      <c r="D82" s="27">
        <f t="shared" si="16"/>
        <v>0.375</v>
      </c>
      <c r="E82" s="67">
        <v>16</v>
      </c>
      <c r="F82" s="67">
        <v>24</v>
      </c>
      <c r="G82" s="67">
        <f t="shared" si="17"/>
        <v>0.66666666666666663</v>
      </c>
      <c r="H82" s="4"/>
      <c r="I82" s="4"/>
      <c r="J82" s="4"/>
      <c r="K82" s="4"/>
      <c r="L82" s="4"/>
    </row>
    <row r="83" spans="1:12">
      <c r="A83" s="26">
        <v>7</v>
      </c>
      <c r="B83" s="26"/>
      <c r="C83" s="26"/>
      <c r="D83" s="26"/>
      <c r="E83" s="67"/>
      <c r="F83" s="67"/>
      <c r="G83" s="67"/>
      <c r="H83" s="4"/>
      <c r="I83" s="4"/>
      <c r="J83" s="4"/>
      <c r="K83" s="4"/>
      <c r="L83" s="4"/>
    </row>
    <row r="84" spans="1:12">
      <c r="A84" s="26">
        <v>8</v>
      </c>
      <c r="B84" s="14"/>
      <c r="C84" s="14"/>
      <c r="D84" s="14"/>
      <c r="E84" s="62"/>
      <c r="F84" s="62"/>
      <c r="G84" s="62"/>
      <c r="H84" s="4"/>
      <c r="I84" s="4"/>
      <c r="J84" s="4"/>
      <c r="K84" s="4"/>
      <c r="L84" s="4"/>
    </row>
    <row r="85" spans="1:12">
      <c r="A85" s="26">
        <v>9</v>
      </c>
      <c r="B85" s="14"/>
      <c r="C85" s="14"/>
      <c r="D85" s="14"/>
      <c r="E85" s="62"/>
      <c r="F85" s="62"/>
      <c r="G85" s="62"/>
      <c r="H85" s="4"/>
      <c r="I85" s="4"/>
      <c r="J85" s="4"/>
      <c r="K85" s="4"/>
      <c r="L85" s="4"/>
    </row>
    <row r="86" spans="1:12">
      <c r="A86" s="26">
        <v>10</v>
      </c>
      <c r="B86" s="14"/>
      <c r="C86" s="14"/>
      <c r="D86" s="14"/>
      <c r="E86" s="62"/>
      <c r="F86" s="62"/>
      <c r="G86" s="62"/>
      <c r="H86" s="4"/>
      <c r="I86" s="4"/>
      <c r="J86" s="4"/>
      <c r="K86" s="4"/>
      <c r="L86" s="4"/>
    </row>
  </sheetData>
  <mergeCells count="30">
    <mergeCell ref="I33:J33"/>
    <mergeCell ref="B4:D4"/>
    <mergeCell ref="E4:G4"/>
    <mergeCell ref="I5:J5"/>
    <mergeCell ref="I6:J6"/>
    <mergeCell ref="I7:J7"/>
    <mergeCell ref="B18:D18"/>
    <mergeCell ref="E18:G18"/>
    <mergeCell ref="I19:J19"/>
    <mergeCell ref="I20:J20"/>
    <mergeCell ref="I21:J21"/>
    <mergeCell ref="B32:D32"/>
    <mergeCell ref="E32:G32"/>
    <mergeCell ref="I64:J64"/>
    <mergeCell ref="I34:J34"/>
    <mergeCell ref="I35:J35"/>
    <mergeCell ref="B47:D47"/>
    <mergeCell ref="E47:G47"/>
    <mergeCell ref="I48:J48"/>
    <mergeCell ref="I49:J49"/>
    <mergeCell ref="I50:J50"/>
    <mergeCell ref="B61:D61"/>
    <mergeCell ref="E61:G61"/>
    <mergeCell ref="I62:J62"/>
    <mergeCell ref="I63:J63"/>
    <mergeCell ref="B75:D75"/>
    <mergeCell ref="E75:G75"/>
    <mergeCell ref="I76:J76"/>
    <mergeCell ref="I77:J77"/>
    <mergeCell ref="I78:J7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tabSelected="1" zoomScale="112" zoomScaleNormal="112" workbookViewId="0">
      <selection activeCell="H37" sqref="H37"/>
    </sheetView>
  </sheetViews>
  <sheetFormatPr defaultColWidth="9" defaultRowHeight="11.25"/>
  <cols>
    <col min="1" max="13" width="9" style="2"/>
    <col min="14" max="14" width="18.28515625" style="2" customWidth="1"/>
    <col min="15" max="16384" width="9" style="2"/>
  </cols>
  <sheetData>
    <row r="1" spans="1:22">
      <c r="A1" s="1" t="s">
        <v>12</v>
      </c>
    </row>
    <row r="2" spans="1:22">
      <c r="N2" s="3"/>
      <c r="O2" s="3"/>
      <c r="P2" s="3"/>
    </row>
    <row r="3" spans="1:22" ht="12">
      <c r="B3" s="24" t="s">
        <v>19</v>
      </c>
      <c r="C3" s="4"/>
      <c r="D3" s="4"/>
      <c r="E3" s="22" t="s">
        <v>17</v>
      </c>
      <c r="F3" s="15"/>
      <c r="G3" s="15"/>
      <c r="H3" s="4"/>
      <c r="I3" s="8" t="s">
        <v>14</v>
      </c>
      <c r="J3" s="8"/>
      <c r="K3" s="4"/>
      <c r="L3" s="4"/>
      <c r="N3" s="3"/>
      <c r="O3" s="3"/>
      <c r="P3" s="3"/>
    </row>
    <row r="4" spans="1:22">
      <c r="A4" s="4"/>
      <c r="B4" s="36" t="s">
        <v>0</v>
      </c>
      <c r="C4" s="38"/>
      <c r="D4" s="37"/>
      <c r="E4" s="39" t="s">
        <v>14</v>
      </c>
      <c r="F4" s="40"/>
      <c r="G4" s="41"/>
      <c r="H4" s="4"/>
      <c r="I4" s="4"/>
      <c r="J4" s="4"/>
      <c r="K4" s="5" t="s">
        <v>1</v>
      </c>
      <c r="L4" s="6" t="s">
        <v>2</v>
      </c>
      <c r="N4" s="3"/>
      <c r="O4" s="3"/>
      <c r="P4" s="3"/>
    </row>
    <row r="5" spans="1:22">
      <c r="A5" s="7" t="s">
        <v>3</v>
      </c>
      <c r="B5" s="5" t="s">
        <v>4</v>
      </c>
      <c r="C5" s="5" t="s">
        <v>5</v>
      </c>
      <c r="D5" s="5" t="s">
        <v>6</v>
      </c>
      <c r="E5" s="16" t="s">
        <v>4</v>
      </c>
      <c r="F5" s="16" t="s">
        <v>5</v>
      </c>
      <c r="G5" s="16" t="s">
        <v>6</v>
      </c>
      <c r="H5" s="4"/>
      <c r="I5" s="42"/>
      <c r="J5" s="42"/>
      <c r="K5" s="5">
        <f>AVERAGE(D6:D15)</f>
        <v>0.17361111111111113</v>
      </c>
      <c r="L5" s="5">
        <f>STDEV(D6:D15)/SQRT(6)</f>
        <v>3.6350700911951112E-2</v>
      </c>
      <c r="N5" s="3"/>
      <c r="O5" s="3"/>
      <c r="P5" s="3"/>
    </row>
    <row r="6" spans="1:22">
      <c r="A6" s="5">
        <v>1</v>
      </c>
      <c r="B6" s="5">
        <v>2</v>
      </c>
      <c r="C6" s="5">
        <v>24</v>
      </c>
      <c r="D6" s="5">
        <f t="shared" ref="D6:D11" si="0">B6/C6</f>
        <v>8.3333333333333329E-2</v>
      </c>
      <c r="E6" s="16">
        <v>7</v>
      </c>
      <c r="F6" s="16">
        <v>24</v>
      </c>
      <c r="G6" s="16">
        <f>E6/F6</f>
        <v>0.29166666666666669</v>
      </c>
      <c r="H6" s="4"/>
      <c r="I6" s="34"/>
      <c r="J6" s="34"/>
      <c r="K6" s="5">
        <f>AVERAGE(G6:G15)</f>
        <v>0.34027777777777773</v>
      </c>
      <c r="L6" s="5">
        <f>STDEV(G6:G15)/SQRT(6)</f>
        <v>5.0936446724700726E-2</v>
      </c>
    </row>
    <row r="7" spans="1:22">
      <c r="A7" s="5">
        <v>2</v>
      </c>
      <c r="B7" s="5">
        <v>7</v>
      </c>
      <c r="C7" s="5">
        <v>24</v>
      </c>
      <c r="D7" s="5">
        <f t="shared" si="0"/>
        <v>0.29166666666666669</v>
      </c>
      <c r="E7" s="16">
        <v>5</v>
      </c>
      <c r="F7" s="16">
        <v>24</v>
      </c>
      <c r="G7" s="16">
        <f t="shared" ref="G7:G8" si="1">E7/F7</f>
        <v>0.20833333333333334</v>
      </c>
      <c r="H7" s="4"/>
      <c r="I7" s="33"/>
      <c r="J7" s="33"/>
      <c r="K7" s="19"/>
      <c r="L7" s="19"/>
    </row>
    <row r="8" spans="1:22">
      <c r="A8" s="5">
        <v>3</v>
      </c>
      <c r="B8" s="5">
        <v>5</v>
      </c>
      <c r="C8" s="5">
        <v>24</v>
      </c>
      <c r="D8" s="5">
        <f t="shared" si="0"/>
        <v>0.20833333333333334</v>
      </c>
      <c r="E8" s="16">
        <v>9</v>
      </c>
      <c r="F8" s="16">
        <v>24</v>
      </c>
      <c r="G8" s="16">
        <f t="shared" si="1"/>
        <v>0.375</v>
      </c>
      <c r="H8" s="4"/>
      <c r="I8" s="4"/>
      <c r="J8" s="4"/>
      <c r="K8" s="4"/>
      <c r="L8" s="4"/>
      <c r="O8" s="8" t="s">
        <v>1</v>
      </c>
      <c r="S8" s="1" t="s">
        <v>11</v>
      </c>
    </row>
    <row r="9" spans="1:22">
      <c r="A9" s="5">
        <v>4</v>
      </c>
      <c r="B9" s="5">
        <v>3</v>
      </c>
      <c r="C9" s="5">
        <v>24</v>
      </c>
      <c r="D9" s="5">
        <f t="shared" si="0"/>
        <v>0.125</v>
      </c>
      <c r="E9" s="16">
        <v>12</v>
      </c>
      <c r="F9" s="16">
        <v>24</v>
      </c>
      <c r="G9" s="16">
        <f>E9/F9</f>
        <v>0.5</v>
      </c>
      <c r="H9" s="4"/>
      <c r="I9" s="4"/>
      <c r="J9" s="4"/>
      <c r="K9" s="4"/>
      <c r="L9" s="4"/>
      <c r="N9" s="13"/>
      <c r="O9" s="13">
        <v>10</v>
      </c>
      <c r="P9" s="13">
        <v>50</v>
      </c>
      <c r="Q9" s="13">
        <v>100</v>
      </c>
      <c r="R9" s="1"/>
      <c r="S9" s="1">
        <v>10</v>
      </c>
      <c r="T9" s="1">
        <v>50</v>
      </c>
      <c r="U9" s="1">
        <v>100</v>
      </c>
    </row>
    <row r="10" spans="1:22">
      <c r="A10" s="5">
        <v>5</v>
      </c>
      <c r="B10" s="5">
        <v>6</v>
      </c>
      <c r="C10" s="5">
        <v>24</v>
      </c>
      <c r="D10" s="5">
        <f t="shared" si="0"/>
        <v>0.25</v>
      </c>
      <c r="E10" s="16">
        <v>5</v>
      </c>
      <c r="F10" s="16">
        <v>24</v>
      </c>
      <c r="G10" s="16">
        <f>E10/F10</f>
        <v>0.20833333333333334</v>
      </c>
      <c r="H10" s="4"/>
      <c r="I10" s="4"/>
      <c r="J10" s="4"/>
      <c r="K10" s="4"/>
      <c r="L10" s="4"/>
      <c r="N10" s="14" t="s">
        <v>19</v>
      </c>
      <c r="O10" s="14">
        <f>K5</f>
        <v>0.17361111111111113</v>
      </c>
      <c r="P10" s="14">
        <f>K19</f>
        <v>0.2638888888888889</v>
      </c>
      <c r="Q10" s="14">
        <f>K33</f>
        <v>0.49305555555555558</v>
      </c>
      <c r="S10" s="2">
        <f>L5</f>
        <v>3.6350700911951112E-2</v>
      </c>
      <c r="T10" s="2">
        <f>L19</f>
        <v>3.9771725175767679E-2</v>
      </c>
      <c r="U10" s="2">
        <f>L33</f>
        <v>6.4024614286756099E-2</v>
      </c>
      <c r="V10" s="10"/>
    </row>
    <row r="11" spans="1:22" ht="12">
      <c r="A11" s="5">
        <v>6</v>
      </c>
      <c r="B11" s="5">
        <v>2</v>
      </c>
      <c r="C11" s="5">
        <v>24</v>
      </c>
      <c r="D11" s="5">
        <f t="shared" si="0"/>
        <v>8.3333333333333329E-2</v>
      </c>
      <c r="E11" s="16">
        <v>11</v>
      </c>
      <c r="F11" s="16">
        <v>24</v>
      </c>
      <c r="G11" s="16">
        <f>E11/F11</f>
        <v>0.45833333333333331</v>
      </c>
      <c r="H11" s="4"/>
      <c r="I11" s="4"/>
      <c r="J11" s="4"/>
      <c r="K11" s="4"/>
      <c r="L11" s="4"/>
      <c r="N11" s="22" t="s">
        <v>17</v>
      </c>
      <c r="O11" s="14">
        <f>K6</f>
        <v>0.34027777777777773</v>
      </c>
      <c r="P11" s="14">
        <f>K20</f>
        <v>0.47916666666666669</v>
      </c>
      <c r="Q11" s="14">
        <f t="shared" ref="Q11" si="2">K34</f>
        <v>0.56944444444444442</v>
      </c>
      <c r="S11" s="2">
        <f t="shared" ref="S11" si="3">L6</f>
        <v>5.0936446724700726E-2</v>
      </c>
      <c r="T11" s="2">
        <f t="shared" ref="T11" si="4">L20</f>
        <v>5.0173310744967878E-2</v>
      </c>
      <c r="U11" s="2">
        <f t="shared" ref="U11" si="5">L34</f>
        <v>6.7757282875835864E-2</v>
      </c>
      <c r="V11" s="10"/>
    </row>
    <row r="12" spans="1:22" ht="12">
      <c r="A12" s="5">
        <v>7</v>
      </c>
      <c r="B12" s="5"/>
      <c r="C12" s="5"/>
      <c r="D12" s="5"/>
      <c r="E12" s="16"/>
      <c r="F12" s="16"/>
      <c r="G12" s="16"/>
      <c r="H12" s="4"/>
      <c r="I12" s="4"/>
      <c r="J12" s="4"/>
      <c r="K12" s="4"/>
      <c r="L12" s="4"/>
      <c r="N12" s="20"/>
      <c r="O12" s="14"/>
      <c r="P12" s="14"/>
      <c r="Q12" s="14"/>
    </row>
    <row r="13" spans="1:22">
      <c r="A13" s="5">
        <v>8</v>
      </c>
      <c r="B13" s="5"/>
      <c r="C13" s="5"/>
      <c r="D13" s="5"/>
      <c r="E13" s="16"/>
      <c r="F13" s="16"/>
      <c r="G13" s="16"/>
      <c r="H13" s="4"/>
      <c r="I13" s="4"/>
      <c r="J13" s="4"/>
      <c r="K13" s="4"/>
      <c r="L13" s="4"/>
      <c r="N13" s="14" t="s">
        <v>20</v>
      </c>
      <c r="O13" s="14">
        <f>K48</f>
        <v>0.1111111111111111</v>
      </c>
      <c r="P13" s="14">
        <f>K62</f>
        <v>0.17361111111111108</v>
      </c>
      <c r="Q13" s="14">
        <f>K76</f>
        <v>0.27083333333333331</v>
      </c>
      <c r="S13" s="2">
        <f>L48</f>
        <v>2.777777777777779E-2</v>
      </c>
      <c r="T13" s="2">
        <f>L62</f>
        <v>4.0848447694035415E-2</v>
      </c>
      <c r="U13" s="2">
        <f>L76</f>
        <v>5.5642293400028152E-2</v>
      </c>
    </row>
    <row r="14" spans="1:22">
      <c r="A14" s="5">
        <v>9</v>
      </c>
      <c r="B14" s="5"/>
      <c r="C14" s="5"/>
      <c r="D14" s="5"/>
      <c r="E14" s="16"/>
      <c r="F14" s="16"/>
      <c r="G14" s="16"/>
      <c r="H14" s="4"/>
      <c r="I14" s="4"/>
      <c r="J14" s="4"/>
      <c r="K14" s="4"/>
      <c r="L14" s="4"/>
      <c r="N14" s="23" t="s">
        <v>18</v>
      </c>
      <c r="O14" s="14">
        <f>K49</f>
        <v>0.27083333333333331</v>
      </c>
      <c r="P14" s="14">
        <f>K63</f>
        <v>0.42361111111111116</v>
      </c>
      <c r="Q14" s="14">
        <f>K77</f>
        <v>0.53472222222222221</v>
      </c>
      <c r="S14" s="2">
        <f>L49</f>
        <v>4.1317985501787557E-2</v>
      </c>
      <c r="T14" s="2">
        <f>L63</f>
        <v>4.22414064604043E-2</v>
      </c>
      <c r="U14" s="2">
        <f>L77</f>
        <v>4.7405689349655562E-2</v>
      </c>
    </row>
    <row r="15" spans="1:22">
      <c r="A15" s="5">
        <v>10</v>
      </c>
      <c r="B15" s="5"/>
      <c r="C15" s="5"/>
      <c r="D15" s="5"/>
      <c r="E15" s="16"/>
      <c r="F15" s="16"/>
      <c r="G15" s="16"/>
      <c r="H15" s="4"/>
      <c r="I15" s="4"/>
      <c r="J15" s="4"/>
      <c r="K15" s="4"/>
      <c r="L15" s="4"/>
      <c r="N15" s="21"/>
      <c r="O15" s="14"/>
      <c r="P15" s="14"/>
      <c r="Q15" s="14"/>
    </row>
    <row r="16" spans="1:22">
      <c r="A16" s="4"/>
      <c r="B16" s="4"/>
      <c r="C16" s="4"/>
      <c r="D16" s="4"/>
      <c r="E16" s="15"/>
      <c r="F16" s="15"/>
      <c r="G16" s="15"/>
      <c r="H16" s="4"/>
      <c r="I16" s="4"/>
      <c r="J16" s="4"/>
      <c r="K16" s="4"/>
      <c r="L16" s="4"/>
    </row>
    <row r="17" spans="1:12" ht="12">
      <c r="B17" s="24" t="s">
        <v>19</v>
      </c>
      <c r="C17" s="4"/>
      <c r="D17" s="4"/>
      <c r="E17" s="22" t="s">
        <v>17</v>
      </c>
      <c r="F17" s="15"/>
      <c r="G17" s="15"/>
      <c r="H17" s="4"/>
      <c r="I17" s="8" t="s">
        <v>15</v>
      </c>
      <c r="J17" s="8"/>
      <c r="K17" s="4"/>
      <c r="L17" s="4"/>
    </row>
    <row r="18" spans="1:12">
      <c r="A18" s="4"/>
      <c r="B18" s="36" t="s">
        <v>15</v>
      </c>
      <c r="C18" s="38"/>
      <c r="D18" s="37"/>
      <c r="E18" s="39" t="s">
        <v>7</v>
      </c>
      <c r="F18" s="40"/>
      <c r="G18" s="41"/>
      <c r="H18" s="4"/>
      <c r="I18" s="4"/>
      <c r="J18" s="4"/>
      <c r="K18" s="5" t="s">
        <v>8</v>
      </c>
      <c r="L18" s="6" t="s">
        <v>2</v>
      </c>
    </row>
    <row r="19" spans="1:12">
      <c r="A19" s="7" t="s">
        <v>9</v>
      </c>
      <c r="B19" s="5" t="s">
        <v>4</v>
      </c>
      <c r="C19" s="5" t="s">
        <v>5</v>
      </c>
      <c r="D19" s="5" t="s">
        <v>6</v>
      </c>
      <c r="E19" s="16" t="s">
        <v>4</v>
      </c>
      <c r="F19" s="16" t="s">
        <v>5</v>
      </c>
      <c r="G19" s="16" t="s">
        <v>10</v>
      </c>
      <c r="H19" s="4"/>
      <c r="I19" s="36"/>
      <c r="J19" s="37"/>
      <c r="K19" s="5">
        <f>AVERAGE(D20:D29)</f>
        <v>0.2638888888888889</v>
      </c>
      <c r="L19" s="5">
        <f>STDEV(D20:D29)/SQRT(6)</f>
        <v>3.9771725175767679E-2</v>
      </c>
    </row>
    <row r="20" spans="1:12">
      <c r="A20" s="5">
        <v>1</v>
      </c>
      <c r="B20" s="5">
        <v>3</v>
      </c>
      <c r="C20" s="5">
        <v>24</v>
      </c>
      <c r="D20" s="5">
        <f>B20/C20</f>
        <v>0.125</v>
      </c>
      <c r="E20" s="16">
        <v>14</v>
      </c>
      <c r="F20" s="16">
        <v>24</v>
      </c>
      <c r="G20" s="16">
        <f>E20/F20</f>
        <v>0.58333333333333337</v>
      </c>
      <c r="H20" s="4"/>
      <c r="I20" s="34"/>
      <c r="J20" s="34"/>
      <c r="K20" s="5">
        <f>AVERAGE(G20:G29)</f>
        <v>0.47916666666666669</v>
      </c>
      <c r="L20" s="5">
        <f>STDEV(G20:G29)/SQRT(6)</f>
        <v>5.0173310744967878E-2</v>
      </c>
    </row>
    <row r="21" spans="1:12">
      <c r="A21" s="5">
        <v>2</v>
      </c>
      <c r="B21" s="5">
        <v>9</v>
      </c>
      <c r="C21" s="5">
        <v>24</v>
      </c>
      <c r="D21" s="5">
        <f t="shared" ref="D21:D22" si="6">B21/C21</f>
        <v>0.375</v>
      </c>
      <c r="E21" s="16">
        <v>8</v>
      </c>
      <c r="F21" s="16">
        <v>24</v>
      </c>
      <c r="G21" s="16">
        <f t="shared" ref="G21:G22" si="7">E21/F21</f>
        <v>0.33333333333333331</v>
      </c>
      <c r="H21" s="4"/>
      <c r="I21" s="33"/>
      <c r="J21" s="33"/>
      <c r="K21" s="18"/>
      <c r="L21" s="18"/>
    </row>
    <row r="22" spans="1:12">
      <c r="A22" s="5">
        <v>3</v>
      </c>
      <c r="B22" s="5">
        <v>5</v>
      </c>
      <c r="C22" s="5">
        <v>24</v>
      </c>
      <c r="D22" s="5">
        <f t="shared" si="6"/>
        <v>0.20833333333333334</v>
      </c>
      <c r="E22" s="16">
        <v>12</v>
      </c>
      <c r="F22" s="16">
        <v>24</v>
      </c>
      <c r="G22" s="16">
        <f t="shared" si="7"/>
        <v>0.5</v>
      </c>
      <c r="H22" s="4"/>
      <c r="I22" s="4"/>
      <c r="J22" s="4"/>
      <c r="K22" s="4"/>
      <c r="L22" s="4"/>
    </row>
    <row r="23" spans="1:12">
      <c r="A23" s="5">
        <v>4</v>
      </c>
      <c r="B23" s="5">
        <v>5</v>
      </c>
      <c r="C23" s="5">
        <v>24</v>
      </c>
      <c r="D23" s="5">
        <f>B23/C23</f>
        <v>0.20833333333333334</v>
      </c>
      <c r="E23" s="16">
        <v>12</v>
      </c>
      <c r="F23" s="16">
        <v>24</v>
      </c>
      <c r="G23" s="16">
        <f>E23/F23</f>
        <v>0.5</v>
      </c>
      <c r="H23" s="4"/>
      <c r="I23" s="4"/>
      <c r="J23" s="4"/>
      <c r="K23" s="4"/>
      <c r="L23" s="4"/>
    </row>
    <row r="24" spans="1:12">
      <c r="A24" s="5">
        <v>5</v>
      </c>
      <c r="B24" s="5">
        <v>8</v>
      </c>
      <c r="C24" s="5">
        <v>24</v>
      </c>
      <c r="D24" s="5">
        <f>B24/C24</f>
        <v>0.33333333333333331</v>
      </c>
      <c r="E24" s="16">
        <v>8</v>
      </c>
      <c r="F24" s="16">
        <v>24</v>
      </c>
      <c r="G24" s="16">
        <f t="shared" ref="G24:G25" si="8">E24/F24</f>
        <v>0.33333333333333331</v>
      </c>
      <c r="H24" s="4"/>
      <c r="I24" s="4"/>
      <c r="J24" s="4"/>
      <c r="K24" s="4"/>
      <c r="L24" s="4"/>
    </row>
    <row r="25" spans="1:12">
      <c r="A25" s="5">
        <v>6</v>
      </c>
      <c r="B25" s="5">
        <v>8</v>
      </c>
      <c r="C25" s="5">
        <v>24</v>
      </c>
      <c r="D25" s="5">
        <f>B25/C25</f>
        <v>0.33333333333333331</v>
      </c>
      <c r="E25" s="16">
        <v>15</v>
      </c>
      <c r="F25" s="16">
        <v>24</v>
      </c>
      <c r="G25" s="16">
        <f t="shared" si="8"/>
        <v>0.625</v>
      </c>
      <c r="H25" s="4"/>
      <c r="I25" s="4"/>
      <c r="J25" s="4"/>
      <c r="K25" s="4"/>
      <c r="L25" s="4"/>
    </row>
    <row r="26" spans="1:12">
      <c r="A26" s="5">
        <v>7</v>
      </c>
      <c r="B26" s="5"/>
      <c r="C26" s="5"/>
      <c r="D26" s="5"/>
      <c r="E26" s="16"/>
      <c r="F26" s="16"/>
      <c r="G26" s="16"/>
      <c r="H26" s="4"/>
      <c r="I26" s="4"/>
      <c r="J26" s="4"/>
      <c r="K26" s="4"/>
      <c r="L26" s="4"/>
    </row>
    <row r="27" spans="1:12">
      <c r="A27" s="5">
        <v>8</v>
      </c>
      <c r="B27" s="5"/>
      <c r="C27" s="5"/>
      <c r="D27" s="5"/>
      <c r="E27" s="16"/>
      <c r="F27" s="16"/>
      <c r="G27" s="16"/>
      <c r="H27" s="4"/>
      <c r="I27" s="4"/>
      <c r="J27" s="4"/>
      <c r="K27" s="4"/>
      <c r="L27" s="4"/>
    </row>
    <row r="28" spans="1:12">
      <c r="A28" s="5">
        <v>9</v>
      </c>
      <c r="B28" s="5"/>
      <c r="C28" s="5"/>
      <c r="D28" s="5"/>
      <c r="E28" s="16"/>
      <c r="F28" s="16"/>
      <c r="G28" s="16"/>
      <c r="H28" s="4"/>
      <c r="I28" s="4"/>
      <c r="J28" s="4"/>
      <c r="K28" s="4"/>
      <c r="L28" s="4"/>
    </row>
    <row r="29" spans="1:12">
      <c r="A29" s="5">
        <v>10</v>
      </c>
      <c r="B29" s="5"/>
      <c r="C29" s="5"/>
      <c r="D29" s="5"/>
      <c r="E29" s="16"/>
      <c r="F29" s="16"/>
      <c r="G29" s="16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15"/>
      <c r="F30" s="15"/>
      <c r="G30" s="15"/>
      <c r="H30" s="4"/>
      <c r="I30" s="4"/>
      <c r="J30" s="4"/>
      <c r="K30" s="4"/>
      <c r="L30" s="4"/>
    </row>
    <row r="31" spans="1:12" ht="12">
      <c r="A31" s="9"/>
      <c r="B31" s="24" t="s">
        <v>19</v>
      </c>
      <c r="C31" s="4"/>
      <c r="D31" s="4"/>
      <c r="E31" s="22" t="s">
        <v>17</v>
      </c>
      <c r="F31" s="15"/>
      <c r="G31" s="15"/>
      <c r="H31" s="4"/>
      <c r="I31" s="8" t="s">
        <v>16</v>
      </c>
      <c r="J31" s="8"/>
      <c r="K31" s="4"/>
      <c r="L31" s="4"/>
    </row>
    <row r="32" spans="1:12">
      <c r="A32" s="4"/>
      <c r="B32" s="36" t="s">
        <v>16</v>
      </c>
      <c r="C32" s="38"/>
      <c r="D32" s="37"/>
      <c r="E32" s="39" t="s">
        <v>16</v>
      </c>
      <c r="F32" s="40"/>
      <c r="G32" s="41"/>
      <c r="H32" s="4"/>
      <c r="I32" s="4"/>
      <c r="J32" s="4"/>
      <c r="K32" s="5" t="s">
        <v>1</v>
      </c>
      <c r="L32" s="6" t="s">
        <v>2</v>
      </c>
    </row>
    <row r="33" spans="1:15">
      <c r="A33" s="7" t="s">
        <v>3</v>
      </c>
      <c r="B33" s="5" t="s">
        <v>4</v>
      </c>
      <c r="C33" s="5" t="s">
        <v>5</v>
      </c>
      <c r="D33" s="5" t="s">
        <v>6</v>
      </c>
      <c r="E33" s="16" t="s">
        <v>4</v>
      </c>
      <c r="F33" s="16" t="s">
        <v>5</v>
      </c>
      <c r="G33" s="16" t="s">
        <v>6</v>
      </c>
      <c r="H33" s="4"/>
      <c r="I33" s="36"/>
      <c r="J33" s="37"/>
      <c r="K33" s="5">
        <f>AVERAGE(D34:D43)</f>
        <v>0.49305555555555558</v>
      </c>
      <c r="L33" s="5">
        <f>STDEV(D34:D43)/SQRT(6)</f>
        <v>6.4024614286756099E-2</v>
      </c>
    </row>
    <row r="34" spans="1:15">
      <c r="A34" s="5">
        <v>1</v>
      </c>
      <c r="B34" s="5">
        <v>5</v>
      </c>
      <c r="C34" s="5">
        <v>24</v>
      </c>
      <c r="D34" s="5">
        <f>B34/C34</f>
        <v>0.20833333333333334</v>
      </c>
      <c r="E34" s="16">
        <v>18</v>
      </c>
      <c r="F34" s="16">
        <v>24</v>
      </c>
      <c r="G34" s="16">
        <f>E34/F34</f>
        <v>0.75</v>
      </c>
      <c r="H34" s="4"/>
      <c r="I34" s="34"/>
      <c r="J34" s="34"/>
      <c r="K34" s="5">
        <f>AVERAGE(G34:G43)</f>
        <v>0.56944444444444442</v>
      </c>
      <c r="L34" s="5">
        <f>STDEV(G34:G43)/SQRT(6)</f>
        <v>6.7757282875835864E-2</v>
      </c>
      <c r="O34" s="2" t="s">
        <v>13</v>
      </c>
    </row>
    <row r="35" spans="1:15">
      <c r="A35" s="5">
        <v>2</v>
      </c>
      <c r="B35" s="5">
        <v>16</v>
      </c>
      <c r="C35" s="5">
        <v>24</v>
      </c>
      <c r="D35" s="5">
        <f t="shared" ref="D35:D36" si="9">B35/C35</f>
        <v>0.66666666666666663</v>
      </c>
      <c r="E35" s="16">
        <v>9</v>
      </c>
      <c r="F35" s="16">
        <v>24</v>
      </c>
      <c r="G35" s="16">
        <f t="shared" ref="G35:G36" si="10">E35/F35</f>
        <v>0.375</v>
      </c>
      <c r="H35" s="4"/>
      <c r="I35" s="33"/>
      <c r="J35" s="33"/>
      <c r="K35" s="19"/>
      <c r="L35" s="19"/>
    </row>
    <row r="36" spans="1:15">
      <c r="A36" s="5">
        <v>3</v>
      </c>
      <c r="B36" s="5">
        <v>12</v>
      </c>
      <c r="C36" s="5">
        <v>24</v>
      </c>
      <c r="D36" s="5">
        <f t="shared" si="9"/>
        <v>0.5</v>
      </c>
      <c r="E36" s="16">
        <v>13</v>
      </c>
      <c r="F36" s="16">
        <v>24</v>
      </c>
      <c r="G36" s="16">
        <f t="shared" si="10"/>
        <v>0.54166666666666663</v>
      </c>
      <c r="H36" s="4"/>
      <c r="I36" s="4"/>
      <c r="J36" s="4"/>
      <c r="K36" s="4"/>
      <c r="L36" s="4"/>
    </row>
    <row r="37" spans="1:15">
      <c r="A37" s="5">
        <v>4</v>
      </c>
      <c r="B37" s="5">
        <v>14</v>
      </c>
      <c r="C37" s="5">
        <v>24</v>
      </c>
      <c r="D37" s="5">
        <f>B37/C37</f>
        <v>0.58333333333333337</v>
      </c>
      <c r="E37" s="16">
        <v>17</v>
      </c>
      <c r="F37" s="16">
        <v>24</v>
      </c>
      <c r="G37" s="16">
        <f>E37/F37</f>
        <v>0.70833333333333337</v>
      </c>
      <c r="H37" s="4"/>
      <c r="I37" s="4"/>
      <c r="J37" s="4"/>
      <c r="K37" s="4"/>
      <c r="L37" s="4"/>
    </row>
    <row r="38" spans="1:15">
      <c r="A38" s="5">
        <v>5</v>
      </c>
      <c r="B38" s="5">
        <v>11</v>
      </c>
      <c r="C38" s="5">
        <v>24</v>
      </c>
      <c r="D38" s="5">
        <f t="shared" ref="D38:D39" si="11">B38/C38</f>
        <v>0.45833333333333331</v>
      </c>
      <c r="E38" s="16">
        <v>9</v>
      </c>
      <c r="F38" s="16">
        <v>24</v>
      </c>
      <c r="G38" s="16">
        <f t="shared" ref="G38:G39" si="12">E38/F38</f>
        <v>0.375</v>
      </c>
      <c r="H38" s="4"/>
      <c r="I38" s="4"/>
      <c r="J38" s="4"/>
      <c r="K38" s="4"/>
      <c r="L38" s="4"/>
    </row>
    <row r="39" spans="1:15">
      <c r="A39" s="5">
        <v>6</v>
      </c>
      <c r="B39" s="5">
        <v>13</v>
      </c>
      <c r="C39" s="5">
        <v>24</v>
      </c>
      <c r="D39" s="5">
        <f t="shared" si="11"/>
        <v>0.54166666666666663</v>
      </c>
      <c r="E39" s="16">
        <v>16</v>
      </c>
      <c r="F39" s="16">
        <v>24</v>
      </c>
      <c r="G39" s="16">
        <f t="shared" si="12"/>
        <v>0.66666666666666663</v>
      </c>
      <c r="H39" s="4"/>
      <c r="I39" s="4"/>
      <c r="J39" s="4"/>
      <c r="K39" s="4"/>
      <c r="L39" s="4"/>
    </row>
    <row r="40" spans="1:15">
      <c r="A40" s="5">
        <v>7</v>
      </c>
      <c r="B40" s="5"/>
      <c r="C40" s="5"/>
      <c r="D40" s="5"/>
      <c r="E40" s="16"/>
      <c r="F40" s="16"/>
      <c r="G40" s="16"/>
      <c r="H40" s="4"/>
      <c r="I40" s="4"/>
      <c r="J40" s="4"/>
      <c r="K40" s="4"/>
      <c r="L40" s="4"/>
    </row>
    <row r="41" spans="1:15">
      <c r="A41" s="5">
        <v>8</v>
      </c>
      <c r="B41" s="5"/>
      <c r="C41" s="5"/>
      <c r="D41" s="5"/>
      <c r="E41" s="16"/>
      <c r="F41" s="16"/>
      <c r="G41" s="16"/>
      <c r="H41" s="4"/>
      <c r="I41" s="4"/>
      <c r="J41" s="4"/>
      <c r="K41" s="4"/>
      <c r="L41" s="4"/>
    </row>
    <row r="42" spans="1:15">
      <c r="A42" s="5">
        <v>9</v>
      </c>
      <c r="B42" s="5"/>
      <c r="C42" s="5"/>
      <c r="D42" s="5"/>
      <c r="E42" s="16"/>
      <c r="F42" s="16"/>
      <c r="G42" s="16"/>
      <c r="H42" s="4"/>
      <c r="I42" s="4"/>
      <c r="J42" s="4"/>
      <c r="K42" s="4"/>
      <c r="L42" s="4"/>
    </row>
    <row r="43" spans="1:15">
      <c r="A43" s="5">
        <v>10</v>
      </c>
      <c r="B43" s="5"/>
      <c r="C43" s="5"/>
      <c r="D43" s="5"/>
      <c r="E43" s="16"/>
      <c r="F43" s="16"/>
      <c r="G43" s="16"/>
      <c r="H43" s="4"/>
      <c r="I43" s="4"/>
      <c r="J43" s="4"/>
      <c r="K43" s="4"/>
      <c r="L43" s="4"/>
    </row>
    <row r="46" spans="1:15" ht="12">
      <c r="B46" s="24" t="s">
        <v>20</v>
      </c>
      <c r="E46" s="23" t="s">
        <v>18</v>
      </c>
      <c r="F46" s="12"/>
      <c r="G46" s="12"/>
      <c r="I46" s="8" t="s">
        <v>14</v>
      </c>
      <c r="J46" s="8"/>
    </row>
    <row r="47" spans="1:15">
      <c r="A47" s="4"/>
      <c r="B47" s="36" t="s">
        <v>14</v>
      </c>
      <c r="C47" s="38"/>
      <c r="D47" s="37"/>
      <c r="E47" s="43" t="s">
        <v>14</v>
      </c>
      <c r="F47" s="44"/>
      <c r="G47" s="45"/>
      <c r="H47" s="4"/>
      <c r="I47" s="4"/>
      <c r="J47" s="4"/>
      <c r="K47" s="5" t="s">
        <v>1</v>
      </c>
      <c r="L47" s="6" t="s">
        <v>2</v>
      </c>
    </row>
    <row r="48" spans="1:15">
      <c r="A48" s="7" t="s">
        <v>3</v>
      </c>
      <c r="B48" s="5" t="s">
        <v>4</v>
      </c>
      <c r="C48" s="5" t="s">
        <v>5</v>
      </c>
      <c r="D48" s="5" t="s">
        <v>6</v>
      </c>
      <c r="E48" s="17" t="s">
        <v>4</v>
      </c>
      <c r="F48" s="17" t="s">
        <v>5</v>
      </c>
      <c r="G48" s="17" t="s">
        <v>6</v>
      </c>
      <c r="H48" s="4"/>
      <c r="I48" s="36"/>
      <c r="J48" s="37"/>
      <c r="K48" s="5">
        <f>AVERAGE(D49:D58)</f>
        <v>0.1111111111111111</v>
      </c>
      <c r="L48" s="5">
        <f>STDEV(D49:D58)/SQRT(6)</f>
        <v>2.777777777777779E-2</v>
      </c>
    </row>
    <row r="49" spans="1:12">
      <c r="A49" s="5">
        <v>1</v>
      </c>
      <c r="B49" s="5">
        <v>1</v>
      </c>
      <c r="C49" s="5">
        <v>24</v>
      </c>
      <c r="D49" s="5">
        <f t="shared" ref="D49:D54" si="13">B49/C49</f>
        <v>4.1666666666666664E-2</v>
      </c>
      <c r="E49" s="17">
        <v>7</v>
      </c>
      <c r="F49" s="17">
        <v>24</v>
      </c>
      <c r="G49" s="17">
        <f>E49/F49</f>
        <v>0.29166666666666669</v>
      </c>
      <c r="H49" s="4"/>
      <c r="I49" s="35"/>
      <c r="J49" s="35"/>
      <c r="K49" s="5">
        <f>AVERAGE(G49:G58)</f>
        <v>0.27083333333333331</v>
      </c>
      <c r="L49" s="5">
        <f>STDEV(G49:G58)/SQRT(6)</f>
        <v>4.1317985501787557E-2</v>
      </c>
    </row>
    <row r="50" spans="1:12">
      <c r="A50" s="5">
        <v>2</v>
      </c>
      <c r="B50" s="5">
        <v>3</v>
      </c>
      <c r="C50" s="5">
        <v>24</v>
      </c>
      <c r="D50" s="5">
        <f t="shared" si="13"/>
        <v>0.125</v>
      </c>
      <c r="E50" s="17">
        <v>6</v>
      </c>
      <c r="F50" s="17">
        <v>24</v>
      </c>
      <c r="G50" s="17">
        <f t="shared" ref="G50:G51" si="14">E50/F50</f>
        <v>0.25</v>
      </c>
      <c r="H50" s="4"/>
      <c r="I50" s="33"/>
      <c r="J50" s="33"/>
      <c r="K50" s="19"/>
      <c r="L50" s="19"/>
    </row>
    <row r="51" spans="1:12">
      <c r="A51" s="5">
        <v>3</v>
      </c>
      <c r="B51" s="5">
        <v>4</v>
      </c>
      <c r="C51" s="5">
        <v>24</v>
      </c>
      <c r="D51" s="5">
        <f t="shared" si="13"/>
        <v>0.16666666666666666</v>
      </c>
      <c r="E51" s="17">
        <v>10</v>
      </c>
      <c r="F51" s="17">
        <v>24</v>
      </c>
      <c r="G51" s="17">
        <f t="shared" si="14"/>
        <v>0.41666666666666669</v>
      </c>
      <c r="H51" s="4"/>
      <c r="I51" s="4"/>
      <c r="J51" s="4"/>
      <c r="K51" s="4"/>
      <c r="L51" s="4"/>
    </row>
    <row r="52" spans="1:12">
      <c r="A52" s="5">
        <v>4</v>
      </c>
      <c r="B52" s="5">
        <v>1</v>
      </c>
      <c r="C52" s="5">
        <v>24</v>
      </c>
      <c r="D52" s="5">
        <f t="shared" si="13"/>
        <v>4.1666666666666664E-2</v>
      </c>
      <c r="E52" s="17">
        <v>8</v>
      </c>
      <c r="F52" s="17">
        <v>24</v>
      </c>
      <c r="G52" s="17">
        <f>E52/F52</f>
        <v>0.33333333333333331</v>
      </c>
      <c r="H52" s="4"/>
      <c r="I52" s="4"/>
      <c r="J52" s="4"/>
      <c r="K52" s="4"/>
      <c r="L52" s="4"/>
    </row>
    <row r="53" spans="1:12">
      <c r="A53" s="5">
        <v>5</v>
      </c>
      <c r="B53" s="5">
        <v>2</v>
      </c>
      <c r="C53" s="5">
        <v>24</v>
      </c>
      <c r="D53" s="5">
        <f t="shared" si="13"/>
        <v>8.3333333333333329E-2</v>
      </c>
      <c r="E53" s="17">
        <v>3</v>
      </c>
      <c r="F53" s="17">
        <v>24</v>
      </c>
      <c r="G53" s="17">
        <f>E53/F53</f>
        <v>0.125</v>
      </c>
      <c r="H53" s="4"/>
      <c r="I53" s="4"/>
      <c r="J53" s="4"/>
      <c r="K53" s="4"/>
      <c r="L53" s="4"/>
    </row>
    <row r="54" spans="1:12">
      <c r="A54" s="5">
        <v>6</v>
      </c>
      <c r="B54" s="5">
        <v>5</v>
      </c>
      <c r="C54" s="5">
        <v>24</v>
      </c>
      <c r="D54" s="5">
        <f t="shared" si="13"/>
        <v>0.20833333333333334</v>
      </c>
      <c r="E54" s="17">
        <v>5</v>
      </c>
      <c r="F54" s="17">
        <v>24</v>
      </c>
      <c r="G54" s="17">
        <f>E54/F54</f>
        <v>0.20833333333333334</v>
      </c>
      <c r="H54" s="4"/>
      <c r="I54" s="4"/>
      <c r="J54" s="4"/>
      <c r="K54" s="4"/>
      <c r="L54" s="4"/>
    </row>
    <row r="55" spans="1:12">
      <c r="A55" s="5">
        <v>7</v>
      </c>
      <c r="B55" s="5"/>
      <c r="C55" s="5"/>
      <c r="D55" s="5"/>
      <c r="E55" s="17"/>
      <c r="F55" s="17"/>
      <c r="G55" s="17"/>
      <c r="H55" s="4"/>
      <c r="I55" s="4"/>
      <c r="J55" s="4"/>
      <c r="K55" s="4"/>
      <c r="L55" s="4"/>
    </row>
    <row r="56" spans="1:12">
      <c r="A56" s="5">
        <v>8</v>
      </c>
      <c r="B56" s="5"/>
      <c r="C56" s="5"/>
      <c r="D56" s="5"/>
      <c r="E56" s="17"/>
      <c r="F56" s="17"/>
      <c r="G56" s="17"/>
      <c r="H56" s="4"/>
      <c r="I56" s="4"/>
      <c r="J56" s="4"/>
      <c r="K56" s="4"/>
      <c r="L56" s="4"/>
    </row>
    <row r="57" spans="1:12">
      <c r="A57" s="5">
        <v>9</v>
      </c>
      <c r="B57" s="5"/>
      <c r="C57" s="5"/>
      <c r="D57" s="5"/>
      <c r="E57" s="17"/>
      <c r="F57" s="17"/>
      <c r="G57" s="17"/>
      <c r="H57" s="4"/>
      <c r="I57" s="4"/>
      <c r="J57" s="4"/>
      <c r="K57" s="4"/>
      <c r="L57" s="4"/>
    </row>
    <row r="58" spans="1:12">
      <c r="A58" s="5">
        <v>10</v>
      </c>
      <c r="B58" s="5"/>
      <c r="C58" s="5"/>
      <c r="D58" s="5"/>
      <c r="E58" s="17"/>
      <c r="F58" s="17"/>
      <c r="G58" s="17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11"/>
      <c r="F59" s="11"/>
      <c r="G59" s="11"/>
      <c r="H59" s="4"/>
      <c r="I59" s="4"/>
      <c r="J59" s="4"/>
      <c r="K59" s="4"/>
      <c r="L59" s="4"/>
    </row>
    <row r="60" spans="1:12" ht="12">
      <c r="A60" s="9"/>
      <c r="B60" s="24" t="s">
        <v>20</v>
      </c>
      <c r="E60" s="23" t="s">
        <v>18</v>
      </c>
      <c r="F60" s="12"/>
      <c r="G60" s="12"/>
      <c r="H60" s="4"/>
      <c r="I60" s="8" t="s">
        <v>15</v>
      </c>
      <c r="J60" s="8"/>
      <c r="K60" s="4"/>
      <c r="L60" s="4"/>
    </row>
    <row r="61" spans="1:12">
      <c r="A61" s="4"/>
      <c r="B61" s="36" t="s">
        <v>15</v>
      </c>
      <c r="C61" s="38"/>
      <c r="D61" s="37"/>
      <c r="E61" s="43" t="s">
        <v>7</v>
      </c>
      <c r="F61" s="44"/>
      <c r="G61" s="45"/>
      <c r="H61" s="4"/>
      <c r="I61" s="4"/>
      <c r="J61" s="4"/>
      <c r="K61" s="5" t="s">
        <v>8</v>
      </c>
      <c r="L61" s="6" t="s">
        <v>2</v>
      </c>
    </row>
    <row r="62" spans="1:12">
      <c r="A62" s="7" t="s">
        <v>9</v>
      </c>
      <c r="B62" s="5" t="s">
        <v>4</v>
      </c>
      <c r="C62" s="5" t="s">
        <v>5</v>
      </c>
      <c r="D62" s="5" t="s">
        <v>6</v>
      </c>
      <c r="E62" s="17" t="s">
        <v>4</v>
      </c>
      <c r="F62" s="17" t="s">
        <v>5</v>
      </c>
      <c r="G62" s="17" t="s">
        <v>10</v>
      </c>
      <c r="H62" s="4"/>
      <c r="I62" s="36"/>
      <c r="J62" s="37"/>
      <c r="K62" s="5">
        <f>AVERAGE(D63:D72)</f>
        <v>0.17361111111111108</v>
      </c>
      <c r="L62" s="5">
        <f>STDEV(D63:D72)/SQRT(6)</f>
        <v>4.0848447694035415E-2</v>
      </c>
    </row>
    <row r="63" spans="1:12">
      <c r="A63" s="5">
        <v>1</v>
      </c>
      <c r="B63" s="5">
        <v>2</v>
      </c>
      <c r="C63" s="5">
        <v>24</v>
      </c>
      <c r="D63" s="5">
        <f>B63/C63</f>
        <v>8.3333333333333329E-2</v>
      </c>
      <c r="E63" s="17">
        <v>12</v>
      </c>
      <c r="F63" s="17">
        <v>24</v>
      </c>
      <c r="G63" s="17">
        <f>E63/F63</f>
        <v>0.5</v>
      </c>
      <c r="H63" s="4"/>
      <c r="I63" s="35"/>
      <c r="J63" s="35"/>
      <c r="K63" s="5">
        <f>AVERAGE(G63:G72)</f>
        <v>0.42361111111111116</v>
      </c>
      <c r="L63" s="5">
        <f>STDEV(G63:G72)/SQRT(6)</f>
        <v>4.22414064604043E-2</v>
      </c>
    </row>
    <row r="64" spans="1:12">
      <c r="A64" s="5">
        <v>2</v>
      </c>
      <c r="B64" s="5">
        <v>4</v>
      </c>
      <c r="C64" s="5">
        <v>24</v>
      </c>
      <c r="D64" s="5">
        <f t="shared" ref="D64:D65" si="15">B64/C64</f>
        <v>0.16666666666666666</v>
      </c>
      <c r="E64" s="17">
        <v>9</v>
      </c>
      <c r="F64" s="17">
        <v>24</v>
      </c>
      <c r="G64" s="17">
        <f t="shared" ref="G64:G65" si="16">E64/F64</f>
        <v>0.375</v>
      </c>
      <c r="H64" s="4"/>
      <c r="I64" s="33"/>
      <c r="J64" s="33"/>
      <c r="K64" s="19"/>
      <c r="L64" s="19"/>
    </row>
    <row r="65" spans="1:12">
      <c r="A65" s="5">
        <v>3</v>
      </c>
      <c r="B65" s="5">
        <v>8</v>
      </c>
      <c r="C65" s="5">
        <v>24</v>
      </c>
      <c r="D65" s="5">
        <f t="shared" si="15"/>
        <v>0.33333333333333331</v>
      </c>
      <c r="E65" s="17">
        <v>14</v>
      </c>
      <c r="F65" s="17">
        <v>24</v>
      </c>
      <c r="G65" s="17">
        <f t="shared" si="16"/>
        <v>0.58333333333333337</v>
      </c>
      <c r="H65" s="4"/>
      <c r="I65" s="4"/>
      <c r="J65" s="4"/>
      <c r="K65" s="4"/>
      <c r="L65" s="4"/>
    </row>
    <row r="66" spans="1:12">
      <c r="A66" s="5">
        <v>4</v>
      </c>
      <c r="B66" s="5">
        <v>2</v>
      </c>
      <c r="C66" s="5">
        <v>24</v>
      </c>
      <c r="D66" s="5">
        <f>B66/C66</f>
        <v>8.3333333333333329E-2</v>
      </c>
      <c r="E66" s="17">
        <v>10</v>
      </c>
      <c r="F66" s="17">
        <v>24</v>
      </c>
      <c r="G66" s="17">
        <f>E66/F66</f>
        <v>0.41666666666666669</v>
      </c>
      <c r="H66" s="4"/>
      <c r="I66" s="4"/>
      <c r="J66" s="4"/>
      <c r="K66" s="4"/>
      <c r="L66" s="4"/>
    </row>
    <row r="67" spans="1:12">
      <c r="A67" s="5">
        <v>5</v>
      </c>
      <c r="B67" s="5">
        <v>3</v>
      </c>
      <c r="C67" s="5">
        <v>24</v>
      </c>
      <c r="D67" s="5">
        <f t="shared" ref="D67:D68" si="17">B67/C67</f>
        <v>0.125</v>
      </c>
      <c r="E67" s="17">
        <v>7</v>
      </c>
      <c r="F67" s="17">
        <v>24</v>
      </c>
      <c r="G67" s="17">
        <f>E67/F67</f>
        <v>0.29166666666666669</v>
      </c>
      <c r="H67" s="4"/>
      <c r="I67" s="4"/>
      <c r="J67" s="4"/>
      <c r="K67" s="4"/>
      <c r="L67" s="4"/>
    </row>
    <row r="68" spans="1:12">
      <c r="A68" s="5">
        <v>6</v>
      </c>
      <c r="B68" s="5">
        <v>6</v>
      </c>
      <c r="C68" s="5">
        <v>24</v>
      </c>
      <c r="D68" s="5">
        <f t="shared" si="17"/>
        <v>0.25</v>
      </c>
      <c r="E68" s="17">
        <v>9</v>
      </c>
      <c r="F68" s="17">
        <v>24</v>
      </c>
      <c r="G68" s="17">
        <f>E68/F68</f>
        <v>0.375</v>
      </c>
      <c r="H68" s="4"/>
      <c r="I68" s="4"/>
      <c r="J68" s="4"/>
      <c r="K68" s="4"/>
      <c r="L68" s="4"/>
    </row>
    <row r="69" spans="1:12">
      <c r="A69" s="5">
        <v>7</v>
      </c>
      <c r="B69" s="5"/>
      <c r="C69" s="5"/>
      <c r="D69" s="5"/>
      <c r="E69" s="17"/>
      <c r="F69" s="17"/>
      <c r="G69" s="17"/>
      <c r="H69" s="4"/>
      <c r="I69" s="4"/>
      <c r="J69" s="4"/>
      <c r="K69" s="4"/>
      <c r="L69" s="4"/>
    </row>
    <row r="70" spans="1:12">
      <c r="A70" s="5">
        <v>8</v>
      </c>
      <c r="B70" s="5"/>
      <c r="C70" s="5"/>
      <c r="D70" s="5"/>
      <c r="E70" s="17"/>
      <c r="F70" s="17"/>
      <c r="G70" s="17"/>
      <c r="H70" s="4"/>
      <c r="I70" s="4"/>
      <c r="J70" s="4"/>
      <c r="K70" s="4"/>
      <c r="L70" s="4"/>
    </row>
    <row r="71" spans="1:12">
      <c r="A71" s="5">
        <v>9</v>
      </c>
      <c r="B71" s="5"/>
      <c r="C71" s="5"/>
      <c r="D71" s="5"/>
      <c r="E71" s="17"/>
      <c r="F71" s="17"/>
      <c r="G71" s="17"/>
      <c r="H71" s="4"/>
      <c r="I71" s="4"/>
      <c r="J71" s="4"/>
      <c r="K71" s="4"/>
      <c r="L71" s="4"/>
    </row>
    <row r="72" spans="1:12">
      <c r="A72" s="5">
        <v>10</v>
      </c>
      <c r="B72" s="5"/>
      <c r="C72" s="5"/>
      <c r="D72" s="5"/>
      <c r="E72" s="17"/>
      <c r="F72" s="17"/>
      <c r="G72" s="17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11"/>
      <c r="F73" s="11"/>
      <c r="G73" s="11"/>
      <c r="H73" s="4"/>
      <c r="I73" s="4"/>
      <c r="J73" s="4"/>
      <c r="K73" s="4"/>
      <c r="L73" s="4"/>
    </row>
    <row r="74" spans="1:12" ht="12">
      <c r="A74" s="9"/>
      <c r="B74" s="24" t="s">
        <v>20</v>
      </c>
      <c r="E74" s="23" t="s">
        <v>18</v>
      </c>
      <c r="F74" s="12"/>
      <c r="G74" s="12"/>
      <c r="H74" s="4"/>
      <c r="I74" s="8" t="s">
        <v>16</v>
      </c>
      <c r="J74" s="8"/>
      <c r="K74" s="4"/>
      <c r="L74" s="4"/>
    </row>
    <row r="75" spans="1:12">
      <c r="A75" s="4"/>
      <c r="B75" s="36" t="s">
        <v>16</v>
      </c>
      <c r="C75" s="38"/>
      <c r="D75" s="37"/>
      <c r="E75" s="43" t="s">
        <v>16</v>
      </c>
      <c r="F75" s="44"/>
      <c r="G75" s="45"/>
      <c r="H75" s="4"/>
      <c r="I75" s="4"/>
      <c r="J75" s="4"/>
      <c r="K75" s="5" t="s">
        <v>1</v>
      </c>
      <c r="L75" s="6" t="s">
        <v>2</v>
      </c>
    </row>
    <row r="76" spans="1:12">
      <c r="A76" s="7" t="s">
        <v>3</v>
      </c>
      <c r="B76" s="5" t="s">
        <v>4</v>
      </c>
      <c r="C76" s="5" t="s">
        <v>5</v>
      </c>
      <c r="D76" s="5" t="s">
        <v>6</v>
      </c>
      <c r="E76" s="17" t="s">
        <v>4</v>
      </c>
      <c r="F76" s="17" t="s">
        <v>5</v>
      </c>
      <c r="G76" s="17" t="s">
        <v>6</v>
      </c>
      <c r="H76" s="4"/>
      <c r="I76" s="36"/>
      <c r="J76" s="37"/>
      <c r="K76" s="5">
        <f>AVERAGE(D77:D86)</f>
        <v>0.27083333333333331</v>
      </c>
      <c r="L76" s="5">
        <f>STDEV(D77:D86)/SQRT(6)</f>
        <v>5.5642293400028152E-2</v>
      </c>
    </row>
    <row r="77" spans="1:12">
      <c r="A77" s="5">
        <v>1</v>
      </c>
      <c r="B77" s="5">
        <v>3</v>
      </c>
      <c r="C77" s="5">
        <v>24</v>
      </c>
      <c r="D77" s="5">
        <f>B77/C77</f>
        <v>0.125</v>
      </c>
      <c r="E77" s="17">
        <v>12</v>
      </c>
      <c r="F77" s="17">
        <v>24</v>
      </c>
      <c r="G77" s="17">
        <f>E77/F77</f>
        <v>0.5</v>
      </c>
      <c r="H77" s="4"/>
      <c r="I77" s="35"/>
      <c r="J77" s="35"/>
      <c r="K77" s="5">
        <f>AVERAGE(G77:G86)</f>
        <v>0.53472222222222221</v>
      </c>
      <c r="L77" s="5">
        <f>STDEV(G77:G86)/SQRT(6)</f>
        <v>4.7405689349655562E-2</v>
      </c>
    </row>
    <row r="78" spans="1:12">
      <c r="A78" s="5">
        <v>2</v>
      </c>
      <c r="B78" s="5">
        <v>6</v>
      </c>
      <c r="C78" s="5">
        <v>24</v>
      </c>
      <c r="D78" s="5">
        <f t="shared" ref="D78:D79" si="18">B78/C78</f>
        <v>0.25</v>
      </c>
      <c r="E78" s="17">
        <v>10</v>
      </c>
      <c r="F78" s="17">
        <v>24</v>
      </c>
      <c r="G78" s="17">
        <f t="shared" ref="G78:G79" si="19">E78/F78</f>
        <v>0.41666666666666669</v>
      </c>
      <c r="H78" s="4"/>
      <c r="I78" s="33"/>
      <c r="J78" s="33"/>
      <c r="K78" s="19"/>
      <c r="L78" s="19"/>
    </row>
    <row r="79" spans="1:12">
      <c r="A79" s="5">
        <v>3</v>
      </c>
      <c r="B79" s="5">
        <v>10</v>
      </c>
      <c r="C79" s="5">
        <v>24</v>
      </c>
      <c r="D79" s="5">
        <f t="shared" si="18"/>
        <v>0.41666666666666669</v>
      </c>
      <c r="E79" s="17">
        <v>13</v>
      </c>
      <c r="F79" s="17">
        <v>24</v>
      </c>
      <c r="G79" s="17">
        <f t="shared" si="19"/>
        <v>0.54166666666666663</v>
      </c>
      <c r="H79" s="4"/>
      <c r="I79" s="4"/>
      <c r="J79" s="4"/>
      <c r="K79" s="4"/>
      <c r="L79" s="4"/>
    </row>
    <row r="80" spans="1:12">
      <c r="A80" s="5">
        <v>4</v>
      </c>
      <c r="B80" s="5">
        <v>5</v>
      </c>
      <c r="C80" s="5">
        <v>24</v>
      </c>
      <c r="D80" s="5">
        <f>B80/C80</f>
        <v>0.20833333333333334</v>
      </c>
      <c r="E80" s="17">
        <v>15</v>
      </c>
      <c r="F80" s="17">
        <v>24</v>
      </c>
      <c r="G80" s="17">
        <f>E80/F80</f>
        <v>0.625</v>
      </c>
      <c r="H80" s="4"/>
      <c r="I80" s="4"/>
      <c r="J80" s="4"/>
      <c r="K80" s="4"/>
      <c r="L80" s="4"/>
    </row>
    <row r="81" spans="1:12">
      <c r="A81" s="5">
        <v>5</v>
      </c>
      <c r="B81" s="5">
        <v>4</v>
      </c>
      <c r="C81" s="5">
        <v>24</v>
      </c>
      <c r="D81" s="5">
        <f t="shared" ref="D81:D82" si="20">B81/C81</f>
        <v>0.16666666666666666</v>
      </c>
      <c r="E81" s="17">
        <v>17</v>
      </c>
      <c r="F81" s="17">
        <v>24</v>
      </c>
      <c r="G81" s="17">
        <f>E81/F81</f>
        <v>0.70833333333333337</v>
      </c>
      <c r="H81" s="4"/>
      <c r="I81" s="4"/>
      <c r="J81" s="4"/>
      <c r="K81" s="4"/>
      <c r="L81" s="4"/>
    </row>
    <row r="82" spans="1:12">
      <c r="A82" s="5">
        <v>6</v>
      </c>
      <c r="B82" s="5">
        <v>11</v>
      </c>
      <c r="C82" s="5">
        <v>24</v>
      </c>
      <c r="D82" s="5">
        <f t="shared" si="20"/>
        <v>0.45833333333333331</v>
      </c>
      <c r="E82" s="17">
        <v>10</v>
      </c>
      <c r="F82" s="17">
        <v>24</v>
      </c>
      <c r="G82" s="17">
        <f>E82/F82</f>
        <v>0.41666666666666669</v>
      </c>
      <c r="H82" s="4"/>
      <c r="I82" s="4"/>
      <c r="J82" s="4"/>
      <c r="K82" s="4"/>
      <c r="L82" s="4"/>
    </row>
    <row r="83" spans="1:12">
      <c r="A83" s="5">
        <v>7</v>
      </c>
      <c r="B83" s="5"/>
      <c r="C83" s="5"/>
      <c r="D83" s="5"/>
      <c r="E83" s="17"/>
      <c r="F83" s="17"/>
      <c r="G83" s="17"/>
      <c r="H83" s="4"/>
      <c r="I83" s="4"/>
      <c r="J83" s="4"/>
      <c r="K83" s="4"/>
      <c r="L83" s="4"/>
    </row>
    <row r="84" spans="1:12">
      <c r="A84" s="5">
        <v>8</v>
      </c>
      <c r="B84" s="5"/>
      <c r="C84" s="5"/>
      <c r="D84" s="5"/>
      <c r="E84" s="17"/>
      <c r="F84" s="17"/>
      <c r="G84" s="17"/>
      <c r="H84" s="4"/>
      <c r="I84" s="4"/>
      <c r="J84" s="4"/>
      <c r="K84" s="4"/>
      <c r="L84" s="4"/>
    </row>
    <row r="85" spans="1:12">
      <c r="A85" s="5">
        <v>9</v>
      </c>
      <c r="B85" s="5"/>
      <c r="C85" s="5"/>
      <c r="D85" s="5"/>
      <c r="E85" s="17"/>
      <c r="F85" s="17"/>
      <c r="G85" s="17"/>
      <c r="H85" s="4"/>
      <c r="I85" s="4"/>
      <c r="J85" s="4"/>
      <c r="K85" s="4"/>
      <c r="L85" s="4"/>
    </row>
    <row r="86" spans="1:12">
      <c r="A86" s="5">
        <v>10</v>
      </c>
      <c r="B86" s="5"/>
      <c r="C86" s="5"/>
      <c r="D86" s="5"/>
      <c r="E86" s="17"/>
      <c r="F86" s="17"/>
      <c r="G86" s="17"/>
      <c r="H86" s="4"/>
      <c r="I86" s="4"/>
      <c r="J86" s="4"/>
      <c r="K86" s="4"/>
      <c r="L86" s="4"/>
    </row>
  </sheetData>
  <mergeCells count="30">
    <mergeCell ref="B75:D75"/>
    <mergeCell ref="E75:G75"/>
    <mergeCell ref="I76:J76"/>
    <mergeCell ref="I77:J77"/>
    <mergeCell ref="I78:J78"/>
    <mergeCell ref="B47:D47"/>
    <mergeCell ref="E47:G47"/>
    <mergeCell ref="B61:D61"/>
    <mergeCell ref="E61:G61"/>
    <mergeCell ref="I62:J62"/>
    <mergeCell ref="I19:J19"/>
    <mergeCell ref="I20:J20"/>
    <mergeCell ref="B32:D32"/>
    <mergeCell ref="E32:G32"/>
    <mergeCell ref="I33:J33"/>
    <mergeCell ref="I21:J21"/>
    <mergeCell ref="B4:D4"/>
    <mergeCell ref="E4:G4"/>
    <mergeCell ref="I5:J5"/>
    <mergeCell ref="I6:J6"/>
    <mergeCell ref="B18:D18"/>
    <mergeCell ref="E18:G18"/>
    <mergeCell ref="I7:J7"/>
    <mergeCell ref="I35:J35"/>
    <mergeCell ref="I50:J50"/>
    <mergeCell ref="I64:J64"/>
    <mergeCell ref="I34:J34"/>
    <mergeCell ref="I63:J63"/>
    <mergeCell ref="I48:J48"/>
    <mergeCell ref="I49:J4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iav G4-kir2.1</vt:lpstr>
      <vt:lpstr>iav lexa-kir2.1</vt:lpstr>
      <vt:lpstr>imm. leg</vt:lpstr>
      <vt:lpstr>Sheet1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W.P.D.M,DE SILVA(구강생물학교실)</cp:lastModifiedBy>
  <dcterms:created xsi:type="dcterms:W3CDTF">2022-02-16T08:52:50Z</dcterms:created>
  <dcterms:modified xsi:type="dcterms:W3CDTF">2025-10-20T11:36:20Z</dcterms:modified>
</cp:coreProperties>
</file>