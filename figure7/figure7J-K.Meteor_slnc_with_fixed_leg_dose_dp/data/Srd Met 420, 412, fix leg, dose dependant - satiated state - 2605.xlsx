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My Drive\Yonsei - GMAIL\Project1 - geosmin project\3. THIS WEEK REPORTs\x_THIS WEEK REPORT - 26.06.07\Srd - Met fix leg, Gr5a L1L2\"/>
    </mc:Choice>
  </mc:AlternateContent>
  <xr:revisionPtr revIDLastSave="0" documentId="13_ncr:1_{145755E1-52CF-474C-9316-A35B4C8A4D4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et420 fixed leg" sheetId="12" r:id="rId1"/>
    <sheet name="Met412 fixed leg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12" l="1"/>
  <c r="D92" i="12"/>
  <c r="D91" i="12"/>
  <c r="D90" i="12"/>
  <c r="D79" i="12"/>
  <c r="D78" i="12"/>
  <c r="D77" i="12"/>
  <c r="D76" i="12"/>
  <c r="D65" i="12"/>
  <c r="D64" i="12"/>
  <c r="D63" i="12"/>
  <c r="D62" i="12"/>
  <c r="M91" i="12"/>
  <c r="M92" i="12"/>
  <c r="M93" i="12"/>
  <c r="M94" i="12"/>
  <c r="M95" i="12"/>
  <c r="J91" i="12"/>
  <c r="J92" i="12"/>
  <c r="J93" i="12"/>
  <c r="J94" i="12"/>
  <c r="J95" i="12"/>
  <c r="G91" i="12"/>
  <c r="G92" i="12"/>
  <c r="G93" i="12"/>
  <c r="G94" i="12"/>
  <c r="G95" i="12"/>
  <c r="D94" i="12"/>
  <c r="D95" i="12"/>
  <c r="M77" i="12"/>
  <c r="M78" i="12"/>
  <c r="M79" i="12"/>
  <c r="M80" i="12"/>
  <c r="M81" i="12"/>
  <c r="J77" i="12"/>
  <c r="J78" i="12"/>
  <c r="J79" i="12"/>
  <c r="J80" i="12"/>
  <c r="J81" i="12"/>
  <c r="G77" i="12"/>
  <c r="G78" i="12"/>
  <c r="G79" i="12"/>
  <c r="G80" i="12"/>
  <c r="G81" i="12"/>
  <c r="D80" i="12"/>
  <c r="D81" i="12"/>
  <c r="M63" i="12"/>
  <c r="M64" i="12"/>
  <c r="M65" i="12"/>
  <c r="M66" i="12"/>
  <c r="M67" i="12"/>
  <c r="J63" i="12"/>
  <c r="J64" i="12"/>
  <c r="J65" i="12"/>
  <c r="J66" i="12"/>
  <c r="J67" i="12"/>
  <c r="G63" i="12"/>
  <c r="G64" i="12"/>
  <c r="G65" i="12"/>
  <c r="G66" i="12"/>
  <c r="G67" i="12"/>
  <c r="D66" i="12"/>
  <c r="D67" i="12"/>
  <c r="M35" i="12"/>
  <c r="M36" i="12"/>
  <c r="M37" i="12"/>
  <c r="M38" i="12"/>
  <c r="M39" i="12"/>
  <c r="J35" i="12"/>
  <c r="J36" i="12"/>
  <c r="J37" i="12"/>
  <c r="J38" i="12"/>
  <c r="J39" i="12"/>
  <c r="G35" i="12"/>
  <c r="G36" i="12"/>
  <c r="G37" i="12"/>
  <c r="G38" i="12"/>
  <c r="G39" i="12"/>
  <c r="D35" i="12"/>
  <c r="D36" i="12"/>
  <c r="D37" i="12"/>
  <c r="D38" i="12"/>
  <c r="D39" i="12"/>
  <c r="M21" i="12"/>
  <c r="M22" i="12"/>
  <c r="M23" i="12"/>
  <c r="M24" i="12"/>
  <c r="M25" i="12"/>
  <c r="J21" i="12"/>
  <c r="J22" i="12"/>
  <c r="J23" i="12"/>
  <c r="J24" i="12"/>
  <c r="J25" i="12"/>
  <c r="G21" i="12"/>
  <c r="G22" i="12"/>
  <c r="G23" i="12"/>
  <c r="G24" i="12"/>
  <c r="G25" i="12"/>
  <c r="D21" i="12"/>
  <c r="D22" i="12"/>
  <c r="D23" i="12"/>
  <c r="D24" i="12"/>
  <c r="D25" i="12"/>
  <c r="M7" i="12"/>
  <c r="M8" i="12"/>
  <c r="M9" i="12"/>
  <c r="M10" i="12"/>
  <c r="M11" i="12"/>
  <c r="J7" i="12"/>
  <c r="J8" i="12"/>
  <c r="J9" i="12"/>
  <c r="J10" i="12"/>
  <c r="J11" i="12"/>
  <c r="G7" i="12"/>
  <c r="G8" i="12"/>
  <c r="G9" i="12"/>
  <c r="G10" i="12"/>
  <c r="G11" i="12"/>
  <c r="D7" i="12"/>
  <c r="D8" i="12"/>
  <c r="D9" i="12"/>
  <c r="D10" i="12"/>
  <c r="D11" i="12"/>
  <c r="M93" i="14"/>
  <c r="M94" i="14"/>
  <c r="M95" i="14"/>
  <c r="M79" i="14"/>
  <c r="M80" i="14"/>
  <c r="M81" i="14"/>
  <c r="M65" i="14"/>
  <c r="M66" i="14"/>
  <c r="M67" i="14"/>
  <c r="M39" i="14"/>
  <c r="M38" i="14"/>
  <c r="M37" i="14"/>
  <c r="M25" i="14"/>
  <c r="M24" i="14"/>
  <c r="M23" i="14"/>
  <c r="M11" i="14"/>
  <c r="M10" i="14"/>
  <c r="M9" i="14"/>
  <c r="J93" i="14"/>
  <c r="J94" i="14"/>
  <c r="J95" i="14"/>
  <c r="J79" i="14"/>
  <c r="J80" i="14"/>
  <c r="J81" i="14"/>
  <c r="J67" i="14"/>
  <c r="J66" i="14"/>
  <c r="J65" i="14"/>
  <c r="G93" i="14"/>
  <c r="G94" i="14"/>
  <c r="G95" i="14"/>
  <c r="J39" i="14"/>
  <c r="J38" i="14"/>
  <c r="J37" i="14"/>
  <c r="J25" i="14"/>
  <c r="J24" i="14"/>
  <c r="J23" i="14"/>
  <c r="J9" i="14"/>
  <c r="J10" i="14"/>
  <c r="J11" i="14"/>
  <c r="G79" i="14"/>
  <c r="G80" i="14"/>
  <c r="G81" i="14"/>
  <c r="G67" i="14"/>
  <c r="G66" i="14"/>
  <c r="G65" i="14"/>
  <c r="G39" i="14"/>
  <c r="G38" i="14"/>
  <c r="G37" i="14"/>
  <c r="G25" i="14"/>
  <c r="G24" i="14"/>
  <c r="G23" i="14"/>
  <c r="G9" i="14"/>
  <c r="G10" i="14"/>
  <c r="G11" i="14"/>
  <c r="D93" i="14"/>
  <c r="D94" i="14"/>
  <c r="D95" i="14"/>
  <c r="D79" i="14"/>
  <c r="D80" i="14"/>
  <c r="D81" i="14"/>
  <c r="D65" i="14"/>
  <c r="D66" i="14"/>
  <c r="D67" i="14"/>
  <c r="D37" i="14"/>
  <c r="D38" i="14"/>
  <c r="D39" i="14"/>
  <c r="D23" i="14"/>
  <c r="D24" i="14"/>
  <c r="D25" i="14"/>
  <c r="D11" i="14"/>
  <c r="D10" i="14"/>
  <c r="D9" i="14"/>
  <c r="Q106" i="14"/>
  <c r="P106" i="14"/>
  <c r="Q105" i="14"/>
  <c r="P105" i="14"/>
  <c r="Q104" i="14"/>
  <c r="P104" i="14"/>
  <c r="Q103" i="14"/>
  <c r="P103" i="14"/>
  <c r="P92" i="14"/>
  <c r="V17" i="14" s="1"/>
  <c r="M92" i="14"/>
  <c r="J92" i="14"/>
  <c r="G92" i="14"/>
  <c r="D92" i="14"/>
  <c r="M91" i="14"/>
  <c r="J91" i="14"/>
  <c r="G91" i="14"/>
  <c r="D91" i="14"/>
  <c r="M90" i="14"/>
  <c r="J90" i="14"/>
  <c r="G90" i="14"/>
  <c r="D90" i="14"/>
  <c r="M78" i="14"/>
  <c r="J78" i="14"/>
  <c r="G78" i="14"/>
  <c r="D78" i="14"/>
  <c r="M77" i="14"/>
  <c r="J77" i="14"/>
  <c r="G77" i="14"/>
  <c r="D77" i="14"/>
  <c r="M76" i="14"/>
  <c r="J76" i="14"/>
  <c r="Q77" i="14" s="1"/>
  <c r="Z16" i="14" s="1"/>
  <c r="G76" i="14"/>
  <c r="Q76" i="14" s="1"/>
  <c r="Z15" i="14" s="1"/>
  <c r="D76" i="14"/>
  <c r="M64" i="14"/>
  <c r="J64" i="14"/>
  <c r="G64" i="14"/>
  <c r="D64" i="14"/>
  <c r="M63" i="14"/>
  <c r="J63" i="14"/>
  <c r="G63" i="14"/>
  <c r="D63" i="14"/>
  <c r="Q61" i="14" s="1"/>
  <c r="Y14" i="14" s="1"/>
  <c r="M62" i="14"/>
  <c r="Q64" i="14" s="1"/>
  <c r="Y17" i="14" s="1"/>
  <c r="J62" i="14"/>
  <c r="G62" i="14"/>
  <c r="D62" i="14"/>
  <c r="Q50" i="14"/>
  <c r="P50" i="14"/>
  <c r="Q49" i="14"/>
  <c r="P49" i="14"/>
  <c r="Q48" i="14"/>
  <c r="P48" i="14"/>
  <c r="Q47" i="14"/>
  <c r="P47" i="14"/>
  <c r="M36" i="14"/>
  <c r="J36" i="14"/>
  <c r="G36" i="14"/>
  <c r="D36" i="14"/>
  <c r="M35" i="14"/>
  <c r="J35" i="14"/>
  <c r="G35" i="14"/>
  <c r="D35" i="14"/>
  <c r="M34" i="14"/>
  <c r="J34" i="14"/>
  <c r="Q35" i="14" s="1"/>
  <c r="AA12" i="14" s="1"/>
  <c r="G34" i="14"/>
  <c r="D34" i="14"/>
  <c r="M22" i="14"/>
  <c r="J22" i="14"/>
  <c r="G22" i="14"/>
  <c r="D22" i="14"/>
  <c r="M21" i="14"/>
  <c r="J21" i="14"/>
  <c r="G21" i="14"/>
  <c r="D21" i="14"/>
  <c r="Q19" i="14" s="1"/>
  <c r="Z10" i="14" s="1"/>
  <c r="M20" i="14"/>
  <c r="Q22" i="14" s="1"/>
  <c r="Z13" i="14" s="1"/>
  <c r="J20" i="14"/>
  <c r="G20" i="14"/>
  <c r="D20" i="14"/>
  <c r="M8" i="14"/>
  <c r="J8" i="14"/>
  <c r="G8" i="14"/>
  <c r="D8" i="14"/>
  <c r="M7" i="14"/>
  <c r="J7" i="14"/>
  <c r="G7" i="14"/>
  <c r="D7" i="14"/>
  <c r="M6" i="14"/>
  <c r="J6" i="14"/>
  <c r="G6" i="14"/>
  <c r="D6" i="14"/>
  <c r="Q106" i="12"/>
  <c r="P106" i="12"/>
  <c r="Q105" i="12"/>
  <c r="P105" i="12"/>
  <c r="Q104" i="12"/>
  <c r="P104" i="12"/>
  <c r="Q103" i="12"/>
  <c r="P103" i="12"/>
  <c r="Q50" i="12"/>
  <c r="P50" i="12"/>
  <c r="Q49" i="12"/>
  <c r="P49" i="12"/>
  <c r="Q48" i="12"/>
  <c r="P48" i="12"/>
  <c r="Q47" i="12"/>
  <c r="P47" i="12"/>
  <c r="M90" i="12"/>
  <c r="J90" i="12"/>
  <c r="G90" i="12"/>
  <c r="M76" i="12"/>
  <c r="J76" i="12"/>
  <c r="G76" i="12"/>
  <c r="M62" i="12"/>
  <c r="J62" i="12"/>
  <c r="G62" i="12"/>
  <c r="M34" i="12"/>
  <c r="J34" i="12"/>
  <c r="G34" i="12"/>
  <c r="D34" i="12"/>
  <c r="M20" i="12"/>
  <c r="J20" i="12"/>
  <c r="G20" i="12"/>
  <c r="D20" i="12"/>
  <c r="M6" i="12"/>
  <c r="J6" i="12"/>
  <c r="G6" i="12"/>
  <c r="D6" i="12"/>
  <c r="Q21" i="12" l="1"/>
  <c r="Q22" i="12"/>
  <c r="Q20" i="12"/>
  <c r="Z11" i="12" s="1"/>
  <c r="Q19" i="12"/>
  <c r="Q92" i="12"/>
  <c r="AA17" i="12" s="1"/>
  <c r="Q90" i="12"/>
  <c r="AA15" i="12" s="1"/>
  <c r="Q89" i="12"/>
  <c r="AA14" i="12" s="1"/>
  <c r="Q91" i="12"/>
  <c r="AA16" i="12" s="1"/>
  <c r="P78" i="12"/>
  <c r="U17" i="12" s="1"/>
  <c r="Q77" i="12"/>
  <c r="Z16" i="12" s="1"/>
  <c r="P76" i="12"/>
  <c r="U15" i="12" s="1"/>
  <c r="Q75" i="12"/>
  <c r="Z14" i="12" s="1"/>
  <c r="Q78" i="12"/>
  <c r="Z17" i="12" s="1"/>
  <c r="Q76" i="12"/>
  <c r="Z15" i="12" s="1"/>
  <c r="Q63" i="12"/>
  <c r="Q62" i="12"/>
  <c r="Q64" i="12"/>
  <c r="Q61" i="12"/>
  <c r="Y14" i="12" s="1"/>
  <c r="P61" i="12"/>
  <c r="T14" i="12" s="1"/>
  <c r="Q36" i="12"/>
  <c r="AA13" i="12" s="1"/>
  <c r="P35" i="12"/>
  <c r="V12" i="12" s="1"/>
  <c r="Q33" i="12"/>
  <c r="Q34" i="12"/>
  <c r="Q5" i="12"/>
  <c r="Y10" i="12" s="1"/>
  <c r="Q8" i="12"/>
  <c r="Q7" i="12"/>
  <c r="Y12" i="12" s="1"/>
  <c r="Q6" i="12"/>
  <c r="Y11" i="12" s="1"/>
  <c r="P6" i="14"/>
  <c r="T11" i="14" s="1"/>
  <c r="Q90" i="14"/>
  <c r="AA15" i="14" s="1"/>
  <c r="Q34" i="14"/>
  <c r="AA11" i="14" s="1"/>
  <c r="P75" i="14"/>
  <c r="U14" i="14" s="1"/>
  <c r="Q33" i="14"/>
  <c r="AA10" i="14" s="1"/>
  <c r="Q78" i="14"/>
  <c r="Z17" i="14" s="1"/>
  <c r="Q36" i="14"/>
  <c r="AA13" i="14" s="1"/>
  <c r="Q21" i="14"/>
  <c r="Z12" i="14" s="1"/>
  <c r="Q91" i="14"/>
  <c r="AA16" i="14" s="1"/>
  <c r="P90" i="14"/>
  <c r="V15" i="14" s="1"/>
  <c r="Q63" i="14"/>
  <c r="Y16" i="14" s="1"/>
  <c r="Q7" i="14"/>
  <c r="Y12" i="14" s="1"/>
  <c r="Q92" i="14"/>
  <c r="AA17" i="14" s="1"/>
  <c r="P77" i="14"/>
  <c r="U16" i="14" s="1"/>
  <c r="Q89" i="14"/>
  <c r="AA14" i="14" s="1"/>
  <c r="P8" i="14"/>
  <c r="T13" i="14" s="1"/>
  <c r="P35" i="14"/>
  <c r="V12" i="14" s="1"/>
  <c r="Q6" i="14"/>
  <c r="Y11" i="14" s="1"/>
  <c r="P19" i="14"/>
  <c r="U10" i="14" s="1"/>
  <c r="P33" i="14"/>
  <c r="V10" i="14" s="1"/>
  <c r="P61" i="14"/>
  <c r="T14" i="14" s="1"/>
  <c r="Q5" i="14"/>
  <c r="Y10" i="14" s="1"/>
  <c r="Q20" i="14"/>
  <c r="Z11" i="14" s="1"/>
  <c r="Q62" i="14"/>
  <c r="Y15" i="14" s="1"/>
  <c r="Q75" i="14"/>
  <c r="Z14" i="14" s="1"/>
  <c r="P21" i="14"/>
  <c r="U12" i="14" s="1"/>
  <c r="P63" i="14"/>
  <c r="T16" i="14" s="1"/>
  <c r="Q8" i="14"/>
  <c r="Y13" i="14" s="1"/>
  <c r="P34" i="14"/>
  <c r="V11" i="14" s="1"/>
  <c r="P36" i="14"/>
  <c r="V13" i="14" s="1"/>
  <c r="P76" i="14"/>
  <c r="U15" i="14" s="1"/>
  <c r="P78" i="14"/>
  <c r="U17" i="14" s="1"/>
  <c r="P5" i="14"/>
  <c r="T10" i="14" s="1"/>
  <c r="P7" i="14"/>
  <c r="T12" i="14" s="1"/>
  <c r="P89" i="14"/>
  <c r="V14" i="14" s="1"/>
  <c r="P91" i="14"/>
  <c r="V16" i="14" s="1"/>
  <c r="P20" i="14"/>
  <c r="U11" i="14" s="1"/>
  <c r="P22" i="14"/>
  <c r="U13" i="14" s="1"/>
  <c r="P62" i="14"/>
  <c r="T15" i="14" s="1"/>
  <c r="P64" i="14"/>
  <c r="T17" i="14" s="1"/>
  <c r="P33" i="12"/>
  <c r="V10" i="12" s="1"/>
  <c r="P64" i="12"/>
  <c r="T17" i="12" s="1"/>
  <c r="P36" i="12"/>
  <c r="V13" i="12" s="1"/>
  <c r="P89" i="12"/>
  <c r="V14" i="12" s="1"/>
  <c r="P90" i="12"/>
  <c r="V15" i="12" s="1"/>
  <c r="P62" i="12"/>
  <c r="T15" i="12" s="1"/>
  <c r="P91" i="12"/>
  <c r="V16" i="12" s="1"/>
  <c r="P92" i="12"/>
  <c r="V17" i="12" s="1"/>
  <c r="P7" i="12"/>
  <c r="T12" i="12" s="1"/>
  <c r="Q35" i="12"/>
  <c r="P22" i="12"/>
  <c r="U13" i="12" s="1"/>
  <c r="P34" i="12"/>
  <c r="V11" i="12" s="1"/>
  <c r="P19" i="12"/>
  <c r="U10" i="12" s="1"/>
  <c r="P75" i="12"/>
  <c r="U14" i="12" s="1"/>
  <c r="P77" i="12"/>
  <c r="U16" i="12" s="1"/>
  <c r="P20" i="12"/>
  <c r="U11" i="12" s="1"/>
  <c r="P21" i="12"/>
  <c r="U12" i="12" s="1"/>
  <c r="P63" i="12"/>
  <c r="T16" i="12" s="1"/>
  <c r="P8" i="12"/>
  <c r="T13" i="12" s="1"/>
  <c r="P5" i="12"/>
  <c r="T10" i="12" s="1"/>
  <c r="P6" i="12"/>
  <c r="T11" i="12" s="1"/>
  <c r="Z13" i="12" l="1"/>
  <c r="Z12" i="12"/>
  <c r="Z10" i="12"/>
  <c r="Y16" i="12"/>
  <c r="Y17" i="12"/>
  <c r="Y15" i="12"/>
  <c r="AA12" i="12"/>
  <c r="AA11" i="12"/>
  <c r="AA10" i="12"/>
  <c r="Y13" i="12"/>
</calcChain>
</file>

<file path=xl/sharedStrings.xml><?xml version="1.0" encoding="utf-8"?>
<sst xmlns="http://schemas.openxmlformats.org/spreadsheetml/2006/main" count="400" uniqueCount="32">
  <si>
    <t>10mM Suc.</t>
    <phoneticPr fontId="1" type="noConversion"/>
  </si>
  <si>
    <t>PER (average)</t>
    <phoneticPr fontId="1" type="noConversion"/>
  </si>
  <si>
    <t>SEM</t>
  </si>
  <si>
    <t>Plate #</t>
    <phoneticPr fontId="1" type="noConversion"/>
  </si>
  <si>
    <t>Response</t>
  </si>
  <si>
    <t>Total</t>
  </si>
  <si>
    <t>Response Rate</t>
  </si>
  <si>
    <t>50mM Suc.</t>
    <phoneticPr fontId="1" type="noConversion"/>
  </si>
  <si>
    <t>100mM Suc.</t>
    <phoneticPr fontId="1" type="noConversion"/>
  </si>
  <si>
    <t>500mM Suc.</t>
    <phoneticPr fontId="1" type="noConversion"/>
  </si>
  <si>
    <t>PER (average)</t>
  </si>
  <si>
    <t>Plate #</t>
  </si>
  <si>
    <t>Response Rate</t>
    <phoneticPr fontId="1" type="noConversion"/>
  </si>
  <si>
    <t>SEM</t>
    <phoneticPr fontId="1" type="noConversion"/>
  </si>
  <si>
    <t xml:space="preserve">Fed - Tarsal PER/ Modified PER </t>
    <phoneticPr fontId="1" type="noConversion"/>
  </si>
  <si>
    <t xml:space="preserve">  </t>
    <phoneticPr fontId="1" type="noConversion"/>
  </si>
  <si>
    <t>500mM Suc.</t>
  </si>
  <si>
    <t>10mM Suc.</t>
  </si>
  <si>
    <t>SS35412&gt;Kir2.1</t>
  </si>
  <si>
    <t>SS35420&gt;Kir2.1</t>
  </si>
  <si>
    <t>/UAS-Kir2.1</t>
  </si>
  <si>
    <t>50mM Suc.</t>
  </si>
  <si>
    <t>100mM Suc.</t>
  </si>
  <si>
    <t>/UAS-Kir2.1 fixed leg</t>
  </si>
  <si>
    <t>SS35420&gt;Kir2.1 fixed leg</t>
  </si>
  <si>
    <t>/UAS-Kir2.1 + geo 1%</t>
  </si>
  <si>
    <t>/UAS-Kir2.1 fixed leg + geo 1%</t>
  </si>
  <si>
    <t>SS35420&gt;Kir2.1 + geo 1%</t>
  </si>
  <si>
    <t>SS35420&gt;Kir2.1 fixed leg + geo 1%</t>
  </si>
  <si>
    <t>SS35412&gt;Kir2.1 fixed leg</t>
  </si>
  <si>
    <t>SS35412&gt;Kir2.1 + geo 1%</t>
  </si>
  <si>
    <t>SS35412&gt;Kir2.1 fixed leg + geo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</si>
</sst>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color theme="1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i/>
      <sz val="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2" fillId="0" borderId="4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 applyAlignment="1"/>
    <xf numFmtId="0" fontId="2" fillId="2" borderId="0" xfId="0" applyFont="1" applyFill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5" borderId="0" xfId="0" applyFont="1" applyFill="1">
      <alignment vertical="center"/>
    </xf>
    <xf numFmtId="0" fontId="2" fillId="5" borderId="0" xfId="0" applyFont="1" applyFill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5" borderId="0" xfId="0" applyFont="1" applyFill="1">
      <alignment vertical="center"/>
    </xf>
    <xf numFmtId="0" fontId="2" fillId="6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>
      <alignment vertical="center"/>
    </xf>
    <xf numFmtId="0" fontId="2" fillId="7" borderId="0" xfId="0" applyFont="1" applyFill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7" borderId="0" xfId="0" applyFont="1" applyFill="1">
      <alignment vertical="center"/>
    </xf>
    <xf numFmtId="0" fontId="2" fillId="8" borderId="0" xfId="0" applyFont="1" applyFill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8" borderId="0" xfId="0" applyFont="1" applyFill="1">
      <alignment vertical="center"/>
    </xf>
    <xf numFmtId="0" fontId="2" fillId="3" borderId="4" xfId="0" applyFont="1" applyFill="1" applyBorder="1">
      <alignment vertical="center"/>
    </xf>
    <xf numFmtId="0" fontId="2" fillId="3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0" borderId="4" xfId="0" applyFont="1" applyBorder="1">
      <alignment vertical="center"/>
    </xf>
    <xf numFmtId="0" fontId="7" fillId="6" borderId="4" xfId="0" applyFont="1" applyFill="1" applyBorder="1">
      <alignment vertical="center"/>
    </xf>
    <xf numFmtId="0" fontId="7" fillId="8" borderId="4" xfId="0" applyFont="1" applyFill="1" applyBorder="1">
      <alignment vertical="center"/>
    </xf>
    <xf numFmtId="0" fontId="7" fillId="7" borderId="4" xfId="0" applyFont="1" applyFill="1" applyBorder="1">
      <alignment vertical="center"/>
    </xf>
    <xf numFmtId="0" fontId="8" fillId="2" borderId="0" xfId="0" applyFont="1" applyFill="1">
      <alignment vertical="center"/>
    </xf>
    <xf numFmtId="0" fontId="8" fillId="0" borderId="0" xfId="0" applyFont="1">
      <alignment vertical="center"/>
    </xf>
    <xf numFmtId="0" fontId="8" fillId="6" borderId="0" xfId="0" applyFont="1" applyFill="1">
      <alignment vertical="center"/>
    </xf>
    <xf numFmtId="0" fontId="8" fillId="8" borderId="0" xfId="0" applyFont="1" applyFill="1">
      <alignment vertical="center"/>
    </xf>
    <xf numFmtId="0" fontId="8" fillId="5" borderId="0" xfId="0" applyFont="1" applyFill="1">
      <alignment vertical="center"/>
    </xf>
    <xf numFmtId="0" fontId="8" fillId="4" borderId="0" xfId="0" applyFont="1" applyFill="1">
      <alignment vertical="center"/>
    </xf>
    <xf numFmtId="0" fontId="8" fillId="7" borderId="0" xfId="0" applyFont="1" applyFill="1">
      <alignment vertical="center"/>
    </xf>
    <xf numFmtId="0" fontId="9" fillId="0" borderId="0" xfId="0" applyFont="1">
      <alignment vertical="center"/>
    </xf>
    <xf numFmtId="0" fontId="9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53045563906598"/>
          <c:y val="0.10773407063975016"/>
          <c:w val="0.69133805910485258"/>
          <c:h val="0.40397509578544061"/>
        </c:manualLayout>
      </c:layout>
      <c:lineChart>
        <c:grouping val="standard"/>
        <c:varyColors val="0"/>
        <c:ser>
          <c:idx val="0"/>
          <c:order val="0"/>
          <c:tx>
            <c:strRef>
              <c:f>'Met420 fixed leg'!$S$10</c:f>
              <c:strCache>
                <c:ptCount val="1"/>
                <c:pt idx="0">
                  <c:v>/UAS-Kir2.1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9050">
                <a:solidFill>
                  <a:schemeClr val="tx1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'Met420 fixed leg'!$Y$10:$AA$10</c:f>
                <c:numCache>
                  <c:formatCode>General</c:formatCode>
                  <c:ptCount val="3"/>
                  <c:pt idx="0">
                    <c:v>2.7777777777777776E-2</c:v>
                  </c:pt>
                  <c:pt idx="1">
                    <c:v>4.5218946100276956E-2</c:v>
                  </c:pt>
                  <c:pt idx="2">
                    <c:v>8.1519614393495476E-2</c:v>
                  </c:pt>
                </c:numCache>
              </c:numRef>
            </c:plus>
            <c:minus>
              <c:numRef>
                <c:f>'Met420 fixed leg'!$Y$10:$AA$10</c:f>
                <c:numCache>
                  <c:formatCode>General</c:formatCode>
                  <c:ptCount val="3"/>
                  <c:pt idx="0">
                    <c:v>2.7777777777777776E-2</c:v>
                  </c:pt>
                  <c:pt idx="1">
                    <c:v>4.5218946100276956E-2</c:v>
                  </c:pt>
                  <c:pt idx="2">
                    <c:v>8.1519614393495476E-2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'Met420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'Met420 fixed leg'!$T$10:$V$10</c:f>
              <c:numCache>
                <c:formatCode>General</c:formatCode>
                <c:ptCount val="3"/>
                <c:pt idx="0">
                  <c:v>0.1388888888888889</c:v>
                </c:pt>
                <c:pt idx="1">
                  <c:v>0.27777777777777779</c:v>
                </c:pt>
                <c:pt idx="2">
                  <c:v>0.53472222222222221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4-49B6-8EF8-1F70AC9BF0AA}"/>
            </c:ext>
          </c:extLst>
        </c:ser>
        <c:ser>
          <c:idx val="2"/>
          <c:order val="1"/>
          <c:tx>
            <c:strRef>
              <c:f>'Met420 fixed leg'!$S$11</c:f>
              <c:strCache>
                <c:ptCount val="1"/>
                <c:pt idx="0">
                  <c:v>/UAS-Kir2.1 fixed leg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bevel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'Met420 fixed leg'!$Y$11:$AA$11</c:f>
                <c:numCache>
                  <c:formatCode>General</c:formatCode>
                  <c:ptCount val="3"/>
                  <c:pt idx="0">
                    <c:v>5.2060180038864784E-2</c:v>
                  </c:pt>
                  <c:pt idx="1">
                    <c:v>4.7709900103660177E-2</c:v>
                  </c:pt>
                  <c:pt idx="2">
                    <c:v>3.9771725175767658E-2</c:v>
                  </c:pt>
                </c:numCache>
              </c:numRef>
            </c:plus>
            <c:minus>
              <c:numRef>
                <c:f>'Met420 fixed leg'!$Y$11:$AA$11</c:f>
                <c:numCache>
                  <c:formatCode>General</c:formatCode>
                  <c:ptCount val="3"/>
                  <c:pt idx="0">
                    <c:v>5.2060180038864784E-2</c:v>
                  </c:pt>
                  <c:pt idx="1">
                    <c:v>4.7709900103660177E-2</c:v>
                  </c:pt>
                  <c:pt idx="2">
                    <c:v>3.9771725175767658E-2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'Met420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'Met420 fixed leg'!$T$11:$V$11</c:f>
              <c:numCache>
                <c:formatCode>General</c:formatCode>
                <c:ptCount val="3"/>
                <c:pt idx="0">
                  <c:v>0.34027777777777773</c:v>
                </c:pt>
                <c:pt idx="1">
                  <c:v>0.44444444444444448</c:v>
                </c:pt>
                <c:pt idx="2">
                  <c:v>0.59722222222222221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D4-49B6-8EF8-1F70AC9BF0AA}"/>
            </c:ext>
          </c:extLst>
        </c:ser>
        <c:ser>
          <c:idx val="1"/>
          <c:order val="2"/>
          <c:tx>
            <c:strRef>
              <c:f>'Met420 fixed leg'!$S$12</c:f>
              <c:strCache>
                <c:ptCount val="1"/>
                <c:pt idx="0">
                  <c:v>SS35420&gt;Kir2.1</c:v>
                </c:pt>
              </c:strCache>
            </c:strRef>
          </c:tx>
          <c:spPr>
            <a:ln w="19050" cap="flat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solidFill>
                <a:schemeClr val="accent4"/>
              </a:solidFill>
              <a:ln w="19050" cap="rnd">
                <a:solidFill>
                  <a:schemeClr val="accent4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'Met420 fixed leg'!$Y$12:$AA$12</c:f>
                <c:numCache>
                  <c:formatCode>General</c:formatCode>
                  <c:ptCount val="3"/>
                  <c:pt idx="0">
                    <c:v>7.1900995030804382E-2</c:v>
                  </c:pt>
                  <c:pt idx="1">
                    <c:v>8.0267684871110537E-2</c:v>
                  </c:pt>
                  <c:pt idx="2">
                    <c:v>7.4858405434510347E-2</c:v>
                  </c:pt>
                </c:numCache>
              </c:numRef>
            </c:plus>
            <c:minus>
              <c:numRef>
                <c:f>'Met420 fixed leg'!$Y$12:$AA$12</c:f>
                <c:numCache>
                  <c:formatCode>General</c:formatCode>
                  <c:ptCount val="3"/>
                  <c:pt idx="0">
                    <c:v>7.1900995030804382E-2</c:v>
                  </c:pt>
                  <c:pt idx="1">
                    <c:v>8.0267684871110537E-2</c:v>
                  </c:pt>
                  <c:pt idx="2">
                    <c:v>7.4858405434510347E-2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'Met420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'Met420 fixed leg'!$T$12:$V$12</c:f>
              <c:numCache>
                <c:formatCode>General</c:formatCode>
                <c:ptCount val="3"/>
                <c:pt idx="0">
                  <c:v>0.31944444444444442</c:v>
                </c:pt>
                <c:pt idx="1">
                  <c:v>0.47222222222222227</c:v>
                </c:pt>
                <c:pt idx="2">
                  <c:v>0.57638888888888884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D4-49B6-8EF8-1F70AC9BF0AA}"/>
            </c:ext>
          </c:extLst>
        </c:ser>
        <c:ser>
          <c:idx val="3"/>
          <c:order val="3"/>
          <c:tx>
            <c:strRef>
              <c:f>'Met420 fixed leg'!$S$13</c:f>
              <c:strCache>
                <c:ptCount val="1"/>
                <c:pt idx="0">
                  <c:v>SS35420&gt;Kir2.1 fixed leg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'Met420 fixed leg'!$Y$13:$AA$13</c:f>
                <c:numCache>
                  <c:formatCode>General</c:formatCode>
                  <c:ptCount val="3"/>
                  <c:pt idx="0">
                    <c:v>5.6331388307425741E-2</c:v>
                  </c:pt>
                  <c:pt idx="1">
                    <c:v>7.1159380319163801E-2</c:v>
                  </c:pt>
                  <c:pt idx="2">
                    <c:v>5.7601225981466067E-2</c:v>
                  </c:pt>
                </c:numCache>
              </c:numRef>
            </c:plus>
            <c:minus>
              <c:numRef>
                <c:f>'Met420 fixed leg'!$Y$13:$AA$13</c:f>
                <c:numCache>
                  <c:formatCode>General</c:formatCode>
                  <c:ptCount val="3"/>
                  <c:pt idx="0">
                    <c:v>5.6331388307425741E-2</c:v>
                  </c:pt>
                  <c:pt idx="1">
                    <c:v>7.1159380319163801E-2</c:v>
                  </c:pt>
                  <c:pt idx="2">
                    <c:v>5.7601225981466067E-2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'Met420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'Met420 fixed leg'!$T$13:$V$13</c:f>
              <c:numCache>
                <c:formatCode>General</c:formatCode>
                <c:ptCount val="3"/>
                <c:pt idx="0">
                  <c:v>0.38194444444444442</c:v>
                </c:pt>
                <c:pt idx="1">
                  <c:v>0.43750000000000006</c:v>
                </c:pt>
                <c:pt idx="2">
                  <c:v>0.59722222222222221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D4-49B6-8EF8-1F70AC9BF0AA}"/>
            </c:ext>
          </c:extLst>
        </c:ser>
        <c:ser>
          <c:idx val="4"/>
          <c:order val="4"/>
          <c:tx>
            <c:strRef>
              <c:f>'Met420 fixed leg'!$S$14</c:f>
              <c:strCache>
                <c:ptCount val="1"/>
                <c:pt idx="0">
                  <c:v>/UAS-Kir2.1 + geo 1%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'Met420 fixed leg'!$Y$14:$AA$14</c:f>
                <c:numCache>
                  <c:formatCode>General</c:formatCode>
                  <c:ptCount val="3"/>
                  <c:pt idx="0">
                    <c:v>2.0600551353043513E-2</c:v>
                  </c:pt>
                  <c:pt idx="1">
                    <c:v>2.560984571470246E-2</c:v>
                  </c:pt>
                  <c:pt idx="2">
                    <c:v>4.1201102706087088E-2</c:v>
                  </c:pt>
                </c:numCache>
              </c:numRef>
            </c:plus>
            <c:minus>
              <c:numRef>
                <c:f>'Met420 fixed leg'!$Y$14:$AA$14</c:f>
                <c:numCache>
                  <c:formatCode>General</c:formatCode>
                  <c:ptCount val="3"/>
                  <c:pt idx="0">
                    <c:v>2.0600551353043513E-2</c:v>
                  </c:pt>
                  <c:pt idx="1">
                    <c:v>2.560984571470246E-2</c:v>
                  </c:pt>
                  <c:pt idx="2">
                    <c:v>4.1201102706087088E-2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'Met420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'Met420 fixed leg'!$T$14:$V$14</c:f>
              <c:numCache>
                <c:formatCode>General</c:formatCode>
                <c:ptCount val="3"/>
                <c:pt idx="0">
                  <c:v>5.5555555555555552E-2</c:v>
                </c:pt>
                <c:pt idx="1">
                  <c:v>0.13888888888888892</c:v>
                </c:pt>
                <c:pt idx="2">
                  <c:v>0.27777777777777773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D4-49B6-8EF8-1F70AC9BF0AA}"/>
            </c:ext>
          </c:extLst>
        </c:ser>
        <c:ser>
          <c:idx val="5"/>
          <c:order val="5"/>
          <c:tx>
            <c:strRef>
              <c:f>'Met420 fixed leg'!$S$15</c:f>
              <c:strCache>
                <c:ptCount val="1"/>
                <c:pt idx="0">
                  <c:v>/UAS-Kir2.1 fixed leg + geo 1%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  <a:prstDash val="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'Met420 fixed leg'!$Y$15:$AA$15</c:f>
                <c:numCache>
                  <c:formatCode>General</c:formatCode>
                  <c:ptCount val="3"/>
                  <c:pt idx="0">
                    <c:v>5.9899607369021793E-2</c:v>
                  </c:pt>
                  <c:pt idx="1">
                    <c:v>3.6350700911951021E-2</c:v>
                  </c:pt>
                  <c:pt idx="2">
                    <c:v>4.7709900103660247E-2</c:v>
                  </c:pt>
                </c:numCache>
              </c:numRef>
            </c:plus>
            <c:minus>
              <c:numRef>
                <c:f>'Met420 fixed leg'!$Y$15:$AA$15</c:f>
                <c:numCache>
                  <c:formatCode>General</c:formatCode>
                  <c:ptCount val="3"/>
                  <c:pt idx="0">
                    <c:v>5.9899607369021793E-2</c:v>
                  </c:pt>
                  <c:pt idx="1">
                    <c:v>3.6350700911951021E-2</c:v>
                  </c:pt>
                  <c:pt idx="2">
                    <c:v>4.7709900103660247E-2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'Met420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'Met420 fixed leg'!$T$15:$V$15</c:f>
              <c:numCache>
                <c:formatCode>General</c:formatCode>
                <c:ptCount val="3"/>
                <c:pt idx="0">
                  <c:v>0.29166666666666663</c:v>
                </c:pt>
                <c:pt idx="1">
                  <c:v>0.40972222222222227</c:v>
                </c:pt>
                <c:pt idx="2">
                  <c:v>0.56944444444444453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D4-49B6-8EF8-1F70AC9BF0AA}"/>
            </c:ext>
          </c:extLst>
        </c:ser>
        <c:ser>
          <c:idx val="6"/>
          <c:order val="6"/>
          <c:tx>
            <c:strRef>
              <c:f>'Met420 fixed leg'!$S$16</c:f>
              <c:strCache>
                <c:ptCount val="1"/>
                <c:pt idx="0">
                  <c:v>SS35420&gt;Kir2.1 + geo 1%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accent4">
                    <a:lumMod val="40000"/>
                    <a:lumOff val="60000"/>
                  </a:schemeClr>
                </a:solidFill>
                <a:prstDash val="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'Met420 fixed leg'!$Y$16:$AA$16</c:f>
                <c:numCache>
                  <c:formatCode>General</c:formatCode>
                  <c:ptCount val="3"/>
                  <c:pt idx="0">
                    <c:v>6.0858061945018478E-2</c:v>
                  </c:pt>
                  <c:pt idx="1">
                    <c:v>7.2502128534101054E-2</c:v>
                  </c:pt>
                  <c:pt idx="2">
                    <c:v>6.364688465216442E-2</c:v>
                  </c:pt>
                </c:numCache>
              </c:numRef>
            </c:plus>
            <c:minus>
              <c:numRef>
                <c:f>'Met420 fixed leg'!$Y$16:$AA$16</c:f>
                <c:numCache>
                  <c:formatCode>General</c:formatCode>
                  <c:ptCount val="3"/>
                  <c:pt idx="0">
                    <c:v>6.0858061945018478E-2</c:v>
                  </c:pt>
                  <c:pt idx="1">
                    <c:v>7.2502128534101054E-2</c:v>
                  </c:pt>
                  <c:pt idx="2">
                    <c:v>6.364688465216442E-2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'Met420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'Met420 fixed leg'!$T$16:$V$16</c:f>
              <c:numCache>
                <c:formatCode>General</c:formatCode>
                <c:ptCount val="3"/>
                <c:pt idx="0">
                  <c:v>0.29166666666666669</c:v>
                </c:pt>
                <c:pt idx="1">
                  <c:v>0.4513888888888889</c:v>
                </c:pt>
                <c:pt idx="2">
                  <c:v>0.54166666666666663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D4-49B6-8EF8-1F70AC9BF0AA}"/>
            </c:ext>
          </c:extLst>
        </c:ser>
        <c:ser>
          <c:idx val="7"/>
          <c:order val="7"/>
          <c:tx>
            <c:strRef>
              <c:f>'Met420 fixed leg'!$S$17</c:f>
              <c:strCache>
                <c:ptCount val="1"/>
                <c:pt idx="0">
                  <c:v>SS35420&gt;Kir2.1 fixed leg + geo 1%</c:v>
                </c:pt>
              </c:strCache>
            </c:strRef>
          </c:tx>
          <c:spPr>
            <a:ln w="19050" cap="rnd">
              <a:solidFill>
                <a:schemeClr val="accent2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accent2">
                    <a:lumMod val="40000"/>
                    <a:lumOff val="60000"/>
                  </a:schemeClr>
                </a:solidFill>
                <a:prstDash val="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'Met420 fixed leg'!$Y$17:$AA$17</c:f>
                <c:numCache>
                  <c:formatCode>General</c:formatCode>
                  <c:ptCount val="3"/>
                  <c:pt idx="0">
                    <c:v>6.3114265375009859E-2</c:v>
                  </c:pt>
                  <c:pt idx="1">
                    <c:v>5.9576696082020125E-2</c:v>
                  </c:pt>
                  <c:pt idx="2">
                    <c:v>4.9787356469263709E-2</c:v>
                  </c:pt>
                </c:numCache>
              </c:numRef>
            </c:plus>
            <c:minus>
              <c:numRef>
                <c:f>'Met420 fixed leg'!$Y$17:$AA$17</c:f>
                <c:numCache>
                  <c:formatCode>General</c:formatCode>
                  <c:ptCount val="3"/>
                  <c:pt idx="0">
                    <c:v>6.3114265375009859E-2</c:v>
                  </c:pt>
                  <c:pt idx="1">
                    <c:v>5.9576696082020125E-2</c:v>
                  </c:pt>
                  <c:pt idx="2">
                    <c:v>4.9787356469263709E-2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'Met420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'Met420 fixed leg'!$T$17:$V$17</c:f>
              <c:numCache>
                <c:formatCode>General</c:formatCode>
                <c:ptCount val="3"/>
                <c:pt idx="0">
                  <c:v>0.34027777777777773</c:v>
                </c:pt>
                <c:pt idx="1">
                  <c:v>0.40277777777777773</c:v>
                </c:pt>
                <c:pt idx="2">
                  <c:v>0.54861111111111105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D4-49B6-8EF8-1F70AC9BF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200495"/>
        <c:axId val="545198415"/>
      </c:line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[Sucrose]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39772621412042641"/>
              <c:y val="0.58014705882352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1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4510250365551611"/>
          <c:y val="0.65490237847665289"/>
          <c:w val="0.67830967872926096"/>
          <c:h val="0.33706171630869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1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53045563906598"/>
          <c:y val="0.10773407063975016"/>
          <c:w val="0.69133805910485258"/>
          <c:h val="0.40397509578544061"/>
        </c:manualLayout>
      </c:layout>
      <c:lineChart>
        <c:grouping val="standard"/>
        <c:varyColors val="0"/>
        <c:ser>
          <c:idx val="0"/>
          <c:order val="0"/>
          <c:tx>
            <c:strRef>
              <c:f>'Met412 fixed leg'!$S$10</c:f>
              <c:strCache>
                <c:ptCount val="1"/>
                <c:pt idx="0">
                  <c:v>/UAS-Kir2.1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9050">
                <a:solidFill>
                  <a:schemeClr val="tx1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'Met412 fixed leg'!$Y$10:$AA$10</c:f>
                <c:numCache>
                  <c:formatCode>General</c:formatCode>
                  <c:ptCount val="3"/>
                  <c:pt idx="0">
                    <c:v>3.4020690871988606E-2</c:v>
                  </c:pt>
                  <c:pt idx="1">
                    <c:v>3.51364184463153E-2</c:v>
                  </c:pt>
                  <c:pt idx="2">
                    <c:v>6.2190592158994813E-2</c:v>
                  </c:pt>
                </c:numCache>
              </c:numRef>
            </c:plus>
            <c:minus>
              <c:numRef>
                <c:f>'Met412 fixed leg'!$Y$10:$AA$10</c:f>
                <c:numCache>
                  <c:formatCode>General</c:formatCode>
                  <c:ptCount val="3"/>
                  <c:pt idx="0">
                    <c:v>3.4020690871988606E-2</c:v>
                  </c:pt>
                  <c:pt idx="1">
                    <c:v>3.51364184463153E-2</c:v>
                  </c:pt>
                  <c:pt idx="2">
                    <c:v>6.2190592158994813E-2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'Met412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'Met412 fixed leg'!$T$10:$V$10</c:f>
              <c:numCache>
                <c:formatCode>General</c:formatCode>
                <c:ptCount val="3"/>
                <c:pt idx="0">
                  <c:v>0.16666666666666666</c:v>
                </c:pt>
                <c:pt idx="1">
                  <c:v>0.27777777777777779</c:v>
                </c:pt>
                <c:pt idx="2">
                  <c:v>0.50694444444444442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3E-449C-948D-2DB172976571}"/>
            </c:ext>
          </c:extLst>
        </c:ser>
        <c:ser>
          <c:idx val="2"/>
          <c:order val="1"/>
          <c:tx>
            <c:strRef>
              <c:f>'Met412 fixed leg'!$S$11</c:f>
              <c:strCache>
                <c:ptCount val="1"/>
                <c:pt idx="0">
                  <c:v>/UAS-Kir2.1 fixed leg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bevel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'Met412 fixed leg'!$Y$11:$AA$11</c:f>
                <c:numCache>
                  <c:formatCode>General</c:formatCode>
                  <c:ptCount val="3"/>
                  <c:pt idx="0">
                    <c:v>4.7709900103660177E-2</c:v>
                  </c:pt>
                  <c:pt idx="1">
                    <c:v>5.7935148929483912E-2</c:v>
                  </c:pt>
                  <c:pt idx="2">
                    <c:v>4.5218946100276956E-2</c:v>
                  </c:pt>
                </c:numCache>
              </c:numRef>
            </c:plus>
            <c:minus>
              <c:numRef>
                <c:f>'Met412 fixed leg'!$Y$11:$AA$11</c:f>
                <c:numCache>
                  <c:formatCode>General</c:formatCode>
                  <c:ptCount val="3"/>
                  <c:pt idx="0">
                    <c:v>4.7709900103660177E-2</c:v>
                  </c:pt>
                  <c:pt idx="1">
                    <c:v>5.7935148929483912E-2</c:v>
                  </c:pt>
                  <c:pt idx="2">
                    <c:v>4.5218946100276956E-2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'Met412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'Met412 fixed leg'!$T$11:$V$11</c:f>
              <c:numCache>
                <c:formatCode>General</c:formatCode>
                <c:ptCount val="3"/>
                <c:pt idx="0">
                  <c:v>0.30555555555555558</c:v>
                </c:pt>
                <c:pt idx="1">
                  <c:v>0.45833333333333331</c:v>
                </c:pt>
                <c:pt idx="2">
                  <c:v>0.56944444444444453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3E-449C-948D-2DB172976571}"/>
            </c:ext>
          </c:extLst>
        </c:ser>
        <c:ser>
          <c:idx val="1"/>
          <c:order val="2"/>
          <c:tx>
            <c:strRef>
              <c:f>'Met412 fixed leg'!$S$12</c:f>
              <c:strCache>
                <c:ptCount val="1"/>
                <c:pt idx="0">
                  <c:v>SS35412&gt;Kir2.1</c:v>
                </c:pt>
              </c:strCache>
            </c:strRef>
          </c:tx>
          <c:spPr>
            <a:ln w="19050" cap="flat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solidFill>
                <a:schemeClr val="accent4"/>
              </a:solidFill>
              <a:ln w="19050" cap="rnd">
                <a:solidFill>
                  <a:schemeClr val="accent4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'Met412 fixed leg'!$Y$12:$AA$12</c:f>
                <c:numCache>
                  <c:formatCode>General</c:formatCode>
                  <c:ptCount val="3"/>
                  <c:pt idx="0">
                    <c:v>4.6481112585226365E-2</c:v>
                  </c:pt>
                  <c:pt idx="1">
                    <c:v>3.5136418446315619E-2</c:v>
                  </c:pt>
                  <c:pt idx="2">
                    <c:v>4.7709900103660094E-2</c:v>
                  </c:pt>
                </c:numCache>
              </c:numRef>
            </c:plus>
            <c:minus>
              <c:numRef>
                <c:f>'Met412 fixed leg'!$Y$12:$AA$12</c:f>
                <c:numCache>
                  <c:formatCode>General</c:formatCode>
                  <c:ptCount val="3"/>
                  <c:pt idx="0">
                    <c:v>4.6481112585226365E-2</c:v>
                  </c:pt>
                  <c:pt idx="1">
                    <c:v>3.5136418446315619E-2</c:v>
                  </c:pt>
                  <c:pt idx="2">
                    <c:v>4.7709900103660094E-2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'Met412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'Met412 fixed leg'!$T$12:$V$12</c:f>
              <c:numCache>
                <c:formatCode>General</c:formatCode>
                <c:ptCount val="3"/>
                <c:pt idx="0">
                  <c:v>0.34722222222222227</c:v>
                </c:pt>
                <c:pt idx="1">
                  <c:v>0.4861111111111111</c:v>
                </c:pt>
                <c:pt idx="2">
                  <c:v>0.61111111111111116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3E-449C-948D-2DB172976571}"/>
            </c:ext>
          </c:extLst>
        </c:ser>
        <c:ser>
          <c:idx val="3"/>
          <c:order val="3"/>
          <c:tx>
            <c:strRef>
              <c:f>'Met412 fixed leg'!$S$13</c:f>
              <c:strCache>
                <c:ptCount val="1"/>
                <c:pt idx="0">
                  <c:v>SS35412&gt;Kir2.1 fixed leg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'Met412 fixed leg'!$Y$13:$AA$13</c:f>
                <c:numCache>
                  <c:formatCode>General</c:formatCode>
                  <c:ptCount val="3"/>
                  <c:pt idx="0">
                    <c:v>3.3448873829978631E-2</c:v>
                  </c:pt>
                  <c:pt idx="1">
                    <c:v>3.6350700911951327E-2</c:v>
                  </c:pt>
                  <c:pt idx="2">
                    <c:v>4.3033148291193278E-2</c:v>
                  </c:pt>
                </c:numCache>
              </c:numRef>
            </c:plus>
            <c:minus>
              <c:numRef>
                <c:f>'Met412 fixed leg'!$Y$13:$AA$13</c:f>
                <c:numCache>
                  <c:formatCode>General</c:formatCode>
                  <c:ptCount val="3"/>
                  <c:pt idx="0">
                    <c:v>3.3448873829978631E-2</c:v>
                  </c:pt>
                  <c:pt idx="1">
                    <c:v>3.6350700911951327E-2</c:v>
                  </c:pt>
                  <c:pt idx="2">
                    <c:v>4.3033148291193278E-2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'Met412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'Met412 fixed leg'!$T$13:$V$13</c:f>
              <c:numCache>
                <c:formatCode>General</c:formatCode>
                <c:ptCount val="3"/>
                <c:pt idx="0">
                  <c:v>0.3611111111111111</c:v>
                </c:pt>
                <c:pt idx="1">
                  <c:v>0.49305555555555552</c:v>
                </c:pt>
                <c:pt idx="2">
                  <c:v>0.58333333333333337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3E-449C-948D-2DB172976571}"/>
            </c:ext>
          </c:extLst>
        </c:ser>
        <c:ser>
          <c:idx val="4"/>
          <c:order val="4"/>
          <c:tx>
            <c:strRef>
              <c:f>'Met412 fixed leg'!$S$14</c:f>
              <c:strCache>
                <c:ptCount val="1"/>
                <c:pt idx="0">
                  <c:v>/UAS-Kir2.1 + geo 1%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'Met412 fixed leg'!$Y$14:$AA$14</c:f>
                <c:numCache>
                  <c:formatCode>General</c:formatCode>
                  <c:ptCount val="3"/>
                  <c:pt idx="0">
                    <c:v>2.560984571470247E-2</c:v>
                  </c:pt>
                  <c:pt idx="1">
                    <c:v>2.2609473050138496E-2</c:v>
                  </c:pt>
                  <c:pt idx="2">
                    <c:v>4.3589874517986758E-2</c:v>
                  </c:pt>
                </c:numCache>
              </c:numRef>
            </c:plus>
            <c:minus>
              <c:numRef>
                <c:f>'Met412 fixed leg'!$Y$14:$AA$14</c:f>
                <c:numCache>
                  <c:formatCode>General</c:formatCode>
                  <c:ptCount val="3"/>
                  <c:pt idx="0">
                    <c:v>2.560984571470247E-2</c:v>
                  </c:pt>
                  <c:pt idx="1">
                    <c:v>2.2609473050138496E-2</c:v>
                  </c:pt>
                  <c:pt idx="2">
                    <c:v>4.3589874517986758E-2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'Met412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'Met412 fixed leg'!$T$14:$V$14</c:f>
              <c:numCache>
                <c:formatCode>General</c:formatCode>
                <c:ptCount val="3"/>
                <c:pt idx="0">
                  <c:v>0.1111111111111111</c:v>
                </c:pt>
                <c:pt idx="1">
                  <c:v>0.15972222222222221</c:v>
                </c:pt>
                <c:pt idx="2">
                  <c:v>0.25694444444444442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3E-449C-948D-2DB172976571}"/>
            </c:ext>
          </c:extLst>
        </c:ser>
        <c:ser>
          <c:idx val="5"/>
          <c:order val="5"/>
          <c:tx>
            <c:strRef>
              <c:f>'Met412 fixed leg'!$S$15</c:f>
              <c:strCache>
                <c:ptCount val="1"/>
                <c:pt idx="0">
                  <c:v>/UAS-Kir2.1 fixed leg + geo 1%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  <a:prstDash val="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'Met412 fixed leg'!$Y$15:$AA$15</c:f>
                <c:numCache>
                  <c:formatCode>General</c:formatCode>
                  <c:ptCount val="3"/>
                  <c:pt idx="0">
                    <c:v>3.9406280441975299E-2</c:v>
                  </c:pt>
                  <c:pt idx="1">
                    <c:v>5.0460839234958109E-2</c:v>
                  </c:pt>
                  <c:pt idx="2">
                    <c:v>5.4856715717031782E-2</c:v>
                  </c:pt>
                </c:numCache>
              </c:numRef>
            </c:plus>
            <c:minus>
              <c:numRef>
                <c:f>'Met412 fixed leg'!$Y$15:$AA$15</c:f>
                <c:numCache>
                  <c:formatCode>General</c:formatCode>
                  <c:ptCount val="3"/>
                  <c:pt idx="0">
                    <c:v>3.9406280441975299E-2</c:v>
                  </c:pt>
                  <c:pt idx="1">
                    <c:v>5.0460839234958109E-2</c:v>
                  </c:pt>
                  <c:pt idx="2">
                    <c:v>5.4856715717031782E-2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'Met412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'Met412 fixed leg'!$T$15:$V$15</c:f>
              <c:numCache>
                <c:formatCode>General</c:formatCode>
                <c:ptCount val="3"/>
                <c:pt idx="0">
                  <c:v>0.28472222222222227</c:v>
                </c:pt>
                <c:pt idx="1">
                  <c:v>0.41666666666666674</c:v>
                </c:pt>
                <c:pt idx="2">
                  <c:v>0.54166666666666674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3E-449C-948D-2DB172976571}"/>
            </c:ext>
          </c:extLst>
        </c:ser>
        <c:ser>
          <c:idx val="6"/>
          <c:order val="6"/>
          <c:tx>
            <c:strRef>
              <c:f>'Met412 fixed leg'!$S$16</c:f>
              <c:strCache>
                <c:ptCount val="1"/>
                <c:pt idx="0">
                  <c:v>SS35412&gt;Kir2.1 + geo 1%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accent4">
                    <a:lumMod val="40000"/>
                    <a:lumOff val="60000"/>
                  </a:schemeClr>
                </a:solidFill>
                <a:prstDash val="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'Met412 fixed leg'!$Y$16:$AA$16</c:f>
                <c:numCache>
                  <c:formatCode>General</c:formatCode>
                  <c:ptCount val="3"/>
                  <c:pt idx="0">
                    <c:v>4.3589874517986744E-2</c:v>
                  </c:pt>
                  <c:pt idx="1">
                    <c:v>3.7267799624996538E-2</c:v>
                  </c:pt>
                  <c:pt idx="2">
                    <c:v>4.9787356469263862E-2</c:v>
                  </c:pt>
                </c:numCache>
              </c:numRef>
            </c:plus>
            <c:minus>
              <c:numRef>
                <c:f>'Met412 fixed leg'!$Y$16:$AA$16</c:f>
                <c:numCache>
                  <c:formatCode>General</c:formatCode>
                  <c:ptCount val="3"/>
                  <c:pt idx="0">
                    <c:v>4.3589874517986744E-2</c:v>
                  </c:pt>
                  <c:pt idx="1">
                    <c:v>3.7267799624996538E-2</c:v>
                  </c:pt>
                  <c:pt idx="2">
                    <c:v>4.9787356469263862E-2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'Met412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'Met412 fixed leg'!$T$16:$V$16</c:f>
              <c:numCache>
                <c:formatCode>General</c:formatCode>
                <c:ptCount val="3"/>
                <c:pt idx="0">
                  <c:v>0.3263888888888889</c:v>
                </c:pt>
                <c:pt idx="1">
                  <c:v>0.45833333333333331</c:v>
                </c:pt>
                <c:pt idx="2">
                  <c:v>0.59027777777777779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3E-449C-948D-2DB172976571}"/>
            </c:ext>
          </c:extLst>
        </c:ser>
        <c:ser>
          <c:idx val="7"/>
          <c:order val="7"/>
          <c:tx>
            <c:strRef>
              <c:f>'Met412 fixed leg'!$S$17</c:f>
              <c:strCache>
                <c:ptCount val="1"/>
                <c:pt idx="0">
                  <c:v>SS35412&gt;Kir2.1 fixed leg + geo 1%</c:v>
                </c:pt>
              </c:strCache>
            </c:strRef>
          </c:tx>
          <c:spPr>
            <a:ln w="19050" cap="rnd">
              <a:solidFill>
                <a:schemeClr val="accent2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accent2">
                    <a:lumMod val="40000"/>
                    <a:lumOff val="60000"/>
                  </a:schemeClr>
                </a:solidFill>
                <a:prstDash val="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'Met412 fixed leg'!$Y$17:$AA$17</c:f>
                <c:numCache>
                  <c:formatCode>General</c:formatCode>
                  <c:ptCount val="3"/>
                  <c:pt idx="0">
                    <c:v>3.8289024311361691E-2</c:v>
                  </c:pt>
                  <c:pt idx="1">
                    <c:v>4.7405689349655715E-2</c:v>
                  </c:pt>
                  <c:pt idx="2">
                    <c:v>4.7405689349655715E-2</c:v>
                  </c:pt>
                </c:numCache>
              </c:numRef>
            </c:plus>
            <c:minus>
              <c:numRef>
                <c:f>'Met412 fixed leg'!$Y$17:$AA$17</c:f>
                <c:numCache>
                  <c:formatCode>General</c:formatCode>
                  <c:ptCount val="3"/>
                  <c:pt idx="0">
                    <c:v>3.8289024311361691E-2</c:v>
                  </c:pt>
                  <c:pt idx="1">
                    <c:v>4.7405689349655715E-2</c:v>
                  </c:pt>
                  <c:pt idx="2">
                    <c:v>4.7405689349655715E-2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'Met412 fixed leg'!$T$9:$V$9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'Met412 fixed leg'!$T$17:$V$17</c:f>
              <c:numCache>
                <c:formatCode>General</c:formatCode>
                <c:ptCount val="3"/>
                <c:pt idx="0">
                  <c:v>0.31944444444444448</c:v>
                </c:pt>
                <c:pt idx="1">
                  <c:v>0.45138888888888884</c:v>
                </c:pt>
                <c:pt idx="2">
                  <c:v>0.57638888888888895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73E-449C-948D-2DB172976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200495"/>
        <c:axId val="545198415"/>
      </c:line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[Sucrose]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39772621412042641"/>
              <c:y val="0.58014705882352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1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4510250365551611"/>
          <c:y val="0.65490237847665289"/>
          <c:w val="0.67830967872926096"/>
          <c:h val="0.33706171630869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1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382700</xdr:colOff>
      <xdr:row>21</xdr:row>
      <xdr:rowOff>97430</xdr:rowOff>
    </xdr:from>
    <xdr:to>
      <xdr:col>23</xdr:col>
      <xdr:colOff>0</xdr:colOff>
      <xdr:row>57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31E6B63-D160-41D7-B92B-77EB59CEB58F}"/>
            </a:ext>
          </a:extLst>
        </xdr:cNvPr>
        <xdr:cNvGrpSpPr/>
      </xdr:nvGrpSpPr>
      <xdr:grpSpPr>
        <a:xfrm>
          <a:off x="11526950" y="2843964"/>
          <a:ext cx="3355863" cy="4621255"/>
          <a:chOff x="8232321" y="2474802"/>
          <a:chExt cx="3002076" cy="3789209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5A812759-6D75-457F-EECB-422E218FEEB4}"/>
              </a:ext>
            </a:extLst>
          </xdr:cNvPr>
          <xdr:cNvGraphicFramePr>
            <a:graphicFrameLocks/>
          </xdr:cNvGraphicFramePr>
        </xdr:nvGraphicFramePr>
        <xdr:xfrm>
          <a:off x="8232321" y="2474802"/>
          <a:ext cx="3002076" cy="37892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4836A475-E994-C8A3-4CD4-C2A0F2627D9F}"/>
              </a:ext>
            </a:extLst>
          </xdr:cNvPr>
          <xdr:cNvSpPr txBox="1"/>
        </xdr:nvSpPr>
        <xdr:spPr>
          <a:xfrm>
            <a:off x="9339593" y="2519154"/>
            <a:ext cx="1082519" cy="25182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state</a:t>
            </a:r>
            <a:endParaRPr lang="ko-KR" altLang="ko-KR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382700</xdr:colOff>
      <xdr:row>21</xdr:row>
      <xdr:rowOff>97430</xdr:rowOff>
    </xdr:from>
    <xdr:to>
      <xdr:col>23</xdr:col>
      <xdr:colOff>0</xdr:colOff>
      <xdr:row>57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9CBEBAE-4435-4BE8-8380-D0CDCBAB315E}"/>
            </a:ext>
          </a:extLst>
        </xdr:cNvPr>
        <xdr:cNvGrpSpPr/>
      </xdr:nvGrpSpPr>
      <xdr:grpSpPr>
        <a:xfrm>
          <a:off x="11526950" y="2843964"/>
          <a:ext cx="3355863" cy="4621255"/>
          <a:chOff x="8232321" y="2474802"/>
          <a:chExt cx="3002076" cy="3789209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75D87271-B379-5F0E-B3EC-B08D6389F8DA}"/>
              </a:ext>
            </a:extLst>
          </xdr:cNvPr>
          <xdr:cNvGraphicFramePr>
            <a:graphicFrameLocks/>
          </xdr:cNvGraphicFramePr>
        </xdr:nvGraphicFramePr>
        <xdr:xfrm>
          <a:off x="8232321" y="2474802"/>
          <a:ext cx="3002076" cy="37892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6A63F60-0DBE-6688-E197-5D868109302B}"/>
              </a:ext>
            </a:extLst>
          </xdr:cNvPr>
          <xdr:cNvSpPr txBox="1"/>
        </xdr:nvSpPr>
        <xdr:spPr>
          <a:xfrm>
            <a:off x="9339593" y="2519154"/>
            <a:ext cx="1082519" cy="25182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state</a:t>
            </a:r>
            <a:endParaRPr lang="ko-KR" altLang="ko-KR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0BEF-40B6-4B9E-A0E1-6ACA9858727D}">
  <dimension ref="A1:AC113"/>
  <sheetViews>
    <sheetView zoomScale="80" zoomScaleNormal="80" workbookViewId="0"/>
  </sheetViews>
  <sheetFormatPr defaultColWidth="9" defaultRowHeight="10.199999999999999"/>
  <cols>
    <col min="1" max="18" width="9" style="2"/>
    <col min="19" max="19" width="18.33203125" style="2" customWidth="1"/>
    <col min="20" max="16384" width="9" style="2"/>
  </cols>
  <sheetData>
    <row r="1" spans="1:29">
      <c r="A1" s="1" t="s">
        <v>14</v>
      </c>
    </row>
    <row r="2" spans="1:29">
      <c r="S2" s="3"/>
      <c r="T2" s="3"/>
      <c r="U2" s="3"/>
    </row>
    <row r="3" spans="1:29" s="1" customFormat="1">
      <c r="B3" s="1" t="s">
        <v>20</v>
      </c>
      <c r="C3" s="8"/>
      <c r="D3" s="8"/>
      <c r="E3" s="59" t="s">
        <v>23</v>
      </c>
      <c r="F3" s="14"/>
      <c r="G3" s="14"/>
      <c r="H3" s="26" t="s">
        <v>19</v>
      </c>
      <c r="I3" s="27"/>
      <c r="J3" s="27"/>
      <c r="K3" s="22" t="s">
        <v>24</v>
      </c>
      <c r="L3" s="23"/>
      <c r="M3" s="23"/>
      <c r="N3" s="8"/>
      <c r="O3" s="8" t="s">
        <v>17</v>
      </c>
      <c r="P3" s="8"/>
      <c r="Q3" s="8"/>
      <c r="S3" s="3"/>
      <c r="T3" s="13"/>
      <c r="U3" s="13"/>
    </row>
    <row r="4" spans="1:29">
      <c r="A4" s="4"/>
      <c r="B4" s="85" t="s">
        <v>0</v>
      </c>
      <c r="C4" s="85"/>
      <c r="D4" s="85"/>
      <c r="E4" s="86" t="s">
        <v>17</v>
      </c>
      <c r="F4" s="86"/>
      <c r="G4" s="86"/>
      <c r="H4" s="87" t="s">
        <v>17</v>
      </c>
      <c r="I4" s="87"/>
      <c r="J4" s="87"/>
      <c r="K4" s="88" t="s">
        <v>17</v>
      </c>
      <c r="L4" s="88"/>
      <c r="M4" s="88"/>
      <c r="N4" s="4"/>
      <c r="O4" s="4"/>
      <c r="P4" s="5" t="s">
        <v>1</v>
      </c>
      <c r="Q4" s="5" t="s">
        <v>2</v>
      </c>
      <c r="S4" s="3"/>
      <c r="T4" s="3"/>
      <c r="U4" s="3"/>
    </row>
    <row r="5" spans="1:29">
      <c r="A5" s="7" t="s">
        <v>3</v>
      </c>
      <c r="B5" s="5" t="s">
        <v>4</v>
      </c>
      <c r="C5" s="5" t="s">
        <v>5</v>
      </c>
      <c r="D5" s="5" t="s">
        <v>6</v>
      </c>
      <c r="E5" s="15" t="s">
        <v>4</v>
      </c>
      <c r="F5" s="15" t="s">
        <v>5</v>
      </c>
      <c r="G5" s="15" t="s">
        <v>6</v>
      </c>
      <c r="H5" s="28" t="s">
        <v>4</v>
      </c>
      <c r="I5" s="28" t="s">
        <v>5</v>
      </c>
      <c r="J5" s="28" t="s">
        <v>6</v>
      </c>
      <c r="K5" s="24" t="s">
        <v>4</v>
      </c>
      <c r="L5" s="24" t="s">
        <v>5</v>
      </c>
      <c r="M5" s="24" t="s">
        <v>6</v>
      </c>
      <c r="N5" s="4"/>
      <c r="O5" s="12"/>
      <c r="P5" s="5">
        <f>AVERAGE(D6:D15)</f>
        <v>0.1388888888888889</v>
      </c>
      <c r="Q5" s="5">
        <f>STDEV(D6:D15)/SQRT(6)</f>
        <v>2.7777777777777776E-2</v>
      </c>
      <c r="S5" s="3"/>
      <c r="T5" s="3"/>
      <c r="U5" s="3"/>
    </row>
    <row r="6" spans="1:29">
      <c r="A6" s="5">
        <v>1</v>
      </c>
      <c r="B6" s="5">
        <v>2</v>
      </c>
      <c r="C6" s="5">
        <v>24</v>
      </c>
      <c r="D6" s="5">
        <f>B6/C6</f>
        <v>8.3333333333333329E-2</v>
      </c>
      <c r="E6" s="15">
        <v>4</v>
      </c>
      <c r="F6" s="15">
        <v>24</v>
      </c>
      <c r="G6" s="15">
        <f>E6/F6</f>
        <v>0.16666666666666666</v>
      </c>
      <c r="H6" s="28">
        <v>12</v>
      </c>
      <c r="I6" s="28">
        <v>24</v>
      </c>
      <c r="J6" s="28">
        <f>H6/I6</f>
        <v>0.5</v>
      </c>
      <c r="K6" s="24">
        <v>7</v>
      </c>
      <c r="L6" s="24">
        <v>24</v>
      </c>
      <c r="M6" s="24">
        <f>K6/L6</f>
        <v>0.29166666666666669</v>
      </c>
      <c r="N6" s="4"/>
      <c r="O6" s="17"/>
      <c r="P6" s="5">
        <f>AVERAGE(G6:G15)</f>
        <v>0.34027777777777773</v>
      </c>
      <c r="Q6" s="5">
        <f>STDEV(G6:G15)/SQRT(6)</f>
        <v>5.2060180038864784E-2</v>
      </c>
    </row>
    <row r="7" spans="1:29">
      <c r="A7" s="5">
        <v>2</v>
      </c>
      <c r="B7" s="5">
        <v>4</v>
      </c>
      <c r="C7" s="5">
        <v>24</v>
      </c>
      <c r="D7" s="5">
        <f t="shared" ref="D7:D11" si="0">B7/C7</f>
        <v>0.16666666666666666</v>
      </c>
      <c r="E7" s="15">
        <v>9</v>
      </c>
      <c r="F7" s="15">
        <v>24</v>
      </c>
      <c r="G7" s="15">
        <f t="shared" ref="G7:G11" si="1">E7/F7</f>
        <v>0.375</v>
      </c>
      <c r="H7" s="28">
        <v>4</v>
      </c>
      <c r="I7" s="28">
        <v>24</v>
      </c>
      <c r="J7" s="28">
        <f t="shared" ref="J7:J11" si="2">H7/I7</f>
        <v>0.16666666666666666</v>
      </c>
      <c r="K7" s="24">
        <v>8</v>
      </c>
      <c r="L7" s="24">
        <v>24</v>
      </c>
      <c r="M7" s="24">
        <f t="shared" ref="M7:M11" si="3">K7/L7</f>
        <v>0.33333333333333331</v>
      </c>
      <c r="N7" s="4"/>
      <c r="O7" s="30"/>
      <c r="P7" s="5">
        <f>AVERAGE(J6:J15)</f>
        <v>0.31944444444444442</v>
      </c>
      <c r="Q7" s="5">
        <f>STDEV(J6:J15)/SQRT(6)</f>
        <v>7.1900995030804382E-2</v>
      </c>
    </row>
    <row r="8" spans="1:29">
      <c r="A8" s="5">
        <v>3</v>
      </c>
      <c r="B8" s="5">
        <v>5</v>
      </c>
      <c r="C8" s="5">
        <v>24</v>
      </c>
      <c r="D8" s="5">
        <f t="shared" si="0"/>
        <v>0.20833333333333334</v>
      </c>
      <c r="E8" s="15">
        <v>6</v>
      </c>
      <c r="F8" s="15">
        <v>24</v>
      </c>
      <c r="G8" s="15">
        <f t="shared" si="1"/>
        <v>0.25</v>
      </c>
      <c r="H8" s="28">
        <v>14</v>
      </c>
      <c r="I8" s="28">
        <v>24</v>
      </c>
      <c r="J8" s="28">
        <f t="shared" si="2"/>
        <v>0.58333333333333337</v>
      </c>
      <c r="K8" s="24">
        <v>15</v>
      </c>
      <c r="L8" s="24">
        <v>24</v>
      </c>
      <c r="M8" s="24">
        <f t="shared" si="3"/>
        <v>0.625</v>
      </c>
      <c r="N8" s="4"/>
      <c r="O8" s="24"/>
      <c r="P8" s="5">
        <f>AVERAGE(M6:M15)</f>
        <v>0.38194444444444442</v>
      </c>
      <c r="Q8" s="5">
        <f>STDEV(M6:M15)/SQRT(6)</f>
        <v>5.6331388307425741E-2</v>
      </c>
      <c r="T8" s="8" t="s">
        <v>1</v>
      </c>
      <c r="Y8" s="1" t="s">
        <v>13</v>
      </c>
    </row>
    <row r="9" spans="1:29">
      <c r="A9" s="5">
        <v>4</v>
      </c>
      <c r="B9" s="5">
        <v>1</v>
      </c>
      <c r="C9" s="5">
        <v>24</v>
      </c>
      <c r="D9" s="5">
        <f t="shared" si="0"/>
        <v>4.1666666666666664E-2</v>
      </c>
      <c r="E9" s="15">
        <v>12</v>
      </c>
      <c r="F9" s="15">
        <v>24</v>
      </c>
      <c r="G9" s="15">
        <f t="shared" si="1"/>
        <v>0.5</v>
      </c>
      <c r="H9" s="28">
        <v>5</v>
      </c>
      <c r="I9" s="28">
        <v>24</v>
      </c>
      <c r="J9" s="28">
        <f t="shared" si="2"/>
        <v>0.20833333333333334</v>
      </c>
      <c r="K9" s="24">
        <v>11</v>
      </c>
      <c r="L9" s="24">
        <v>24</v>
      </c>
      <c r="M9" s="24">
        <f t="shared" si="3"/>
        <v>0.45833333333333331</v>
      </c>
      <c r="N9" s="4"/>
      <c r="O9" s="4"/>
      <c r="P9" s="4"/>
      <c r="Q9" s="4"/>
      <c r="S9" s="11"/>
      <c r="T9" s="10">
        <v>10</v>
      </c>
      <c r="U9" s="10">
        <v>50</v>
      </c>
      <c r="V9" s="10">
        <v>100</v>
      </c>
      <c r="W9" s="49">
        <v>500</v>
      </c>
      <c r="X9" s="1"/>
      <c r="Y9" s="1">
        <v>10</v>
      </c>
      <c r="Z9" s="1">
        <v>50</v>
      </c>
      <c r="AA9" s="1">
        <v>100</v>
      </c>
      <c r="AB9" s="50">
        <v>500</v>
      </c>
    </row>
    <row r="10" spans="1:29">
      <c r="A10" s="5">
        <v>5</v>
      </c>
      <c r="B10" s="5">
        <v>3</v>
      </c>
      <c r="C10" s="5">
        <v>24</v>
      </c>
      <c r="D10" s="5">
        <f t="shared" si="0"/>
        <v>0.125</v>
      </c>
      <c r="E10" s="15">
        <v>7</v>
      </c>
      <c r="F10" s="15">
        <v>24</v>
      </c>
      <c r="G10" s="15">
        <f t="shared" si="1"/>
        <v>0.29166666666666669</v>
      </c>
      <c r="H10" s="28">
        <v>5</v>
      </c>
      <c r="I10" s="28">
        <v>24</v>
      </c>
      <c r="J10" s="28">
        <f t="shared" si="2"/>
        <v>0.20833333333333334</v>
      </c>
      <c r="K10" s="24">
        <v>8</v>
      </c>
      <c r="L10" s="24">
        <v>24</v>
      </c>
      <c r="M10" s="24">
        <f t="shared" si="3"/>
        <v>0.33333333333333331</v>
      </c>
      <c r="N10" s="4"/>
      <c r="O10" s="4"/>
      <c r="P10" s="4"/>
      <c r="Q10" s="4"/>
      <c r="S10" s="11" t="s">
        <v>20</v>
      </c>
      <c r="T10" s="11">
        <f>P5</f>
        <v>0.1388888888888889</v>
      </c>
      <c r="U10" s="11">
        <f>P19</f>
        <v>0.27777777777777779</v>
      </c>
      <c r="V10" s="11">
        <f>P33</f>
        <v>0.53472222222222221</v>
      </c>
      <c r="W10" s="51"/>
      <c r="X10" s="1"/>
      <c r="Y10" s="2">
        <f>Q5</f>
        <v>2.7777777777777776E-2</v>
      </c>
      <c r="Z10" s="2">
        <f>Q19</f>
        <v>4.5218946100276956E-2</v>
      </c>
      <c r="AA10" s="2">
        <f>Q33</f>
        <v>8.1519614393495476E-2</v>
      </c>
      <c r="AB10" s="18"/>
      <c r="AC10" s="9"/>
    </row>
    <row r="11" spans="1:29">
      <c r="A11" s="5">
        <v>6</v>
      </c>
      <c r="B11" s="5">
        <v>5</v>
      </c>
      <c r="C11" s="5">
        <v>24</v>
      </c>
      <c r="D11" s="5">
        <f t="shared" si="0"/>
        <v>0.20833333333333334</v>
      </c>
      <c r="E11" s="15">
        <v>11</v>
      </c>
      <c r="F11" s="15">
        <v>24</v>
      </c>
      <c r="G11" s="15">
        <f t="shared" si="1"/>
        <v>0.45833333333333331</v>
      </c>
      <c r="H11" s="28">
        <v>6</v>
      </c>
      <c r="I11" s="28">
        <v>24</v>
      </c>
      <c r="J11" s="28">
        <f t="shared" si="2"/>
        <v>0.25</v>
      </c>
      <c r="K11" s="24">
        <v>6</v>
      </c>
      <c r="L11" s="24">
        <v>24</v>
      </c>
      <c r="M11" s="24">
        <f t="shared" si="3"/>
        <v>0.25</v>
      </c>
      <c r="N11" s="4"/>
      <c r="O11" s="4"/>
      <c r="P11" s="4"/>
      <c r="Q11" s="4"/>
      <c r="S11" s="54" t="s">
        <v>23</v>
      </c>
      <c r="T11" s="11">
        <f>P6</f>
        <v>0.34027777777777773</v>
      </c>
      <c r="U11" s="11">
        <f>P20</f>
        <v>0.44444444444444448</v>
      </c>
      <c r="V11" s="11">
        <f>P34</f>
        <v>0.59722222222222221</v>
      </c>
      <c r="W11" s="51"/>
      <c r="X11" s="59"/>
      <c r="Y11" s="2">
        <f t="shared" ref="Y11:Y13" si="4">Q6</f>
        <v>5.2060180038864784E-2</v>
      </c>
      <c r="Z11" s="2">
        <f t="shared" ref="Z11:Z13" si="5">Q20</f>
        <v>4.7709900103660177E-2</v>
      </c>
      <c r="AA11" s="2">
        <f t="shared" ref="AA11:AA13" si="6">Q34</f>
        <v>3.9771725175767658E-2</v>
      </c>
      <c r="AB11" s="18"/>
      <c r="AC11" s="9"/>
    </row>
    <row r="12" spans="1:29">
      <c r="A12" s="5">
        <v>7</v>
      </c>
      <c r="B12" s="5"/>
      <c r="C12" s="5"/>
      <c r="D12" s="5"/>
      <c r="E12" s="15"/>
      <c r="F12" s="15"/>
      <c r="G12" s="15"/>
      <c r="H12" s="28"/>
      <c r="I12" s="28"/>
      <c r="J12" s="28"/>
      <c r="K12" s="24"/>
      <c r="L12" s="24"/>
      <c r="M12" s="24"/>
      <c r="N12" s="4"/>
      <c r="O12" s="4"/>
      <c r="P12" s="4"/>
      <c r="Q12" s="4"/>
      <c r="S12" s="52" t="s">
        <v>19</v>
      </c>
      <c r="T12" s="11">
        <f>P7</f>
        <v>0.31944444444444442</v>
      </c>
      <c r="U12" s="11">
        <f>P21</f>
        <v>0.47222222222222227</v>
      </c>
      <c r="V12" s="11">
        <f>P35</f>
        <v>0.57638888888888884</v>
      </c>
      <c r="W12" s="51"/>
      <c r="X12" s="26"/>
      <c r="Y12" s="2">
        <f t="shared" si="4"/>
        <v>7.1900995030804382E-2</v>
      </c>
      <c r="Z12" s="2">
        <f t="shared" si="5"/>
        <v>8.0267684871110537E-2</v>
      </c>
      <c r="AA12" s="2">
        <f t="shared" si="6"/>
        <v>7.4858405434510347E-2</v>
      </c>
      <c r="AB12" s="18"/>
    </row>
    <row r="13" spans="1:29">
      <c r="A13" s="5">
        <v>8</v>
      </c>
      <c r="B13" s="5"/>
      <c r="C13" s="5"/>
      <c r="D13" s="5"/>
      <c r="E13" s="15"/>
      <c r="F13" s="15"/>
      <c r="G13" s="15"/>
      <c r="H13" s="28"/>
      <c r="I13" s="28"/>
      <c r="J13" s="28"/>
      <c r="K13" s="24"/>
      <c r="L13" s="24"/>
      <c r="M13" s="24"/>
      <c r="N13" s="4"/>
      <c r="O13" s="4"/>
      <c r="P13" s="4"/>
      <c r="Q13" s="4"/>
      <c r="S13" s="53" t="s">
        <v>24</v>
      </c>
      <c r="T13" s="11">
        <f>P8</f>
        <v>0.38194444444444442</v>
      </c>
      <c r="U13" s="11">
        <f>P22</f>
        <v>0.43750000000000006</v>
      </c>
      <c r="V13" s="11">
        <f>P36</f>
        <v>0.59722222222222221</v>
      </c>
      <c r="W13" s="51"/>
      <c r="X13" s="22"/>
      <c r="Y13" s="2">
        <f t="shared" si="4"/>
        <v>5.6331388307425741E-2</v>
      </c>
      <c r="Z13" s="2">
        <f t="shared" si="5"/>
        <v>7.1159380319163801E-2</v>
      </c>
      <c r="AA13" s="2">
        <f t="shared" si="6"/>
        <v>5.7601225981466067E-2</v>
      </c>
      <c r="AB13" s="18"/>
    </row>
    <row r="14" spans="1:29">
      <c r="A14" s="5">
        <v>9</v>
      </c>
      <c r="B14" s="5"/>
      <c r="C14" s="5"/>
      <c r="D14" s="5"/>
      <c r="E14" s="15"/>
      <c r="F14" s="15"/>
      <c r="G14" s="15"/>
      <c r="H14" s="28"/>
      <c r="I14" s="28"/>
      <c r="J14" s="28"/>
      <c r="K14" s="24"/>
      <c r="L14" s="24"/>
      <c r="M14" s="24"/>
      <c r="N14" s="4"/>
      <c r="O14" s="4"/>
      <c r="P14" s="4"/>
      <c r="Q14" s="4"/>
      <c r="S14" s="55" t="s">
        <v>25</v>
      </c>
      <c r="T14" s="11">
        <f>P61</f>
        <v>5.5555555555555552E-2</v>
      </c>
      <c r="U14" s="11">
        <f>P75</f>
        <v>0.13888888888888892</v>
      </c>
      <c r="V14" s="11">
        <f>P89</f>
        <v>0.27777777777777773</v>
      </c>
      <c r="W14" s="51"/>
      <c r="X14" s="60"/>
      <c r="Y14" s="2">
        <f>Q61</f>
        <v>2.0600551353043513E-2</v>
      </c>
      <c r="Z14" s="2">
        <f>Q75</f>
        <v>2.560984571470246E-2</v>
      </c>
      <c r="AA14" s="2">
        <f>Q89</f>
        <v>4.1201102706087088E-2</v>
      </c>
      <c r="AB14" s="18"/>
    </row>
    <row r="15" spans="1:29">
      <c r="A15" s="5">
        <v>10</v>
      </c>
      <c r="B15" s="5"/>
      <c r="C15" s="5"/>
      <c r="D15" s="5"/>
      <c r="E15" s="15"/>
      <c r="F15" s="15"/>
      <c r="G15" s="15"/>
      <c r="H15" s="28"/>
      <c r="I15" s="28"/>
      <c r="J15" s="28"/>
      <c r="K15" s="24"/>
      <c r="L15" s="24"/>
      <c r="M15" s="24"/>
      <c r="N15" s="4"/>
      <c r="O15" s="4"/>
      <c r="P15" s="4"/>
      <c r="Q15" s="4"/>
      <c r="S15" s="56" t="s">
        <v>26</v>
      </c>
      <c r="T15" s="11">
        <f>P62</f>
        <v>0.29166666666666663</v>
      </c>
      <c r="U15" s="11">
        <f>P76</f>
        <v>0.40972222222222227</v>
      </c>
      <c r="V15" s="11">
        <f>P90</f>
        <v>0.56944444444444453</v>
      </c>
      <c r="W15" s="51"/>
      <c r="X15" s="61"/>
      <c r="Y15" s="2">
        <f t="shared" ref="Y15:Y17" si="7">Q62</f>
        <v>5.9899607369021793E-2</v>
      </c>
      <c r="Z15" s="2">
        <f t="shared" ref="Z15:Z17" si="8">Q76</f>
        <v>3.6350700911951021E-2</v>
      </c>
      <c r="AA15" s="2">
        <f t="shared" ref="AA15:AA16" si="9">Q90</f>
        <v>4.7709900103660247E-2</v>
      </c>
      <c r="AB15" s="18"/>
    </row>
    <row r="16" spans="1:29">
      <c r="A16" s="4"/>
      <c r="B16" s="4"/>
      <c r="C16" s="4"/>
      <c r="D16" s="4"/>
      <c r="E16" s="16"/>
      <c r="F16" s="16"/>
      <c r="G16" s="16"/>
      <c r="H16" s="29"/>
      <c r="I16" s="29"/>
      <c r="J16" s="29"/>
      <c r="K16" s="25"/>
      <c r="L16" s="25"/>
      <c r="M16" s="25"/>
      <c r="N16" s="4"/>
      <c r="O16" s="4"/>
      <c r="P16" s="4"/>
      <c r="Q16" s="4"/>
      <c r="S16" s="57" t="s">
        <v>27</v>
      </c>
      <c r="T16" s="11">
        <f>P63</f>
        <v>0.29166666666666669</v>
      </c>
      <c r="U16" s="11">
        <f>P77</f>
        <v>0.4513888888888889</v>
      </c>
      <c r="V16" s="11">
        <f>P91</f>
        <v>0.54166666666666663</v>
      </c>
      <c r="W16" s="51"/>
      <c r="X16" s="62"/>
      <c r="Y16" s="2">
        <f t="shared" si="7"/>
        <v>6.0858061945018478E-2</v>
      </c>
      <c r="Z16" s="2">
        <f t="shared" si="8"/>
        <v>7.2502128534101054E-2</v>
      </c>
      <c r="AA16" s="2">
        <f t="shared" si="9"/>
        <v>6.364688465216442E-2</v>
      </c>
      <c r="AB16" s="18"/>
    </row>
    <row r="17" spans="1:28">
      <c r="B17" s="60" t="s">
        <v>20</v>
      </c>
      <c r="C17" s="8"/>
      <c r="D17" s="8"/>
      <c r="E17" s="59" t="s">
        <v>23</v>
      </c>
      <c r="F17" s="14"/>
      <c r="G17" s="14"/>
      <c r="H17" s="63" t="s">
        <v>19</v>
      </c>
      <c r="I17" s="27"/>
      <c r="J17" s="27"/>
      <c r="K17" s="64" t="s">
        <v>24</v>
      </c>
      <c r="L17" s="23"/>
      <c r="M17" s="23"/>
      <c r="N17" s="4"/>
      <c r="O17" s="8" t="s">
        <v>21</v>
      </c>
      <c r="P17" s="4"/>
      <c r="Q17" s="4"/>
      <c r="S17" s="58" t="s">
        <v>28</v>
      </c>
      <c r="T17" s="11">
        <f>P64</f>
        <v>0.34027777777777773</v>
      </c>
      <c r="U17" s="11">
        <f>P78</f>
        <v>0.40277777777777773</v>
      </c>
      <c r="V17" s="11">
        <f>P92</f>
        <v>0.54861111111111105</v>
      </c>
      <c r="W17" s="51"/>
      <c r="X17" s="65"/>
      <c r="Y17" s="2">
        <f t="shared" si="7"/>
        <v>6.3114265375009859E-2</v>
      </c>
      <c r="Z17" s="2">
        <f t="shared" si="8"/>
        <v>5.9576696082020125E-2</v>
      </c>
      <c r="AA17" s="2">
        <f>Q92</f>
        <v>4.9787356469263709E-2</v>
      </c>
      <c r="AB17" s="18"/>
    </row>
    <row r="18" spans="1:28">
      <c r="A18" s="4"/>
      <c r="B18" s="73" t="s">
        <v>21</v>
      </c>
      <c r="C18" s="74"/>
      <c r="D18" s="75"/>
      <c r="E18" s="89" t="s">
        <v>7</v>
      </c>
      <c r="F18" s="90"/>
      <c r="G18" s="91"/>
      <c r="H18" s="92" t="s">
        <v>21</v>
      </c>
      <c r="I18" s="93"/>
      <c r="J18" s="94"/>
      <c r="K18" s="95" t="s">
        <v>21</v>
      </c>
      <c r="L18" s="96"/>
      <c r="M18" s="97"/>
      <c r="N18" s="4"/>
      <c r="O18" s="4"/>
      <c r="P18" s="5" t="s">
        <v>10</v>
      </c>
      <c r="Q18" s="6" t="s">
        <v>2</v>
      </c>
    </row>
    <row r="19" spans="1:28">
      <c r="A19" s="7" t="s">
        <v>11</v>
      </c>
      <c r="B19" s="5" t="s">
        <v>4</v>
      </c>
      <c r="C19" s="5" t="s">
        <v>5</v>
      </c>
      <c r="D19" s="5" t="s">
        <v>6</v>
      </c>
      <c r="E19" s="15" t="s">
        <v>4</v>
      </c>
      <c r="F19" s="15" t="s">
        <v>5</v>
      </c>
      <c r="G19" s="15" t="s">
        <v>12</v>
      </c>
      <c r="H19" s="28" t="s">
        <v>4</v>
      </c>
      <c r="I19" s="28" t="s">
        <v>5</v>
      </c>
      <c r="J19" s="28" t="s">
        <v>12</v>
      </c>
      <c r="K19" s="24" t="s">
        <v>4</v>
      </c>
      <c r="L19" s="24" t="s">
        <v>5</v>
      </c>
      <c r="M19" s="24" t="s">
        <v>12</v>
      </c>
      <c r="N19" s="4"/>
      <c r="O19" s="12"/>
      <c r="P19" s="5">
        <f>AVERAGE(D20:D29)</f>
        <v>0.27777777777777779</v>
      </c>
      <c r="Q19" s="5">
        <f>STDEV(D20:D29)/SQRT(6)</f>
        <v>4.5218946100276956E-2</v>
      </c>
    </row>
    <row r="20" spans="1:28">
      <c r="A20" s="5">
        <v>1</v>
      </c>
      <c r="B20" s="5">
        <v>4</v>
      </c>
      <c r="C20" s="5">
        <v>24</v>
      </c>
      <c r="D20" s="5">
        <f>B20/C20</f>
        <v>0.16666666666666666</v>
      </c>
      <c r="E20" s="15">
        <v>6</v>
      </c>
      <c r="F20" s="15">
        <v>24</v>
      </c>
      <c r="G20" s="15">
        <f>E20/F20</f>
        <v>0.25</v>
      </c>
      <c r="H20" s="28">
        <v>14</v>
      </c>
      <c r="I20" s="28">
        <v>24</v>
      </c>
      <c r="J20" s="28">
        <f>H20/I20</f>
        <v>0.58333333333333337</v>
      </c>
      <c r="K20" s="24">
        <v>9</v>
      </c>
      <c r="L20" s="24">
        <v>24</v>
      </c>
      <c r="M20" s="24">
        <f>K20/L20</f>
        <v>0.375</v>
      </c>
      <c r="N20" s="4"/>
      <c r="O20" s="17"/>
      <c r="P20" s="5">
        <f>AVERAGE(G20:G29)</f>
        <v>0.44444444444444448</v>
      </c>
      <c r="Q20" s="5">
        <f>STDEV(G20:G29)/SQRT(6)</f>
        <v>4.7709900103660177E-2</v>
      </c>
    </row>
    <row r="21" spans="1:28">
      <c r="A21" s="5">
        <v>2</v>
      </c>
      <c r="B21" s="5">
        <v>8</v>
      </c>
      <c r="C21" s="5">
        <v>24</v>
      </c>
      <c r="D21" s="5">
        <f t="shared" ref="D21:D25" si="10">B21/C21</f>
        <v>0.33333333333333331</v>
      </c>
      <c r="E21" s="15">
        <v>12</v>
      </c>
      <c r="F21" s="15">
        <v>24</v>
      </c>
      <c r="G21" s="15">
        <f t="shared" ref="G21:G25" si="11">E21/F21</f>
        <v>0.5</v>
      </c>
      <c r="H21" s="28">
        <v>6</v>
      </c>
      <c r="I21" s="28">
        <v>24</v>
      </c>
      <c r="J21" s="28">
        <f t="shared" ref="J21:J25" si="12">H21/I21</f>
        <v>0.25</v>
      </c>
      <c r="K21" s="24">
        <v>10</v>
      </c>
      <c r="L21" s="24">
        <v>24</v>
      </c>
      <c r="M21" s="24">
        <f t="shared" ref="M21:M25" si="13">K21/L21</f>
        <v>0.41666666666666669</v>
      </c>
      <c r="N21" s="4"/>
      <c r="O21" s="30"/>
      <c r="P21" s="5">
        <f>AVERAGE(J20:J29)</f>
        <v>0.47222222222222227</v>
      </c>
      <c r="Q21" s="5">
        <f>STDEV(J20:J29)/SQRT(6)</f>
        <v>8.0267684871110537E-2</v>
      </c>
    </row>
    <row r="22" spans="1:28">
      <c r="A22" s="5">
        <v>3</v>
      </c>
      <c r="B22" s="5">
        <v>10</v>
      </c>
      <c r="C22" s="5">
        <v>24</v>
      </c>
      <c r="D22" s="5">
        <f t="shared" si="10"/>
        <v>0.41666666666666669</v>
      </c>
      <c r="E22" s="15">
        <v>9</v>
      </c>
      <c r="F22" s="15">
        <v>24</v>
      </c>
      <c r="G22" s="15">
        <f t="shared" si="11"/>
        <v>0.375</v>
      </c>
      <c r="H22" s="28">
        <v>18</v>
      </c>
      <c r="I22" s="28">
        <v>24</v>
      </c>
      <c r="J22" s="28">
        <f t="shared" si="12"/>
        <v>0.75</v>
      </c>
      <c r="K22" s="24">
        <v>18</v>
      </c>
      <c r="L22" s="24">
        <v>24</v>
      </c>
      <c r="M22" s="24">
        <f t="shared" si="13"/>
        <v>0.75</v>
      </c>
      <c r="N22" s="4"/>
      <c r="O22" s="24"/>
      <c r="P22" s="5">
        <f>AVERAGE(M20:M29)</f>
        <v>0.43750000000000006</v>
      </c>
      <c r="Q22" s="5">
        <f>STDEV(M20:M29)/SQRT(6)</f>
        <v>7.1159380319163801E-2</v>
      </c>
    </row>
    <row r="23" spans="1:28">
      <c r="A23" s="5">
        <v>4</v>
      </c>
      <c r="B23" s="5">
        <v>4</v>
      </c>
      <c r="C23" s="5">
        <v>24</v>
      </c>
      <c r="D23" s="5">
        <f t="shared" si="10"/>
        <v>0.16666666666666666</v>
      </c>
      <c r="E23" s="15">
        <v>14</v>
      </c>
      <c r="F23" s="15">
        <v>24</v>
      </c>
      <c r="G23" s="15">
        <f t="shared" si="11"/>
        <v>0.58333333333333337</v>
      </c>
      <c r="H23" s="28">
        <v>7</v>
      </c>
      <c r="I23" s="28">
        <v>24</v>
      </c>
      <c r="J23" s="28">
        <f t="shared" si="12"/>
        <v>0.29166666666666669</v>
      </c>
      <c r="K23" s="24">
        <v>12</v>
      </c>
      <c r="L23" s="24">
        <v>24</v>
      </c>
      <c r="M23" s="24">
        <f t="shared" si="13"/>
        <v>0.5</v>
      </c>
      <c r="N23" s="4"/>
      <c r="O23" s="4"/>
      <c r="P23" s="4"/>
      <c r="Q23" s="4"/>
    </row>
    <row r="24" spans="1:28">
      <c r="A24" s="5">
        <v>5</v>
      </c>
      <c r="B24" s="5">
        <v>5</v>
      </c>
      <c r="C24" s="5">
        <v>24</v>
      </c>
      <c r="D24" s="5">
        <f t="shared" si="10"/>
        <v>0.20833333333333334</v>
      </c>
      <c r="E24" s="15">
        <v>11</v>
      </c>
      <c r="F24" s="15">
        <v>24</v>
      </c>
      <c r="G24" s="15">
        <f t="shared" si="11"/>
        <v>0.45833333333333331</v>
      </c>
      <c r="H24" s="28">
        <v>9</v>
      </c>
      <c r="I24" s="28">
        <v>24</v>
      </c>
      <c r="J24" s="28">
        <f t="shared" si="12"/>
        <v>0.375</v>
      </c>
      <c r="K24" s="24">
        <v>8</v>
      </c>
      <c r="L24" s="24">
        <v>24</v>
      </c>
      <c r="M24" s="24">
        <f t="shared" si="13"/>
        <v>0.33333333333333331</v>
      </c>
      <c r="N24" s="4"/>
      <c r="O24" s="4"/>
      <c r="P24" s="4"/>
      <c r="Q24" s="4"/>
    </row>
    <row r="25" spans="1:28">
      <c r="A25" s="5">
        <v>6</v>
      </c>
      <c r="B25" s="5">
        <v>9</v>
      </c>
      <c r="C25" s="5">
        <v>24</v>
      </c>
      <c r="D25" s="5">
        <f t="shared" si="10"/>
        <v>0.375</v>
      </c>
      <c r="E25" s="15">
        <v>12</v>
      </c>
      <c r="F25" s="15">
        <v>24</v>
      </c>
      <c r="G25" s="15">
        <f t="shared" si="11"/>
        <v>0.5</v>
      </c>
      <c r="H25" s="28">
        <v>14</v>
      </c>
      <c r="I25" s="28">
        <v>24</v>
      </c>
      <c r="J25" s="28">
        <f t="shared" si="12"/>
        <v>0.58333333333333337</v>
      </c>
      <c r="K25" s="24">
        <v>6</v>
      </c>
      <c r="L25" s="24">
        <v>24</v>
      </c>
      <c r="M25" s="24">
        <f t="shared" si="13"/>
        <v>0.25</v>
      </c>
      <c r="N25" s="4"/>
      <c r="O25" s="4"/>
      <c r="P25" s="4"/>
      <c r="Q25" s="4"/>
    </row>
    <row r="26" spans="1:28">
      <c r="A26" s="5">
        <v>7</v>
      </c>
      <c r="B26" s="5"/>
      <c r="C26" s="5"/>
      <c r="D26" s="5"/>
      <c r="E26" s="15"/>
      <c r="F26" s="15"/>
      <c r="G26" s="15"/>
      <c r="H26" s="28"/>
      <c r="I26" s="28"/>
      <c r="J26" s="28"/>
      <c r="K26" s="24"/>
      <c r="L26" s="24"/>
      <c r="M26" s="24"/>
      <c r="N26" s="4"/>
      <c r="O26" s="4"/>
      <c r="P26" s="4"/>
      <c r="Q26" s="4"/>
    </row>
    <row r="27" spans="1:28">
      <c r="A27" s="5">
        <v>8</v>
      </c>
      <c r="B27" s="5"/>
      <c r="C27" s="5"/>
      <c r="D27" s="5"/>
      <c r="E27" s="15"/>
      <c r="F27" s="15"/>
      <c r="G27" s="15"/>
      <c r="H27" s="28"/>
      <c r="I27" s="28"/>
      <c r="J27" s="28"/>
      <c r="K27" s="24"/>
      <c r="L27" s="24"/>
      <c r="M27" s="24"/>
      <c r="N27" s="4"/>
      <c r="O27" s="4"/>
      <c r="P27" s="4"/>
      <c r="Q27" s="4"/>
    </row>
    <row r="28" spans="1:28">
      <c r="A28" s="5">
        <v>9</v>
      </c>
      <c r="B28" s="5"/>
      <c r="C28" s="5"/>
      <c r="D28" s="5"/>
      <c r="E28" s="15"/>
      <c r="F28" s="15"/>
      <c r="G28" s="15"/>
      <c r="H28" s="28"/>
      <c r="I28" s="28"/>
      <c r="J28" s="28"/>
      <c r="K28" s="24"/>
      <c r="L28" s="24"/>
      <c r="M28" s="24"/>
      <c r="N28" s="4"/>
      <c r="O28" s="4"/>
      <c r="P28" s="4"/>
      <c r="Q28" s="4"/>
    </row>
    <row r="29" spans="1:28">
      <c r="A29" s="5">
        <v>10</v>
      </c>
      <c r="B29" s="5"/>
      <c r="C29" s="5"/>
      <c r="D29" s="5"/>
      <c r="E29" s="15"/>
      <c r="F29" s="15"/>
      <c r="G29" s="15"/>
      <c r="H29" s="28"/>
      <c r="I29" s="28"/>
      <c r="J29" s="28"/>
      <c r="K29" s="24"/>
      <c r="L29" s="24"/>
      <c r="M29" s="24"/>
      <c r="N29" s="4"/>
      <c r="O29" s="4"/>
      <c r="P29" s="4"/>
      <c r="Q29" s="4"/>
    </row>
    <row r="30" spans="1:28">
      <c r="A30" s="4"/>
      <c r="B30" s="4"/>
      <c r="C30" s="4"/>
      <c r="D30" s="4"/>
      <c r="E30" s="16"/>
      <c r="F30" s="16"/>
      <c r="G30" s="16"/>
      <c r="H30" s="29"/>
      <c r="I30" s="29"/>
      <c r="J30" s="29"/>
      <c r="K30" s="25"/>
      <c r="L30" s="25"/>
      <c r="M30" s="25"/>
      <c r="N30" s="4"/>
      <c r="O30" s="4"/>
      <c r="P30" s="4"/>
      <c r="Q30" s="4"/>
    </row>
    <row r="31" spans="1:28">
      <c r="A31" s="66"/>
      <c r="B31" s="60" t="s">
        <v>20</v>
      </c>
      <c r="C31" s="8"/>
      <c r="D31" s="8"/>
      <c r="E31" s="59" t="s">
        <v>23</v>
      </c>
      <c r="F31" s="14"/>
      <c r="G31" s="14"/>
      <c r="H31" s="63" t="s">
        <v>19</v>
      </c>
      <c r="I31" s="27"/>
      <c r="J31" s="27"/>
      <c r="K31" s="64" t="s">
        <v>24</v>
      </c>
      <c r="L31" s="23"/>
      <c r="M31" s="23"/>
      <c r="N31" s="4"/>
      <c r="O31" s="8" t="s">
        <v>22</v>
      </c>
      <c r="P31" s="4"/>
      <c r="Q31" s="4"/>
    </row>
    <row r="32" spans="1:28">
      <c r="A32" s="4"/>
      <c r="B32" s="73" t="s">
        <v>22</v>
      </c>
      <c r="C32" s="74"/>
      <c r="D32" s="75"/>
      <c r="E32" s="89" t="s">
        <v>22</v>
      </c>
      <c r="F32" s="90"/>
      <c r="G32" s="91"/>
      <c r="H32" s="92" t="s">
        <v>8</v>
      </c>
      <c r="I32" s="93"/>
      <c r="J32" s="94"/>
      <c r="K32" s="95" t="s">
        <v>8</v>
      </c>
      <c r="L32" s="96"/>
      <c r="M32" s="97"/>
      <c r="N32" s="4"/>
      <c r="O32" s="4"/>
      <c r="P32" s="5" t="s">
        <v>1</v>
      </c>
      <c r="Q32" s="6" t="s">
        <v>2</v>
      </c>
    </row>
    <row r="33" spans="1:20">
      <c r="A33" s="7" t="s">
        <v>3</v>
      </c>
      <c r="B33" s="5" t="s">
        <v>4</v>
      </c>
      <c r="C33" s="5" t="s">
        <v>5</v>
      </c>
      <c r="D33" s="5" t="s">
        <v>6</v>
      </c>
      <c r="E33" s="15" t="s">
        <v>4</v>
      </c>
      <c r="F33" s="15" t="s">
        <v>5</v>
      </c>
      <c r="G33" s="15" t="s">
        <v>6</v>
      </c>
      <c r="H33" s="28" t="s">
        <v>4</v>
      </c>
      <c r="I33" s="28" t="s">
        <v>5</v>
      </c>
      <c r="J33" s="28" t="s">
        <v>6</v>
      </c>
      <c r="K33" s="24" t="s">
        <v>4</v>
      </c>
      <c r="L33" s="24" t="s">
        <v>5</v>
      </c>
      <c r="M33" s="24" t="s">
        <v>6</v>
      </c>
      <c r="N33" s="4"/>
      <c r="O33" s="12"/>
      <c r="P33" s="5">
        <f>AVERAGE(D34:D43)</f>
        <v>0.53472222222222221</v>
      </c>
      <c r="Q33" s="5">
        <f>STDEV(D34:D43)/SQRT(6)</f>
        <v>8.1519614393495476E-2</v>
      </c>
    </row>
    <row r="34" spans="1:20">
      <c r="A34" s="5">
        <v>1</v>
      </c>
      <c r="B34" s="5">
        <v>7</v>
      </c>
      <c r="C34" s="5">
        <v>24</v>
      </c>
      <c r="D34" s="5">
        <f>B34/C34</f>
        <v>0.29166666666666669</v>
      </c>
      <c r="E34" s="15">
        <v>14</v>
      </c>
      <c r="F34" s="15">
        <v>24</v>
      </c>
      <c r="G34" s="15">
        <f>E34/F34</f>
        <v>0.58333333333333337</v>
      </c>
      <c r="H34" s="28">
        <v>16</v>
      </c>
      <c r="I34" s="28">
        <v>24</v>
      </c>
      <c r="J34" s="28">
        <f>H34/I34</f>
        <v>0.66666666666666663</v>
      </c>
      <c r="K34" s="24">
        <v>11</v>
      </c>
      <c r="L34" s="24">
        <v>24</v>
      </c>
      <c r="M34" s="24">
        <f>K34/L34</f>
        <v>0.45833333333333331</v>
      </c>
      <c r="N34" s="4"/>
      <c r="O34" s="17"/>
      <c r="P34" s="5">
        <f>AVERAGE(G34:G43)</f>
        <v>0.59722222222222221</v>
      </c>
      <c r="Q34" s="5">
        <f>STDEV(G34:G43)/SQRT(6)</f>
        <v>3.9771725175767658E-2</v>
      </c>
      <c r="T34" s="2" t="s">
        <v>15</v>
      </c>
    </row>
    <row r="35" spans="1:20">
      <c r="A35" s="5">
        <v>2</v>
      </c>
      <c r="B35" s="5">
        <v>16</v>
      </c>
      <c r="C35" s="5">
        <v>24</v>
      </c>
      <c r="D35" s="5">
        <f t="shared" ref="D35:D39" si="14">B35/C35</f>
        <v>0.66666666666666663</v>
      </c>
      <c r="E35" s="15">
        <v>14</v>
      </c>
      <c r="F35" s="15">
        <v>24</v>
      </c>
      <c r="G35" s="15">
        <f t="shared" ref="G35:G39" si="15">E35/F35</f>
        <v>0.58333333333333337</v>
      </c>
      <c r="H35" s="28">
        <v>8</v>
      </c>
      <c r="I35" s="28">
        <v>24</v>
      </c>
      <c r="J35" s="28">
        <f t="shared" ref="J35:J39" si="16">H35/I35</f>
        <v>0.33333333333333331</v>
      </c>
      <c r="K35" s="24">
        <v>14</v>
      </c>
      <c r="L35" s="24">
        <v>24</v>
      </c>
      <c r="M35" s="24">
        <f t="shared" ref="M35:M39" si="17">K35/L35</f>
        <v>0.58333333333333337</v>
      </c>
      <c r="N35" s="4"/>
      <c r="O35" s="30"/>
      <c r="P35" s="5">
        <f>AVERAGE(J34:J43)</f>
        <v>0.57638888888888884</v>
      </c>
      <c r="Q35" s="5">
        <f>STDEV(J34:J43)/SQRT(6)</f>
        <v>7.4858405434510347E-2</v>
      </c>
    </row>
    <row r="36" spans="1:20">
      <c r="A36" s="5">
        <v>3</v>
      </c>
      <c r="B36" s="5">
        <v>18</v>
      </c>
      <c r="C36" s="5">
        <v>24</v>
      </c>
      <c r="D36" s="5">
        <f t="shared" si="14"/>
        <v>0.75</v>
      </c>
      <c r="E36" s="15">
        <v>11</v>
      </c>
      <c r="F36" s="15">
        <v>24</v>
      </c>
      <c r="G36" s="15">
        <f t="shared" si="15"/>
        <v>0.45833333333333331</v>
      </c>
      <c r="H36" s="28">
        <v>20</v>
      </c>
      <c r="I36" s="28">
        <v>24</v>
      </c>
      <c r="J36" s="28">
        <f t="shared" si="16"/>
        <v>0.83333333333333337</v>
      </c>
      <c r="K36" s="24">
        <v>20</v>
      </c>
      <c r="L36" s="24">
        <v>24</v>
      </c>
      <c r="M36" s="24">
        <f t="shared" si="17"/>
        <v>0.83333333333333337</v>
      </c>
      <c r="N36" s="4"/>
      <c r="O36" s="24"/>
      <c r="P36" s="5">
        <f>AVERAGE(M34:M43)</f>
        <v>0.59722222222222221</v>
      </c>
      <c r="Q36" s="5">
        <f>STDEV(M34:M43)/SQRT(6)</f>
        <v>5.7601225981466067E-2</v>
      </c>
    </row>
    <row r="37" spans="1:20">
      <c r="A37" s="5">
        <v>4</v>
      </c>
      <c r="B37" s="5">
        <v>8</v>
      </c>
      <c r="C37" s="5">
        <v>24</v>
      </c>
      <c r="D37" s="5">
        <f t="shared" si="14"/>
        <v>0.33333333333333331</v>
      </c>
      <c r="E37" s="15">
        <v>17</v>
      </c>
      <c r="F37" s="15">
        <v>24</v>
      </c>
      <c r="G37" s="15">
        <f t="shared" si="15"/>
        <v>0.70833333333333337</v>
      </c>
      <c r="H37" s="28">
        <v>10</v>
      </c>
      <c r="I37" s="28">
        <v>24</v>
      </c>
      <c r="J37" s="28">
        <f t="shared" si="16"/>
        <v>0.41666666666666669</v>
      </c>
      <c r="K37" s="24">
        <v>14</v>
      </c>
      <c r="L37" s="24">
        <v>24</v>
      </c>
      <c r="M37" s="24">
        <f t="shared" si="17"/>
        <v>0.58333333333333337</v>
      </c>
      <c r="N37" s="4"/>
      <c r="O37" s="4"/>
      <c r="P37" s="4"/>
      <c r="Q37" s="4"/>
    </row>
    <row r="38" spans="1:20">
      <c r="A38" s="5">
        <v>5</v>
      </c>
      <c r="B38" s="5">
        <v>11</v>
      </c>
      <c r="C38" s="5">
        <v>24</v>
      </c>
      <c r="D38" s="5">
        <f t="shared" si="14"/>
        <v>0.45833333333333331</v>
      </c>
      <c r="E38" s="15">
        <v>13</v>
      </c>
      <c r="F38" s="15">
        <v>24</v>
      </c>
      <c r="G38" s="15">
        <f t="shared" si="15"/>
        <v>0.54166666666666663</v>
      </c>
      <c r="H38" s="28">
        <v>13</v>
      </c>
      <c r="I38" s="28">
        <v>24</v>
      </c>
      <c r="J38" s="28">
        <f t="shared" si="16"/>
        <v>0.54166666666666663</v>
      </c>
      <c r="K38" s="24">
        <v>11</v>
      </c>
      <c r="L38" s="24">
        <v>24</v>
      </c>
      <c r="M38" s="24">
        <f t="shared" si="17"/>
        <v>0.45833333333333331</v>
      </c>
      <c r="N38" s="4"/>
      <c r="O38" s="4"/>
      <c r="P38" s="4"/>
      <c r="Q38" s="4"/>
    </row>
    <row r="39" spans="1:20">
      <c r="A39" s="5">
        <v>6</v>
      </c>
      <c r="B39" s="5">
        <v>17</v>
      </c>
      <c r="C39" s="5">
        <v>24</v>
      </c>
      <c r="D39" s="5">
        <f t="shared" si="14"/>
        <v>0.70833333333333337</v>
      </c>
      <c r="E39" s="15">
        <v>17</v>
      </c>
      <c r="F39" s="15">
        <v>24</v>
      </c>
      <c r="G39" s="15">
        <f t="shared" si="15"/>
        <v>0.70833333333333337</v>
      </c>
      <c r="H39" s="28">
        <v>16</v>
      </c>
      <c r="I39" s="28">
        <v>24</v>
      </c>
      <c r="J39" s="28">
        <f t="shared" si="16"/>
        <v>0.66666666666666663</v>
      </c>
      <c r="K39" s="24">
        <v>16</v>
      </c>
      <c r="L39" s="24">
        <v>24</v>
      </c>
      <c r="M39" s="24">
        <f t="shared" si="17"/>
        <v>0.66666666666666663</v>
      </c>
      <c r="N39" s="4"/>
      <c r="O39" s="4"/>
      <c r="P39" s="4"/>
      <c r="Q39" s="4"/>
    </row>
    <row r="40" spans="1:20">
      <c r="A40" s="5">
        <v>7</v>
      </c>
      <c r="B40" s="5"/>
      <c r="C40" s="5"/>
      <c r="D40" s="5"/>
      <c r="E40" s="15"/>
      <c r="F40" s="15"/>
      <c r="G40" s="15"/>
      <c r="H40" s="28"/>
      <c r="I40" s="28"/>
      <c r="J40" s="28"/>
      <c r="K40" s="24"/>
      <c r="L40" s="24"/>
      <c r="M40" s="24"/>
      <c r="N40" s="4"/>
      <c r="O40" s="4"/>
      <c r="P40" s="4"/>
      <c r="Q40" s="4"/>
    </row>
    <row r="41" spans="1:20">
      <c r="A41" s="5">
        <v>8</v>
      </c>
      <c r="B41" s="5"/>
      <c r="C41" s="5"/>
      <c r="D41" s="5"/>
      <c r="E41" s="15"/>
      <c r="F41" s="15"/>
      <c r="G41" s="15"/>
      <c r="H41" s="28"/>
      <c r="I41" s="28"/>
      <c r="J41" s="28"/>
      <c r="K41" s="24"/>
      <c r="L41" s="24"/>
      <c r="M41" s="24"/>
      <c r="N41" s="4"/>
      <c r="O41" s="4"/>
      <c r="P41" s="4"/>
      <c r="Q41" s="4"/>
    </row>
    <row r="42" spans="1:20">
      <c r="A42" s="5">
        <v>9</v>
      </c>
      <c r="B42" s="5"/>
      <c r="C42" s="5"/>
      <c r="D42" s="5"/>
      <c r="E42" s="15"/>
      <c r="F42" s="15"/>
      <c r="G42" s="15"/>
      <c r="H42" s="28"/>
      <c r="I42" s="28"/>
      <c r="J42" s="28"/>
      <c r="K42" s="24"/>
      <c r="L42" s="24"/>
      <c r="M42" s="24"/>
      <c r="N42" s="4"/>
      <c r="O42" s="4"/>
      <c r="P42" s="4"/>
      <c r="Q42" s="4"/>
    </row>
    <row r="43" spans="1:20">
      <c r="A43" s="5">
        <v>10</v>
      </c>
      <c r="B43" s="5"/>
      <c r="C43" s="5"/>
      <c r="D43" s="5"/>
      <c r="E43" s="15"/>
      <c r="F43" s="15"/>
      <c r="G43" s="15"/>
      <c r="H43" s="28"/>
      <c r="I43" s="28"/>
      <c r="J43" s="28"/>
      <c r="K43" s="24"/>
      <c r="L43" s="24"/>
      <c r="M43" s="24"/>
      <c r="N43" s="4"/>
      <c r="O43" s="4"/>
      <c r="P43" s="4"/>
      <c r="Q43" s="4"/>
    </row>
    <row r="44" spans="1:20">
      <c r="E44" s="33"/>
      <c r="F44" s="33"/>
      <c r="G44" s="33"/>
      <c r="H44" s="34"/>
      <c r="I44" s="34"/>
      <c r="J44" s="34"/>
      <c r="K44" s="32"/>
      <c r="L44" s="32"/>
      <c r="M44" s="32"/>
    </row>
    <row r="45" spans="1:20">
      <c r="A45" s="67"/>
      <c r="B45" s="68" t="s">
        <v>20</v>
      </c>
      <c r="C45" s="31"/>
      <c r="D45" s="31"/>
      <c r="E45" s="68" t="s">
        <v>23</v>
      </c>
      <c r="F45" s="31"/>
      <c r="G45" s="31"/>
      <c r="H45" s="68" t="s">
        <v>19</v>
      </c>
      <c r="I45" s="31"/>
      <c r="J45" s="31"/>
      <c r="K45" s="68" t="s">
        <v>24</v>
      </c>
      <c r="L45" s="31"/>
      <c r="M45" s="31"/>
      <c r="O45" s="1" t="s">
        <v>16</v>
      </c>
    </row>
    <row r="46" spans="1:20">
      <c r="A46" s="19"/>
      <c r="B46" s="69" t="s">
        <v>9</v>
      </c>
      <c r="C46" s="70"/>
      <c r="D46" s="71"/>
      <c r="E46" s="69" t="s">
        <v>9</v>
      </c>
      <c r="F46" s="70"/>
      <c r="G46" s="71"/>
      <c r="H46" s="69" t="s">
        <v>9</v>
      </c>
      <c r="I46" s="70"/>
      <c r="J46" s="71"/>
      <c r="K46" s="69" t="s">
        <v>9</v>
      </c>
      <c r="L46" s="70"/>
      <c r="M46" s="71"/>
      <c r="O46" s="4"/>
      <c r="P46" s="5" t="s">
        <v>10</v>
      </c>
      <c r="Q46" s="6" t="s">
        <v>2</v>
      </c>
    </row>
    <row r="47" spans="1:20">
      <c r="A47" s="20" t="s">
        <v>3</v>
      </c>
      <c r="B47" s="21" t="s">
        <v>4</v>
      </c>
      <c r="C47" s="21" t="s">
        <v>5</v>
      </c>
      <c r="D47" s="21" t="s">
        <v>6</v>
      </c>
      <c r="E47" s="21" t="s">
        <v>4</v>
      </c>
      <c r="F47" s="21" t="s">
        <v>5</v>
      </c>
      <c r="G47" s="21" t="s">
        <v>6</v>
      </c>
      <c r="H47" s="21" t="s">
        <v>4</v>
      </c>
      <c r="I47" s="21" t="s">
        <v>5</v>
      </c>
      <c r="J47" s="21" t="s">
        <v>6</v>
      </c>
      <c r="K47" s="21" t="s">
        <v>4</v>
      </c>
      <c r="L47" s="21" t="s">
        <v>5</v>
      </c>
      <c r="M47" s="21" t="s">
        <v>6</v>
      </c>
      <c r="O47" s="12"/>
      <c r="P47" s="5" t="e">
        <f>AVERAGE(D48:D57)</f>
        <v>#DIV/0!</v>
      </c>
      <c r="Q47" s="5" t="e">
        <f>STDEV(D48:D57)/SQRT(5)</f>
        <v>#DIV/0!</v>
      </c>
    </row>
    <row r="48" spans="1:20">
      <c r="A48" s="21">
        <v>1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O48" s="17"/>
      <c r="P48" s="5" t="e">
        <f>AVERAGE(G48:G57)</f>
        <v>#DIV/0!</v>
      </c>
      <c r="Q48" s="5" t="e">
        <f>STDEV(G48:G57)/SQRT(5)</f>
        <v>#DIV/0!</v>
      </c>
    </row>
    <row r="49" spans="1:17">
      <c r="A49" s="21">
        <v>2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O49" s="30"/>
      <c r="P49" s="5" t="e">
        <f>AVERAGE(J48:J57)</f>
        <v>#DIV/0!</v>
      </c>
      <c r="Q49" s="5" t="e">
        <f>STDEV(J48:J57)/SQRT(5)</f>
        <v>#DIV/0!</v>
      </c>
    </row>
    <row r="50" spans="1:17">
      <c r="A50" s="21">
        <v>3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O50" s="24"/>
      <c r="P50" s="5" t="e">
        <f>AVERAGE(M48:M57)</f>
        <v>#DIV/0!</v>
      </c>
      <c r="Q50" s="5" t="e">
        <f>STDEV(M48:M57)/SQRT(5)</f>
        <v>#DIV/0!</v>
      </c>
    </row>
    <row r="51" spans="1:17">
      <c r="A51" s="21">
        <v>4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spans="1:17">
      <c r="A52" s="21">
        <v>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 spans="1:17">
      <c r="A53" s="21">
        <v>6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 spans="1:17">
      <c r="A54" s="21">
        <v>7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 spans="1:17">
      <c r="A55" s="21">
        <v>8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spans="1:17">
      <c r="A56" s="21">
        <v>9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 spans="1:17">
      <c r="A57" s="21">
        <v>10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9" spans="1:17">
      <c r="B59" s="60" t="s">
        <v>25</v>
      </c>
      <c r="C59" s="8"/>
      <c r="D59" s="8"/>
      <c r="E59" s="61" t="s">
        <v>26</v>
      </c>
      <c r="F59" s="35"/>
      <c r="G59" s="35"/>
      <c r="H59" s="62" t="s">
        <v>27</v>
      </c>
      <c r="I59" s="44"/>
      <c r="J59" s="44"/>
      <c r="K59" s="65" t="s">
        <v>28</v>
      </c>
      <c r="L59" s="40"/>
      <c r="M59" s="40"/>
      <c r="O59" s="8" t="s">
        <v>17</v>
      </c>
    </row>
    <row r="60" spans="1:17">
      <c r="A60" s="4"/>
      <c r="B60" s="73" t="s">
        <v>17</v>
      </c>
      <c r="C60" s="74"/>
      <c r="D60" s="75"/>
      <c r="E60" s="76" t="s">
        <v>17</v>
      </c>
      <c r="F60" s="77"/>
      <c r="G60" s="78"/>
      <c r="H60" s="79" t="s">
        <v>17</v>
      </c>
      <c r="I60" s="80"/>
      <c r="J60" s="81"/>
      <c r="K60" s="82" t="s">
        <v>17</v>
      </c>
      <c r="L60" s="83"/>
      <c r="M60" s="84"/>
      <c r="N60" s="4"/>
      <c r="O60" s="4"/>
      <c r="P60" s="5" t="s">
        <v>1</v>
      </c>
      <c r="Q60" s="6" t="s">
        <v>2</v>
      </c>
    </row>
    <row r="61" spans="1:17">
      <c r="A61" s="7" t="s">
        <v>3</v>
      </c>
      <c r="B61" s="5" t="s">
        <v>4</v>
      </c>
      <c r="C61" s="5" t="s">
        <v>5</v>
      </c>
      <c r="D61" s="5" t="s">
        <v>6</v>
      </c>
      <c r="E61" s="37" t="s">
        <v>4</v>
      </c>
      <c r="F61" s="37" t="s">
        <v>5</v>
      </c>
      <c r="G61" s="37" t="s">
        <v>6</v>
      </c>
      <c r="H61" s="46" t="s">
        <v>4</v>
      </c>
      <c r="I61" s="46" t="s">
        <v>5</v>
      </c>
      <c r="J61" s="46" t="s">
        <v>6</v>
      </c>
      <c r="K61" s="41" t="s">
        <v>4</v>
      </c>
      <c r="L61" s="41" t="s">
        <v>5</v>
      </c>
      <c r="M61" s="41" t="s">
        <v>6</v>
      </c>
      <c r="N61" s="4"/>
      <c r="O61" s="12"/>
      <c r="P61" s="5">
        <f>AVERAGE(D62:D71)</f>
        <v>5.5555555555555552E-2</v>
      </c>
      <c r="Q61" s="5">
        <f>STDEV(D62:D71)/SQRT(6)</f>
        <v>2.0600551353043513E-2</v>
      </c>
    </row>
    <row r="62" spans="1:17">
      <c r="A62" s="5">
        <v>1</v>
      </c>
      <c r="B62" s="5">
        <v>0</v>
      </c>
      <c r="C62" s="5">
        <v>24</v>
      </c>
      <c r="D62" s="5">
        <f>B62/C62</f>
        <v>0</v>
      </c>
      <c r="E62" s="37">
        <v>2</v>
      </c>
      <c r="F62" s="37">
        <v>24</v>
      </c>
      <c r="G62" s="37">
        <f>E62/F62</f>
        <v>8.3333333333333329E-2</v>
      </c>
      <c r="H62" s="46">
        <v>11</v>
      </c>
      <c r="I62" s="46">
        <v>24</v>
      </c>
      <c r="J62" s="46">
        <f>H62/I62</f>
        <v>0.45833333333333331</v>
      </c>
      <c r="K62" s="41">
        <v>6</v>
      </c>
      <c r="L62" s="41">
        <v>24</v>
      </c>
      <c r="M62" s="41">
        <f>K62/L62</f>
        <v>0.25</v>
      </c>
      <c r="N62" s="4"/>
      <c r="O62" s="36"/>
      <c r="P62" s="5">
        <f>AVERAGE(G62:G71)</f>
        <v>0.29166666666666663</v>
      </c>
      <c r="Q62" s="5">
        <f>STDEV(G62:G71)/SQRT(6)</f>
        <v>5.9899607369021793E-2</v>
      </c>
    </row>
    <row r="63" spans="1:17">
      <c r="A63" s="5">
        <v>2</v>
      </c>
      <c r="B63" s="5">
        <v>2</v>
      </c>
      <c r="C63" s="5">
        <v>24</v>
      </c>
      <c r="D63" s="5">
        <f t="shared" ref="D63:D65" si="18">B63/C63</f>
        <v>8.3333333333333329E-2</v>
      </c>
      <c r="E63" s="37">
        <v>7</v>
      </c>
      <c r="F63" s="37">
        <v>24</v>
      </c>
      <c r="G63" s="37">
        <f t="shared" ref="G63:G67" si="19">E63/F63</f>
        <v>0.29166666666666669</v>
      </c>
      <c r="H63" s="46">
        <v>4</v>
      </c>
      <c r="I63" s="46">
        <v>24</v>
      </c>
      <c r="J63" s="46">
        <f t="shared" ref="J63:J67" si="20">H63/I63</f>
        <v>0.16666666666666666</v>
      </c>
      <c r="K63" s="41">
        <v>8</v>
      </c>
      <c r="L63" s="41">
        <v>24</v>
      </c>
      <c r="M63" s="41">
        <f t="shared" ref="M63:M67" si="21">K63/L63</f>
        <v>0.33333333333333331</v>
      </c>
      <c r="N63" s="4"/>
      <c r="O63" s="45"/>
      <c r="P63" s="5">
        <f>AVERAGE(J62:J71)</f>
        <v>0.29166666666666669</v>
      </c>
      <c r="Q63" s="5">
        <f>STDEV(J62:J71)/SQRT(6)</f>
        <v>6.0858061945018478E-2</v>
      </c>
    </row>
    <row r="64" spans="1:17">
      <c r="A64" s="5">
        <v>3</v>
      </c>
      <c r="B64" s="5">
        <v>3</v>
      </c>
      <c r="C64" s="5">
        <v>24</v>
      </c>
      <c r="D64" s="5">
        <f t="shared" si="18"/>
        <v>0.125</v>
      </c>
      <c r="E64" s="37">
        <v>6</v>
      </c>
      <c r="F64" s="37">
        <v>24</v>
      </c>
      <c r="G64" s="37">
        <f t="shared" si="19"/>
        <v>0.25</v>
      </c>
      <c r="H64" s="46">
        <v>12</v>
      </c>
      <c r="I64" s="46">
        <v>24</v>
      </c>
      <c r="J64" s="46">
        <f t="shared" si="20"/>
        <v>0.5</v>
      </c>
      <c r="K64" s="41">
        <v>14</v>
      </c>
      <c r="L64" s="41">
        <v>24</v>
      </c>
      <c r="M64" s="41">
        <f t="shared" si="21"/>
        <v>0.58333333333333337</v>
      </c>
      <c r="N64" s="4"/>
      <c r="O64" s="41"/>
      <c r="P64" s="5">
        <f>AVERAGE(M62:M71)</f>
        <v>0.34027777777777773</v>
      </c>
      <c r="Q64" s="5">
        <f>STDEV(M62:M71)/SQRT(6)</f>
        <v>6.3114265375009859E-2</v>
      </c>
    </row>
    <row r="65" spans="1:17">
      <c r="A65" s="5">
        <v>4</v>
      </c>
      <c r="B65" s="5">
        <v>0</v>
      </c>
      <c r="C65" s="5">
        <v>24</v>
      </c>
      <c r="D65" s="5">
        <f t="shared" si="18"/>
        <v>0</v>
      </c>
      <c r="E65" s="37">
        <v>11</v>
      </c>
      <c r="F65" s="37">
        <v>24</v>
      </c>
      <c r="G65" s="37">
        <f t="shared" si="19"/>
        <v>0.45833333333333331</v>
      </c>
      <c r="H65" s="46">
        <v>4</v>
      </c>
      <c r="I65" s="46">
        <v>24</v>
      </c>
      <c r="J65" s="46">
        <f t="shared" si="20"/>
        <v>0.16666666666666666</v>
      </c>
      <c r="K65" s="41">
        <v>11</v>
      </c>
      <c r="L65" s="41">
        <v>24</v>
      </c>
      <c r="M65" s="41">
        <f t="shared" si="21"/>
        <v>0.45833333333333331</v>
      </c>
      <c r="N65" s="4"/>
      <c r="O65" s="4"/>
      <c r="P65" s="4"/>
      <c r="Q65" s="4"/>
    </row>
    <row r="66" spans="1:17">
      <c r="A66" s="5">
        <v>5</v>
      </c>
      <c r="B66" s="5">
        <v>1</v>
      </c>
      <c r="C66" s="5">
        <v>24</v>
      </c>
      <c r="D66" s="5">
        <f t="shared" ref="D66:D67" si="22">B66/C66</f>
        <v>4.1666666666666664E-2</v>
      </c>
      <c r="E66" s="37">
        <v>5</v>
      </c>
      <c r="F66" s="37">
        <v>24</v>
      </c>
      <c r="G66" s="37">
        <f t="shared" si="19"/>
        <v>0.20833333333333334</v>
      </c>
      <c r="H66" s="46">
        <v>5</v>
      </c>
      <c r="I66" s="46">
        <v>24</v>
      </c>
      <c r="J66" s="46">
        <f t="shared" si="20"/>
        <v>0.20833333333333334</v>
      </c>
      <c r="K66" s="41">
        <v>6</v>
      </c>
      <c r="L66" s="41">
        <v>24</v>
      </c>
      <c r="M66" s="41">
        <f t="shared" si="21"/>
        <v>0.25</v>
      </c>
      <c r="N66" s="4"/>
      <c r="O66" s="4"/>
      <c r="P66" s="4"/>
      <c r="Q66" s="4"/>
    </row>
    <row r="67" spans="1:17">
      <c r="A67" s="5">
        <v>6</v>
      </c>
      <c r="B67" s="5">
        <v>2</v>
      </c>
      <c r="C67" s="5">
        <v>24</v>
      </c>
      <c r="D67" s="5">
        <f t="shared" si="22"/>
        <v>8.3333333333333329E-2</v>
      </c>
      <c r="E67" s="37">
        <v>11</v>
      </c>
      <c r="F67" s="37">
        <v>24</v>
      </c>
      <c r="G67" s="37">
        <f t="shared" si="19"/>
        <v>0.45833333333333331</v>
      </c>
      <c r="H67" s="46">
        <v>6</v>
      </c>
      <c r="I67" s="46">
        <v>24</v>
      </c>
      <c r="J67" s="46">
        <f t="shared" si="20"/>
        <v>0.25</v>
      </c>
      <c r="K67" s="41">
        <v>4</v>
      </c>
      <c r="L67" s="41">
        <v>24</v>
      </c>
      <c r="M67" s="41">
        <f t="shared" si="21"/>
        <v>0.16666666666666666</v>
      </c>
      <c r="N67" s="4"/>
      <c r="O67" s="4"/>
      <c r="P67" s="4"/>
      <c r="Q67" s="4"/>
    </row>
    <row r="68" spans="1:17">
      <c r="A68" s="5">
        <v>7</v>
      </c>
      <c r="B68" s="5"/>
      <c r="C68" s="5"/>
      <c r="D68" s="5"/>
      <c r="E68" s="37"/>
      <c r="F68" s="37"/>
      <c r="G68" s="37"/>
      <c r="H68" s="46"/>
      <c r="I68" s="46"/>
      <c r="J68" s="46"/>
      <c r="K68" s="41"/>
      <c r="L68" s="41"/>
      <c r="M68" s="41"/>
      <c r="N68" s="4"/>
      <c r="O68" s="4"/>
      <c r="P68" s="4"/>
      <c r="Q68" s="4"/>
    </row>
    <row r="69" spans="1:17">
      <c r="A69" s="5">
        <v>8</v>
      </c>
      <c r="B69" s="5"/>
      <c r="C69" s="5"/>
      <c r="D69" s="5"/>
      <c r="E69" s="37"/>
      <c r="F69" s="37"/>
      <c r="G69" s="37"/>
      <c r="H69" s="46"/>
      <c r="I69" s="46"/>
      <c r="J69" s="46"/>
      <c r="K69" s="41"/>
      <c r="L69" s="41"/>
      <c r="M69" s="41"/>
      <c r="N69" s="4"/>
      <c r="O69" s="4"/>
      <c r="P69" s="4"/>
      <c r="Q69" s="4"/>
    </row>
    <row r="70" spans="1:17">
      <c r="A70" s="5">
        <v>9</v>
      </c>
      <c r="B70" s="5"/>
      <c r="C70" s="5"/>
      <c r="D70" s="5"/>
      <c r="E70" s="37"/>
      <c r="F70" s="37"/>
      <c r="G70" s="37"/>
      <c r="H70" s="46"/>
      <c r="I70" s="46"/>
      <c r="J70" s="46"/>
      <c r="K70" s="41"/>
      <c r="L70" s="41"/>
      <c r="M70" s="41"/>
      <c r="N70" s="4"/>
      <c r="O70" s="4"/>
      <c r="P70" s="4"/>
      <c r="Q70" s="4"/>
    </row>
    <row r="71" spans="1:17">
      <c r="A71" s="5">
        <v>10</v>
      </c>
      <c r="B71" s="5"/>
      <c r="C71" s="5"/>
      <c r="D71" s="5"/>
      <c r="E71" s="37"/>
      <c r="F71" s="37"/>
      <c r="G71" s="37"/>
      <c r="H71" s="46"/>
      <c r="I71" s="46"/>
      <c r="J71" s="46"/>
      <c r="K71" s="41"/>
      <c r="L71" s="41"/>
      <c r="M71" s="41"/>
      <c r="N71" s="4"/>
      <c r="O71" s="4"/>
      <c r="P71" s="4"/>
      <c r="Q71" s="4"/>
    </row>
    <row r="72" spans="1:17">
      <c r="A72" s="4"/>
      <c r="B72" s="4"/>
      <c r="C72" s="4"/>
      <c r="D72" s="4"/>
      <c r="E72" s="38"/>
      <c r="F72" s="38"/>
      <c r="G72" s="38"/>
      <c r="H72" s="47"/>
      <c r="I72" s="47"/>
      <c r="J72" s="47"/>
      <c r="K72" s="42"/>
      <c r="L72" s="42"/>
      <c r="M72" s="42"/>
      <c r="N72" s="4"/>
      <c r="O72" s="4"/>
      <c r="P72" s="4"/>
      <c r="Q72" s="4"/>
    </row>
    <row r="73" spans="1:17">
      <c r="A73" s="66"/>
      <c r="B73" s="60" t="s">
        <v>25</v>
      </c>
      <c r="C73" s="8"/>
      <c r="D73" s="8"/>
      <c r="E73" s="61" t="s">
        <v>26</v>
      </c>
      <c r="F73" s="35"/>
      <c r="G73" s="35"/>
      <c r="H73" s="62" t="s">
        <v>27</v>
      </c>
      <c r="I73" s="44"/>
      <c r="J73" s="44"/>
      <c r="K73" s="65" t="s">
        <v>28</v>
      </c>
      <c r="L73" s="40"/>
      <c r="M73" s="40"/>
      <c r="N73" s="4"/>
      <c r="O73" s="8" t="s">
        <v>21</v>
      </c>
      <c r="P73" s="4"/>
      <c r="Q73" s="4"/>
    </row>
    <row r="74" spans="1:17">
      <c r="A74" s="4"/>
      <c r="B74" s="73" t="s">
        <v>21</v>
      </c>
      <c r="C74" s="74"/>
      <c r="D74" s="75"/>
      <c r="E74" s="76" t="s">
        <v>7</v>
      </c>
      <c r="F74" s="77"/>
      <c r="G74" s="78"/>
      <c r="H74" s="79" t="s">
        <v>21</v>
      </c>
      <c r="I74" s="80"/>
      <c r="J74" s="81"/>
      <c r="K74" s="82" t="s">
        <v>21</v>
      </c>
      <c r="L74" s="83"/>
      <c r="M74" s="84"/>
      <c r="N74" s="4"/>
      <c r="O74" s="4"/>
      <c r="P74" s="5" t="s">
        <v>10</v>
      </c>
      <c r="Q74" s="6" t="s">
        <v>2</v>
      </c>
    </row>
    <row r="75" spans="1:17">
      <c r="A75" s="7" t="s">
        <v>11</v>
      </c>
      <c r="B75" s="5" t="s">
        <v>4</v>
      </c>
      <c r="C75" s="5" t="s">
        <v>5</v>
      </c>
      <c r="D75" s="5" t="s">
        <v>6</v>
      </c>
      <c r="E75" s="37" t="s">
        <v>4</v>
      </c>
      <c r="F75" s="37" t="s">
        <v>5</v>
      </c>
      <c r="G75" s="37" t="s">
        <v>12</v>
      </c>
      <c r="H75" s="46" t="s">
        <v>4</v>
      </c>
      <c r="I75" s="46" t="s">
        <v>5</v>
      </c>
      <c r="J75" s="46" t="s">
        <v>12</v>
      </c>
      <c r="K75" s="41" t="s">
        <v>4</v>
      </c>
      <c r="L75" s="41" t="s">
        <v>5</v>
      </c>
      <c r="M75" s="41" t="s">
        <v>12</v>
      </c>
      <c r="N75" s="4"/>
      <c r="O75" s="12"/>
      <c r="P75" s="5">
        <f>AVERAGE(D76:D85)</f>
        <v>0.13888888888888892</v>
      </c>
      <c r="Q75" s="5">
        <f>STDEV(D76:D85)/SQRT(6)</f>
        <v>2.560984571470246E-2</v>
      </c>
    </row>
    <row r="76" spans="1:17">
      <c r="A76" s="5">
        <v>1</v>
      </c>
      <c r="B76" s="5">
        <v>2</v>
      </c>
      <c r="C76" s="5">
        <v>24</v>
      </c>
      <c r="D76" s="5">
        <f>B76/C76</f>
        <v>8.3333333333333329E-2</v>
      </c>
      <c r="E76" s="37">
        <v>6</v>
      </c>
      <c r="F76" s="37">
        <v>24</v>
      </c>
      <c r="G76" s="37">
        <f>E76/F76</f>
        <v>0.25</v>
      </c>
      <c r="H76" s="46">
        <v>12</v>
      </c>
      <c r="I76" s="46">
        <v>24</v>
      </c>
      <c r="J76" s="46">
        <f>H76/I76</f>
        <v>0.5</v>
      </c>
      <c r="K76" s="41">
        <v>8</v>
      </c>
      <c r="L76" s="41">
        <v>24</v>
      </c>
      <c r="M76" s="41">
        <f>K76/L76</f>
        <v>0.33333333333333331</v>
      </c>
      <c r="N76" s="4"/>
      <c r="O76" s="36"/>
      <c r="P76" s="5">
        <f>AVERAGE(G76:G85)</f>
        <v>0.40972222222222227</v>
      </c>
      <c r="Q76" s="5">
        <f>STDEV(G76:G85)/SQRT(6)</f>
        <v>3.6350700911951021E-2</v>
      </c>
    </row>
    <row r="77" spans="1:17">
      <c r="A77" s="5">
        <v>2</v>
      </c>
      <c r="B77" s="5">
        <v>4</v>
      </c>
      <c r="C77" s="5">
        <v>24</v>
      </c>
      <c r="D77" s="5">
        <f t="shared" ref="D77:D79" si="23">B77/C77</f>
        <v>0.16666666666666666</v>
      </c>
      <c r="E77" s="37">
        <v>10</v>
      </c>
      <c r="F77" s="37">
        <v>24</v>
      </c>
      <c r="G77" s="37">
        <f t="shared" ref="G77:G81" si="24">E77/F77</f>
        <v>0.41666666666666669</v>
      </c>
      <c r="H77" s="46">
        <v>6</v>
      </c>
      <c r="I77" s="46">
        <v>24</v>
      </c>
      <c r="J77" s="46">
        <f t="shared" ref="J77:J81" si="25">H77/I77</f>
        <v>0.25</v>
      </c>
      <c r="K77" s="41">
        <v>9</v>
      </c>
      <c r="L77" s="41">
        <v>24</v>
      </c>
      <c r="M77" s="41">
        <f t="shared" ref="M77:M81" si="26">K77/L77</f>
        <v>0.375</v>
      </c>
      <c r="N77" s="4"/>
      <c r="O77" s="45"/>
      <c r="P77" s="5">
        <f>AVERAGE(J76:J85)</f>
        <v>0.4513888888888889</v>
      </c>
      <c r="Q77" s="5">
        <f>STDEV(J76:J85)/SQRT(6)</f>
        <v>7.2502128534101054E-2</v>
      </c>
    </row>
    <row r="78" spans="1:17">
      <c r="A78" s="5">
        <v>3</v>
      </c>
      <c r="B78" s="5">
        <v>5</v>
      </c>
      <c r="C78" s="5">
        <v>24</v>
      </c>
      <c r="D78" s="5">
        <f t="shared" si="23"/>
        <v>0.20833333333333334</v>
      </c>
      <c r="E78" s="37">
        <v>9</v>
      </c>
      <c r="F78" s="37">
        <v>24</v>
      </c>
      <c r="G78" s="37">
        <f t="shared" si="24"/>
        <v>0.375</v>
      </c>
      <c r="H78" s="46">
        <v>17</v>
      </c>
      <c r="I78" s="46">
        <v>24</v>
      </c>
      <c r="J78" s="46">
        <f t="shared" si="25"/>
        <v>0.70833333333333337</v>
      </c>
      <c r="K78" s="41">
        <v>16</v>
      </c>
      <c r="L78" s="41">
        <v>24</v>
      </c>
      <c r="M78" s="41">
        <f t="shared" si="26"/>
        <v>0.66666666666666663</v>
      </c>
      <c r="N78" s="4"/>
      <c r="O78" s="41"/>
      <c r="P78" s="5">
        <f>AVERAGE(M76:M85)</f>
        <v>0.40277777777777773</v>
      </c>
      <c r="Q78" s="5">
        <f>STDEV(M76:M85)/SQRT(6)</f>
        <v>5.9576696082020125E-2</v>
      </c>
    </row>
    <row r="79" spans="1:17">
      <c r="A79" s="5">
        <v>4</v>
      </c>
      <c r="B79" s="5">
        <v>2</v>
      </c>
      <c r="C79" s="5">
        <v>24</v>
      </c>
      <c r="D79" s="5">
        <f t="shared" si="23"/>
        <v>8.3333333333333329E-2</v>
      </c>
      <c r="E79" s="37">
        <v>12</v>
      </c>
      <c r="F79" s="37">
        <v>24</v>
      </c>
      <c r="G79" s="37">
        <f t="shared" si="24"/>
        <v>0.5</v>
      </c>
      <c r="H79" s="46">
        <v>7</v>
      </c>
      <c r="I79" s="46">
        <v>24</v>
      </c>
      <c r="J79" s="46">
        <f t="shared" si="25"/>
        <v>0.29166666666666669</v>
      </c>
      <c r="K79" s="41">
        <v>11</v>
      </c>
      <c r="L79" s="41">
        <v>24</v>
      </c>
      <c r="M79" s="41">
        <f t="shared" si="26"/>
        <v>0.45833333333333331</v>
      </c>
      <c r="N79" s="4"/>
      <c r="O79" s="4"/>
      <c r="P79" s="4"/>
      <c r="Q79" s="4"/>
    </row>
    <row r="80" spans="1:17">
      <c r="A80" s="5">
        <v>5</v>
      </c>
      <c r="B80" s="5">
        <v>2</v>
      </c>
      <c r="C80" s="5">
        <v>24</v>
      </c>
      <c r="D80" s="5">
        <f t="shared" ref="D80:D81" si="27">B80/C80</f>
        <v>8.3333333333333329E-2</v>
      </c>
      <c r="E80" s="37">
        <v>11</v>
      </c>
      <c r="F80" s="37">
        <v>24</v>
      </c>
      <c r="G80" s="37">
        <f t="shared" si="24"/>
        <v>0.45833333333333331</v>
      </c>
      <c r="H80" s="46">
        <v>9</v>
      </c>
      <c r="I80" s="46">
        <v>24</v>
      </c>
      <c r="J80" s="46">
        <f t="shared" si="25"/>
        <v>0.375</v>
      </c>
      <c r="K80" s="41">
        <v>8</v>
      </c>
      <c r="L80" s="41">
        <v>24</v>
      </c>
      <c r="M80" s="41">
        <f t="shared" si="26"/>
        <v>0.33333333333333331</v>
      </c>
      <c r="N80" s="4"/>
      <c r="O80" s="4"/>
      <c r="P80" s="4"/>
      <c r="Q80" s="4"/>
    </row>
    <row r="81" spans="1:17">
      <c r="A81" s="5">
        <v>6</v>
      </c>
      <c r="B81" s="5">
        <v>5</v>
      </c>
      <c r="C81" s="5">
        <v>24</v>
      </c>
      <c r="D81" s="5">
        <f t="shared" si="27"/>
        <v>0.20833333333333334</v>
      </c>
      <c r="E81" s="37">
        <v>11</v>
      </c>
      <c r="F81" s="37">
        <v>24</v>
      </c>
      <c r="G81" s="37">
        <f t="shared" si="24"/>
        <v>0.45833333333333331</v>
      </c>
      <c r="H81" s="46">
        <v>14</v>
      </c>
      <c r="I81" s="46">
        <v>24</v>
      </c>
      <c r="J81" s="46">
        <f t="shared" si="25"/>
        <v>0.58333333333333337</v>
      </c>
      <c r="K81" s="41">
        <v>6</v>
      </c>
      <c r="L81" s="41">
        <v>24</v>
      </c>
      <c r="M81" s="41">
        <f t="shared" si="26"/>
        <v>0.25</v>
      </c>
      <c r="N81" s="4"/>
      <c r="O81" s="4"/>
      <c r="P81" s="4"/>
      <c r="Q81" s="4"/>
    </row>
    <row r="82" spans="1:17">
      <c r="A82" s="5">
        <v>7</v>
      </c>
      <c r="B82" s="5"/>
      <c r="C82" s="5"/>
      <c r="D82" s="5"/>
      <c r="E82" s="37"/>
      <c r="F82" s="37"/>
      <c r="G82" s="37"/>
      <c r="H82" s="46"/>
      <c r="I82" s="46"/>
      <c r="J82" s="46"/>
      <c r="K82" s="41"/>
      <c r="L82" s="41"/>
      <c r="M82" s="41"/>
      <c r="N82" s="4"/>
      <c r="O82" s="4"/>
      <c r="P82" s="4"/>
      <c r="Q82" s="4"/>
    </row>
    <row r="83" spans="1:17">
      <c r="A83" s="5">
        <v>8</v>
      </c>
      <c r="B83" s="5"/>
      <c r="C83" s="5"/>
      <c r="D83" s="5"/>
      <c r="E83" s="37"/>
      <c r="F83" s="37"/>
      <c r="G83" s="37"/>
      <c r="H83" s="46"/>
      <c r="I83" s="46"/>
      <c r="J83" s="46"/>
      <c r="K83" s="41"/>
      <c r="L83" s="41"/>
      <c r="M83" s="41"/>
      <c r="N83" s="4"/>
      <c r="O83" s="4"/>
      <c r="P83" s="4"/>
      <c r="Q83" s="4"/>
    </row>
    <row r="84" spans="1:17">
      <c r="A84" s="5">
        <v>9</v>
      </c>
      <c r="B84" s="5"/>
      <c r="C84" s="5"/>
      <c r="D84" s="5"/>
      <c r="E84" s="37"/>
      <c r="F84" s="37"/>
      <c r="G84" s="37"/>
      <c r="H84" s="46"/>
      <c r="I84" s="46"/>
      <c r="J84" s="46"/>
      <c r="K84" s="41"/>
      <c r="L84" s="41"/>
      <c r="M84" s="41"/>
      <c r="N84" s="4"/>
      <c r="O84" s="4"/>
      <c r="P84" s="4"/>
      <c r="Q84" s="4"/>
    </row>
    <row r="85" spans="1:17">
      <c r="A85" s="5">
        <v>10</v>
      </c>
      <c r="B85" s="5"/>
      <c r="C85" s="5"/>
      <c r="D85" s="5"/>
      <c r="E85" s="37"/>
      <c r="F85" s="37"/>
      <c r="G85" s="37"/>
      <c r="H85" s="46"/>
      <c r="I85" s="46"/>
      <c r="J85" s="46"/>
      <c r="K85" s="41"/>
      <c r="L85" s="41"/>
      <c r="M85" s="41"/>
      <c r="N85" s="4"/>
      <c r="O85" s="4"/>
      <c r="P85" s="4"/>
      <c r="Q85" s="4"/>
    </row>
    <row r="86" spans="1:17">
      <c r="A86" s="4"/>
      <c r="B86" s="4"/>
      <c r="C86" s="4"/>
      <c r="D86" s="4"/>
      <c r="E86" s="38"/>
      <c r="F86" s="38"/>
      <c r="G86" s="38"/>
      <c r="H86" s="47"/>
      <c r="I86" s="47"/>
      <c r="J86" s="47"/>
      <c r="K86" s="42"/>
      <c r="L86" s="42"/>
      <c r="M86" s="42"/>
      <c r="N86" s="4"/>
      <c r="O86" s="4"/>
      <c r="P86" s="4"/>
      <c r="Q86" s="4"/>
    </row>
    <row r="87" spans="1:17">
      <c r="A87" s="66"/>
      <c r="B87" s="66"/>
      <c r="E87" s="9"/>
      <c r="H87" s="9"/>
      <c r="K87" s="9"/>
      <c r="N87" s="4"/>
      <c r="O87" s="8" t="s">
        <v>22</v>
      </c>
      <c r="P87" s="4"/>
      <c r="Q87" s="4"/>
    </row>
    <row r="88" spans="1:17">
      <c r="A88" s="4"/>
      <c r="B88" s="60" t="s">
        <v>25</v>
      </c>
      <c r="C88" s="8"/>
      <c r="D88" s="8"/>
      <c r="E88" s="61" t="s">
        <v>26</v>
      </c>
      <c r="F88" s="35"/>
      <c r="G88" s="35"/>
      <c r="H88" s="62" t="s">
        <v>27</v>
      </c>
      <c r="I88" s="44"/>
      <c r="J88" s="44"/>
      <c r="K88" s="65" t="s">
        <v>28</v>
      </c>
      <c r="L88" s="40"/>
      <c r="M88" s="40"/>
      <c r="N88" s="4"/>
      <c r="O88" s="4"/>
      <c r="P88" s="5" t="s">
        <v>1</v>
      </c>
      <c r="Q88" s="6" t="s">
        <v>2</v>
      </c>
    </row>
    <row r="89" spans="1:17">
      <c r="A89" s="7" t="s">
        <v>3</v>
      </c>
      <c r="B89" s="5" t="s">
        <v>4</v>
      </c>
      <c r="C89" s="5" t="s">
        <v>5</v>
      </c>
      <c r="D89" s="5" t="s">
        <v>6</v>
      </c>
      <c r="E89" s="37" t="s">
        <v>4</v>
      </c>
      <c r="F89" s="37" t="s">
        <v>5</v>
      </c>
      <c r="G89" s="37" t="s">
        <v>6</v>
      </c>
      <c r="H89" s="46" t="s">
        <v>4</v>
      </c>
      <c r="I89" s="46" t="s">
        <v>5</v>
      </c>
      <c r="J89" s="46" t="s">
        <v>6</v>
      </c>
      <c r="K89" s="41" t="s">
        <v>4</v>
      </c>
      <c r="L89" s="41" t="s">
        <v>5</v>
      </c>
      <c r="M89" s="41" t="s">
        <v>6</v>
      </c>
      <c r="N89" s="4"/>
      <c r="O89" s="12"/>
      <c r="P89" s="5">
        <f>AVERAGE(D90:D99)</f>
        <v>0.27777777777777773</v>
      </c>
      <c r="Q89" s="5">
        <f>STDEV(D90:D99)/SQRT(6)</f>
        <v>4.1201102706087088E-2</v>
      </c>
    </row>
    <row r="90" spans="1:17">
      <c r="A90" s="5">
        <v>1</v>
      </c>
      <c r="B90" s="5">
        <v>4</v>
      </c>
      <c r="C90" s="5">
        <v>24</v>
      </c>
      <c r="D90" s="5">
        <f>B90/C90</f>
        <v>0.16666666666666666</v>
      </c>
      <c r="E90" s="37">
        <v>14</v>
      </c>
      <c r="F90" s="37">
        <v>24</v>
      </c>
      <c r="G90" s="37">
        <f>E90/F90</f>
        <v>0.58333333333333337</v>
      </c>
      <c r="H90" s="46">
        <v>16</v>
      </c>
      <c r="I90" s="46">
        <v>24</v>
      </c>
      <c r="J90" s="46">
        <f>H90/I90</f>
        <v>0.66666666666666663</v>
      </c>
      <c r="K90" s="41">
        <v>11</v>
      </c>
      <c r="L90" s="41">
        <v>24</v>
      </c>
      <c r="M90" s="41">
        <f>K90/L90</f>
        <v>0.45833333333333331</v>
      </c>
      <c r="N90" s="4"/>
      <c r="O90" s="36"/>
      <c r="P90" s="5">
        <f>AVERAGE(G90:G99)</f>
        <v>0.56944444444444453</v>
      </c>
      <c r="Q90" s="5">
        <f>STDEV(G90:G99)/SQRT(6)</f>
        <v>4.7709900103660247E-2</v>
      </c>
    </row>
    <row r="91" spans="1:17">
      <c r="A91" s="5">
        <v>2</v>
      </c>
      <c r="B91" s="5">
        <v>10</v>
      </c>
      <c r="C91" s="5">
        <v>24</v>
      </c>
      <c r="D91" s="5">
        <f t="shared" ref="D91:D93" si="28">B91/C91</f>
        <v>0.41666666666666669</v>
      </c>
      <c r="E91" s="37">
        <v>12</v>
      </c>
      <c r="F91" s="37">
        <v>24</v>
      </c>
      <c r="G91" s="37">
        <f t="shared" ref="G91:G95" si="29">E91/F91</f>
        <v>0.5</v>
      </c>
      <c r="H91" s="46">
        <v>8</v>
      </c>
      <c r="I91" s="46">
        <v>24</v>
      </c>
      <c r="J91" s="46">
        <f t="shared" ref="J91:J95" si="30">H91/I91</f>
        <v>0.33333333333333331</v>
      </c>
      <c r="K91" s="41">
        <v>12</v>
      </c>
      <c r="L91" s="41">
        <v>24</v>
      </c>
      <c r="M91" s="41">
        <f t="shared" ref="M91:M95" si="31">K91/L91</f>
        <v>0.5</v>
      </c>
      <c r="N91" s="4"/>
      <c r="O91" s="45"/>
      <c r="P91" s="5">
        <f>AVERAGE(J90:J99)</f>
        <v>0.54166666666666663</v>
      </c>
      <c r="Q91" s="5">
        <f>STDEV(J90:J99)/SQRT(6)</f>
        <v>6.364688465216442E-2</v>
      </c>
    </row>
    <row r="92" spans="1:17">
      <c r="A92" s="5">
        <v>3</v>
      </c>
      <c r="B92" s="5">
        <v>7</v>
      </c>
      <c r="C92" s="5">
        <v>24</v>
      </c>
      <c r="D92" s="5">
        <f t="shared" si="28"/>
        <v>0.29166666666666669</v>
      </c>
      <c r="E92" s="37">
        <v>11</v>
      </c>
      <c r="F92" s="37">
        <v>24</v>
      </c>
      <c r="G92" s="37">
        <f t="shared" si="29"/>
        <v>0.45833333333333331</v>
      </c>
      <c r="H92" s="46">
        <v>17</v>
      </c>
      <c r="I92" s="46">
        <v>24</v>
      </c>
      <c r="J92" s="46">
        <f t="shared" si="30"/>
        <v>0.70833333333333337</v>
      </c>
      <c r="K92" s="41">
        <v>18</v>
      </c>
      <c r="L92" s="41">
        <v>24</v>
      </c>
      <c r="M92" s="41">
        <f t="shared" si="31"/>
        <v>0.75</v>
      </c>
      <c r="N92" s="4"/>
      <c r="O92" s="41"/>
      <c r="P92" s="5">
        <f>AVERAGE(M90:M99)</f>
        <v>0.54861111111111105</v>
      </c>
      <c r="Q92" s="5">
        <f>STDEV(M90:M99)/SQRT(6)</f>
        <v>4.9787356469263709E-2</v>
      </c>
    </row>
    <row r="93" spans="1:17">
      <c r="A93" s="5">
        <v>4</v>
      </c>
      <c r="B93" s="5">
        <v>5</v>
      </c>
      <c r="C93" s="5">
        <v>24</v>
      </c>
      <c r="D93" s="5">
        <f t="shared" si="28"/>
        <v>0.20833333333333334</v>
      </c>
      <c r="E93" s="37">
        <v>17</v>
      </c>
      <c r="F93" s="37">
        <v>24</v>
      </c>
      <c r="G93" s="37">
        <f t="shared" si="29"/>
        <v>0.70833333333333337</v>
      </c>
      <c r="H93" s="46">
        <v>9</v>
      </c>
      <c r="I93" s="46">
        <v>24</v>
      </c>
      <c r="J93" s="46">
        <f t="shared" si="30"/>
        <v>0.375</v>
      </c>
      <c r="K93" s="41">
        <v>13</v>
      </c>
      <c r="L93" s="41">
        <v>24</v>
      </c>
      <c r="M93" s="41">
        <f t="shared" si="31"/>
        <v>0.54166666666666663</v>
      </c>
      <c r="N93" s="4"/>
      <c r="O93" s="4"/>
      <c r="P93" s="4"/>
      <c r="Q93" s="4"/>
    </row>
    <row r="94" spans="1:17">
      <c r="A94" s="5">
        <v>5</v>
      </c>
      <c r="B94" s="5">
        <v>5</v>
      </c>
      <c r="C94" s="5">
        <v>24</v>
      </c>
      <c r="D94" s="5">
        <f t="shared" ref="D94:D95" si="32">B94/C94</f>
        <v>0.20833333333333334</v>
      </c>
      <c r="E94" s="37">
        <v>11</v>
      </c>
      <c r="F94" s="37">
        <v>24</v>
      </c>
      <c r="G94" s="37">
        <f t="shared" si="29"/>
        <v>0.45833333333333331</v>
      </c>
      <c r="H94" s="46">
        <v>13</v>
      </c>
      <c r="I94" s="46">
        <v>24</v>
      </c>
      <c r="J94" s="46">
        <f t="shared" si="30"/>
        <v>0.54166666666666663</v>
      </c>
      <c r="K94" s="41">
        <v>10</v>
      </c>
      <c r="L94" s="41">
        <v>24</v>
      </c>
      <c r="M94" s="41">
        <f t="shared" si="31"/>
        <v>0.41666666666666669</v>
      </c>
      <c r="N94" s="4"/>
      <c r="O94" s="4"/>
      <c r="P94" s="4"/>
      <c r="Q94" s="4"/>
    </row>
    <row r="95" spans="1:17">
      <c r="A95" s="5">
        <v>6</v>
      </c>
      <c r="B95" s="5">
        <v>9</v>
      </c>
      <c r="C95" s="5">
        <v>24</v>
      </c>
      <c r="D95" s="5">
        <f t="shared" si="32"/>
        <v>0.375</v>
      </c>
      <c r="E95" s="37">
        <v>17</v>
      </c>
      <c r="F95" s="37">
        <v>24</v>
      </c>
      <c r="G95" s="37">
        <f t="shared" si="29"/>
        <v>0.70833333333333337</v>
      </c>
      <c r="H95" s="46">
        <v>15</v>
      </c>
      <c r="I95" s="46">
        <v>24</v>
      </c>
      <c r="J95" s="46">
        <f t="shared" si="30"/>
        <v>0.625</v>
      </c>
      <c r="K95" s="41">
        <v>15</v>
      </c>
      <c r="L95" s="41">
        <v>24</v>
      </c>
      <c r="M95" s="41">
        <f t="shared" si="31"/>
        <v>0.625</v>
      </c>
      <c r="N95" s="4"/>
      <c r="O95" s="4"/>
      <c r="P95" s="4"/>
      <c r="Q95" s="4"/>
    </row>
    <row r="96" spans="1:17">
      <c r="A96" s="5">
        <v>7</v>
      </c>
      <c r="B96" s="5"/>
      <c r="C96" s="5"/>
      <c r="D96" s="5"/>
      <c r="E96" s="37"/>
      <c r="F96" s="37"/>
      <c r="G96" s="37"/>
      <c r="H96" s="46"/>
      <c r="I96" s="46"/>
      <c r="J96" s="46"/>
      <c r="K96" s="41"/>
      <c r="L96" s="41"/>
      <c r="M96" s="41"/>
      <c r="N96" s="4"/>
      <c r="O96" s="4"/>
      <c r="P96" s="4"/>
      <c r="Q96" s="4"/>
    </row>
    <row r="97" spans="1:17">
      <c r="A97" s="5">
        <v>8</v>
      </c>
      <c r="B97" s="5"/>
      <c r="C97" s="5"/>
      <c r="D97" s="5"/>
      <c r="E97" s="37"/>
      <c r="F97" s="37"/>
      <c r="G97" s="37"/>
      <c r="H97" s="46"/>
      <c r="I97" s="46"/>
      <c r="J97" s="46"/>
      <c r="K97" s="41"/>
      <c r="L97" s="41"/>
      <c r="M97" s="41"/>
      <c r="N97" s="4"/>
      <c r="O97" s="4"/>
      <c r="P97" s="4"/>
      <c r="Q97" s="4"/>
    </row>
    <row r="98" spans="1:17">
      <c r="A98" s="5">
        <v>9</v>
      </c>
      <c r="B98" s="5"/>
      <c r="C98" s="5"/>
      <c r="D98" s="5"/>
      <c r="E98" s="37"/>
      <c r="F98" s="37"/>
      <c r="G98" s="37"/>
      <c r="H98" s="46"/>
      <c r="I98" s="46"/>
      <c r="J98" s="46"/>
      <c r="K98" s="41"/>
      <c r="L98" s="41"/>
      <c r="M98" s="41"/>
      <c r="N98" s="4"/>
      <c r="O98" s="4"/>
      <c r="P98" s="4"/>
      <c r="Q98" s="4"/>
    </row>
    <row r="99" spans="1:17">
      <c r="A99" s="5">
        <v>10</v>
      </c>
      <c r="B99" s="5"/>
      <c r="C99" s="5"/>
      <c r="D99" s="5"/>
      <c r="E99" s="37"/>
      <c r="F99" s="37"/>
      <c r="G99" s="37"/>
      <c r="H99" s="46"/>
      <c r="I99" s="46"/>
      <c r="J99" s="46"/>
      <c r="K99" s="41"/>
      <c r="L99" s="41"/>
      <c r="M99" s="41"/>
      <c r="N99" s="4"/>
      <c r="O99" s="4"/>
      <c r="P99" s="4"/>
      <c r="Q99" s="4"/>
    </row>
    <row r="100" spans="1:17">
      <c r="E100" s="39"/>
      <c r="F100" s="39"/>
      <c r="G100" s="39"/>
      <c r="H100" s="48"/>
      <c r="I100" s="48"/>
      <c r="J100" s="48"/>
      <c r="K100" s="43"/>
      <c r="L100" s="43"/>
      <c r="M100" s="43"/>
    </row>
    <row r="101" spans="1:17">
      <c r="A101" s="67"/>
      <c r="B101" s="68" t="s">
        <v>25</v>
      </c>
      <c r="C101" s="31"/>
      <c r="D101" s="31"/>
      <c r="E101" s="68" t="s">
        <v>26</v>
      </c>
      <c r="F101" s="31"/>
      <c r="G101" s="31"/>
      <c r="H101" s="68" t="s">
        <v>27</v>
      </c>
      <c r="I101" s="31"/>
      <c r="J101" s="31"/>
      <c r="K101" s="68" t="s">
        <v>28</v>
      </c>
      <c r="L101" s="31"/>
      <c r="M101" s="31"/>
      <c r="O101" s="1" t="s">
        <v>16</v>
      </c>
    </row>
    <row r="102" spans="1:17">
      <c r="A102" s="19"/>
      <c r="B102" s="69" t="s">
        <v>9</v>
      </c>
      <c r="C102" s="70"/>
      <c r="D102" s="71"/>
      <c r="E102" s="72" t="s">
        <v>16</v>
      </c>
      <c r="F102" s="72"/>
      <c r="G102" s="72"/>
      <c r="H102" s="72" t="s">
        <v>16</v>
      </c>
      <c r="I102" s="72"/>
      <c r="J102" s="72"/>
      <c r="K102" s="72" t="s">
        <v>16</v>
      </c>
      <c r="L102" s="72"/>
      <c r="M102" s="72"/>
      <c r="O102" s="4"/>
      <c r="P102" s="5" t="s">
        <v>10</v>
      </c>
      <c r="Q102" s="6" t="s">
        <v>2</v>
      </c>
    </row>
    <row r="103" spans="1:17">
      <c r="A103" s="20" t="s">
        <v>3</v>
      </c>
      <c r="B103" s="21" t="s">
        <v>4</v>
      </c>
      <c r="C103" s="21" t="s">
        <v>5</v>
      </c>
      <c r="D103" s="21" t="s">
        <v>6</v>
      </c>
      <c r="E103" s="21" t="s">
        <v>4</v>
      </c>
      <c r="F103" s="21" t="s">
        <v>5</v>
      </c>
      <c r="G103" s="21" t="s">
        <v>6</v>
      </c>
      <c r="H103" s="21" t="s">
        <v>4</v>
      </c>
      <c r="I103" s="21" t="s">
        <v>5</v>
      </c>
      <c r="J103" s="21" t="s">
        <v>6</v>
      </c>
      <c r="K103" s="21" t="s">
        <v>4</v>
      </c>
      <c r="L103" s="21" t="s">
        <v>5</v>
      </c>
      <c r="M103" s="21" t="s">
        <v>6</v>
      </c>
      <c r="O103" s="12"/>
      <c r="P103" s="5" t="e">
        <f>AVERAGE(D104:D113)</f>
        <v>#DIV/0!</v>
      </c>
      <c r="Q103" s="5" t="e">
        <f>STDEV(D104:D113)/SQRT(5)</f>
        <v>#DIV/0!</v>
      </c>
    </row>
    <row r="104" spans="1:17">
      <c r="A104" s="21">
        <v>1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O104" s="36"/>
      <c r="P104" s="5" t="e">
        <f>AVERAGE(G104:G113)</f>
        <v>#DIV/0!</v>
      </c>
      <c r="Q104" s="5" t="e">
        <f>STDEV(G104:G113)/SQRT(5)</f>
        <v>#DIV/0!</v>
      </c>
    </row>
    <row r="105" spans="1:17">
      <c r="A105" s="21">
        <v>2</v>
      </c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O105" s="45"/>
      <c r="P105" s="5" t="e">
        <f>AVERAGE(J104:J113)</f>
        <v>#DIV/0!</v>
      </c>
      <c r="Q105" s="5" t="e">
        <f>STDEV(J104:J113)/SQRT(5)</f>
        <v>#DIV/0!</v>
      </c>
    </row>
    <row r="106" spans="1:17">
      <c r="A106" s="21">
        <v>3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O106" s="41"/>
      <c r="P106" s="5" t="e">
        <f>AVERAGE(M104:M113)</f>
        <v>#DIV/0!</v>
      </c>
      <c r="Q106" s="5" t="e">
        <f>STDEV(M104:M113)/SQRT(5)</f>
        <v>#DIV/0!</v>
      </c>
    </row>
    <row r="107" spans="1:17">
      <c r="A107" s="21">
        <v>4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</row>
    <row r="108" spans="1:17">
      <c r="A108" s="21">
        <v>5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</row>
    <row r="109" spans="1:17">
      <c r="A109" s="21">
        <v>6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</row>
    <row r="110" spans="1:17">
      <c r="A110" s="21">
        <v>7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</row>
    <row r="111" spans="1:17">
      <c r="A111" s="21">
        <v>8</v>
      </c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 spans="1:17">
      <c r="A112" s="21">
        <v>9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</row>
    <row r="113" spans="1:13">
      <c r="A113" s="21">
        <v>10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</sheetData>
  <mergeCells count="28">
    <mergeCell ref="B4:D4"/>
    <mergeCell ref="E4:G4"/>
    <mergeCell ref="H4:J4"/>
    <mergeCell ref="K4:M4"/>
    <mergeCell ref="B32:D32"/>
    <mergeCell ref="E32:G32"/>
    <mergeCell ref="H32:J32"/>
    <mergeCell ref="K32:M32"/>
    <mergeCell ref="B18:D18"/>
    <mergeCell ref="E18:G18"/>
    <mergeCell ref="H18:J18"/>
    <mergeCell ref="K18:M18"/>
    <mergeCell ref="B60:D60"/>
    <mergeCell ref="E60:G60"/>
    <mergeCell ref="H60:J60"/>
    <mergeCell ref="K60:M60"/>
    <mergeCell ref="B46:D46"/>
    <mergeCell ref="E46:G46"/>
    <mergeCell ref="H46:J46"/>
    <mergeCell ref="K46:M46"/>
    <mergeCell ref="B102:D102"/>
    <mergeCell ref="E102:G102"/>
    <mergeCell ref="H102:J102"/>
    <mergeCell ref="K102:M102"/>
    <mergeCell ref="B74:D74"/>
    <mergeCell ref="E74:G74"/>
    <mergeCell ref="H74:J74"/>
    <mergeCell ref="K74:M7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0057-15BD-4BBF-BC56-0E71300E9A35}">
  <dimension ref="A1:AC113"/>
  <sheetViews>
    <sheetView tabSelected="1" zoomScale="80" zoomScaleNormal="80" workbookViewId="0"/>
  </sheetViews>
  <sheetFormatPr defaultColWidth="9" defaultRowHeight="10.199999999999999"/>
  <cols>
    <col min="1" max="18" width="9" style="2"/>
    <col min="19" max="19" width="18.33203125" style="2" customWidth="1"/>
    <col min="20" max="16384" width="9" style="2"/>
  </cols>
  <sheetData>
    <row r="1" spans="1:29">
      <c r="A1" s="1" t="s">
        <v>14</v>
      </c>
    </row>
    <row r="2" spans="1:29">
      <c r="S2" s="3"/>
      <c r="T2" s="3"/>
      <c r="U2" s="3"/>
    </row>
    <row r="3" spans="1:29" s="1" customFormat="1">
      <c r="B3" s="1" t="s">
        <v>20</v>
      </c>
      <c r="C3" s="8"/>
      <c r="D3" s="8"/>
      <c r="E3" s="59" t="s">
        <v>23</v>
      </c>
      <c r="F3" s="14"/>
      <c r="G3" s="14"/>
      <c r="H3" s="26" t="s">
        <v>18</v>
      </c>
      <c r="I3" s="27"/>
      <c r="J3" s="27"/>
      <c r="K3" s="22" t="s">
        <v>29</v>
      </c>
      <c r="L3" s="23"/>
      <c r="M3" s="23"/>
      <c r="N3" s="8"/>
      <c r="O3" s="8" t="s">
        <v>17</v>
      </c>
      <c r="P3" s="8"/>
      <c r="Q3" s="8"/>
      <c r="S3" s="3"/>
      <c r="T3" s="13"/>
      <c r="U3" s="13"/>
    </row>
    <row r="4" spans="1:29">
      <c r="A4" s="4"/>
      <c r="B4" s="85" t="s">
        <v>0</v>
      </c>
      <c r="C4" s="85"/>
      <c r="D4" s="85"/>
      <c r="E4" s="86" t="s">
        <v>17</v>
      </c>
      <c r="F4" s="86"/>
      <c r="G4" s="86"/>
      <c r="H4" s="87" t="s">
        <v>17</v>
      </c>
      <c r="I4" s="87"/>
      <c r="J4" s="87"/>
      <c r="K4" s="88" t="s">
        <v>17</v>
      </c>
      <c r="L4" s="88"/>
      <c r="M4" s="88"/>
      <c r="N4" s="4"/>
      <c r="O4" s="4"/>
      <c r="P4" s="5" t="s">
        <v>1</v>
      </c>
      <c r="Q4" s="5" t="s">
        <v>2</v>
      </c>
      <c r="S4" s="3"/>
      <c r="T4" s="3"/>
      <c r="U4" s="3"/>
    </row>
    <row r="5" spans="1:29">
      <c r="A5" s="7" t="s">
        <v>3</v>
      </c>
      <c r="B5" s="5" t="s">
        <v>4</v>
      </c>
      <c r="C5" s="5" t="s">
        <v>5</v>
      </c>
      <c r="D5" s="5" t="s">
        <v>6</v>
      </c>
      <c r="E5" s="15" t="s">
        <v>4</v>
      </c>
      <c r="F5" s="15" t="s">
        <v>5</v>
      </c>
      <c r="G5" s="15" t="s">
        <v>6</v>
      </c>
      <c r="H5" s="28" t="s">
        <v>4</v>
      </c>
      <c r="I5" s="28" t="s">
        <v>5</v>
      </c>
      <c r="J5" s="28" t="s">
        <v>6</v>
      </c>
      <c r="K5" s="24" t="s">
        <v>4</v>
      </c>
      <c r="L5" s="24" t="s">
        <v>5</v>
      </c>
      <c r="M5" s="24" t="s">
        <v>6</v>
      </c>
      <c r="N5" s="4"/>
      <c r="O5" s="12"/>
      <c r="P5" s="5">
        <f>AVERAGE(D6:D15)</f>
        <v>0.16666666666666666</v>
      </c>
      <c r="Q5" s="5">
        <f>STDEV(D6:D15)/SQRT(6)</f>
        <v>3.4020690871988606E-2</v>
      </c>
      <c r="S5" s="3"/>
      <c r="T5" s="3"/>
      <c r="U5" s="3"/>
    </row>
    <row r="6" spans="1:29">
      <c r="A6" s="5">
        <v>1</v>
      </c>
      <c r="B6" s="5">
        <v>3</v>
      </c>
      <c r="C6" s="5">
        <v>24</v>
      </c>
      <c r="D6" s="5">
        <f>B6/C6</f>
        <v>0.125</v>
      </c>
      <c r="E6" s="15">
        <v>8</v>
      </c>
      <c r="F6" s="15">
        <v>24</v>
      </c>
      <c r="G6" s="15">
        <f>E6/F6</f>
        <v>0.33333333333333331</v>
      </c>
      <c r="H6" s="28">
        <v>5</v>
      </c>
      <c r="I6" s="28">
        <v>24</v>
      </c>
      <c r="J6" s="28">
        <f>H6/I6</f>
        <v>0.20833333333333334</v>
      </c>
      <c r="K6" s="24">
        <v>8</v>
      </c>
      <c r="L6" s="24">
        <v>24</v>
      </c>
      <c r="M6" s="24">
        <f>K6/L6</f>
        <v>0.33333333333333331</v>
      </c>
      <c r="N6" s="4"/>
      <c r="O6" s="17"/>
      <c r="P6" s="5">
        <f>AVERAGE(G6:G15)</f>
        <v>0.30555555555555558</v>
      </c>
      <c r="Q6" s="5">
        <f>STDEV(G6:G15)/SQRT(6)</f>
        <v>4.7709900103660177E-2</v>
      </c>
    </row>
    <row r="7" spans="1:29">
      <c r="A7" s="5">
        <v>2</v>
      </c>
      <c r="B7" s="5">
        <v>2</v>
      </c>
      <c r="C7" s="5">
        <v>24</v>
      </c>
      <c r="D7" s="5">
        <f>B7/C7</f>
        <v>8.3333333333333329E-2</v>
      </c>
      <c r="E7" s="15">
        <v>5</v>
      </c>
      <c r="F7" s="15">
        <v>24</v>
      </c>
      <c r="G7" s="15">
        <f t="shared" ref="G7:G11" si="0">E7/F7</f>
        <v>0.20833333333333334</v>
      </c>
      <c r="H7" s="28">
        <v>8</v>
      </c>
      <c r="I7" s="28">
        <v>24</v>
      </c>
      <c r="J7" s="28">
        <f t="shared" ref="J7:J11" si="1">H7/I7</f>
        <v>0.33333333333333331</v>
      </c>
      <c r="K7" s="24">
        <v>8</v>
      </c>
      <c r="L7" s="24">
        <v>24</v>
      </c>
      <c r="M7" s="24">
        <f t="shared" ref="M7:M11" si="2">K7/L7</f>
        <v>0.33333333333333331</v>
      </c>
      <c r="N7" s="4"/>
      <c r="O7" s="30"/>
      <c r="P7" s="5">
        <f>AVERAGE(J6:J15)</f>
        <v>0.34722222222222227</v>
      </c>
      <c r="Q7" s="5">
        <f>STDEV(J6:J15)/SQRT(6)</f>
        <v>4.6481112585226365E-2</v>
      </c>
    </row>
    <row r="8" spans="1:29">
      <c r="A8" s="5">
        <v>3</v>
      </c>
      <c r="B8" s="5">
        <v>5</v>
      </c>
      <c r="C8" s="5">
        <v>24</v>
      </c>
      <c r="D8" s="5">
        <f>B8/C8</f>
        <v>0.20833333333333334</v>
      </c>
      <c r="E8" s="15">
        <v>11</v>
      </c>
      <c r="F8" s="15">
        <v>24</v>
      </c>
      <c r="G8" s="15">
        <f t="shared" si="0"/>
        <v>0.45833333333333331</v>
      </c>
      <c r="H8" s="28">
        <v>6</v>
      </c>
      <c r="I8" s="28">
        <v>24</v>
      </c>
      <c r="J8" s="28">
        <f t="shared" si="1"/>
        <v>0.25</v>
      </c>
      <c r="K8" s="24">
        <v>6</v>
      </c>
      <c r="L8" s="24">
        <v>24</v>
      </c>
      <c r="M8" s="24">
        <f t="shared" si="2"/>
        <v>0.25</v>
      </c>
      <c r="N8" s="4"/>
      <c r="O8" s="24"/>
      <c r="P8" s="5">
        <f>AVERAGE(M6:M15)</f>
        <v>0.3611111111111111</v>
      </c>
      <c r="Q8" s="5">
        <f>STDEV(M6:M15)/SQRT(6)</f>
        <v>3.3448873829978631E-2</v>
      </c>
      <c r="T8" s="8" t="s">
        <v>1</v>
      </c>
      <c r="Y8" s="1" t="s">
        <v>13</v>
      </c>
    </row>
    <row r="9" spans="1:29">
      <c r="A9" s="5">
        <v>4</v>
      </c>
      <c r="B9" s="5">
        <v>7</v>
      </c>
      <c r="C9" s="5">
        <v>24</v>
      </c>
      <c r="D9" s="5">
        <f t="shared" ref="D9:D11" si="3">B9/C9</f>
        <v>0.29166666666666669</v>
      </c>
      <c r="E9" s="15">
        <v>10</v>
      </c>
      <c r="F9" s="15">
        <v>24</v>
      </c>
      <c r="G9" s="15">
        <f t="shared" si="0"/>
        <v>0.41666666666666669</v>
      </c>
      <c r="H9" s="28">
        <v>8</v>
      </c>
      <c r="I9" s="28">
        <v>24</v>
      </c>
      <c r="J9" s="28">
        <f t="shared" si="1"/>
        <v>0.33333333333333331</v>
      </c>
      <c r="K9" s="24">
        <v>9</v>
      </c>
      <c r="L9" s="24">
        <v>24</v>
      </c>
      <c r="M9" s="24">
        <f t="shared" si="2"/>
        <v>0.375</v>
      </c>
      <c r="N9" s="4"/>
      <c r="O9" s="4"/>
      <c r="P9" s="4"/>
      <c r="Q9" s="4"/>
      <c r="S9" s="11"/>
      <c r="T9" s="10">
        <v>10</v>
      </c>
      <c r="U9" s="10">
        <v>50</v>
      </c>
      <c r="V9" s="10">
        <v>100</v>
      </c>
      <c r="W9" s="49">
        <v>500</v>
      </c>
      <c r="X9" s="1"/>
      <c r="Y9" s="1">
        <v>10</v>
      </c>
      <c r="Z9" s="1">
        <v>50</v>
      </c>
      <c r="AA9" s="1">
        <v>100</v>
      </c>
      <c r="AB9" s="50">
        <v>500</v>
      </c>
    </row>
    <row r="10" spans="1:29">
      <c r="A10" s="5">
        <v>5</v>
      </c>
      <c r="B10" s="5">
        <v>5</v>
      </c>
      <c r="C10" s="5">
        <v>24</v>
      </c>
      <c r="D10" s="5">
        <f t="shared" si="3"/>
        <v>0.20833333333333334</v>
      </c>
      <c r="E10" s="15">
        <v>6</v>
      </c>
      <c r="F10" s="15">
        <v>24</v>
      </c>
      <c r="G10" s="15">
        <f t="shared" si="0"/>
        <v>0.25</v>
      </c>
      <c r="H10" s="28">
        <v>12</v>
      </c>
      <c r="I10" s="28">
        <v>24</v>
      </c>
      <c r="J10" s="28">
        <f t="shared" si="1"/>
        <v>0.5</v>
      </c>
      <c r="K10" s="24">
        <v>12</v>
      </c>
      <c r="L10" s="24">
        <v>24</v>
      </c>
      <c r="M10" s="24">
        <f t="shared" si="2"/>
        <v>0.5</v>
      </c>
      <c r="N10" s="4"/>
      <c r="O10" s="4"/>
      <c r="P10" s="4"/>
      <c r="Q10" s="4"/>
      <c r="S10" s="11" t="s">
        <v>20</v>
      </c>
      <c r="T10" s="11">
        <f>P5</f>
        <v>0.16666666666666666</v>
      </c>
      <c r="U10" s="11">
        <f>P19</f>
        <v>0.27777777777777779</v>
      </c>
      <c r="V10" s="11">
        <f>P33</f>
        <v>0.50694444444444442</v>
      </c>
      <c r="W10" s="51"/>
      <c r="X10" s="1"/>
      <c r="Y10" s="2">
        <f>Q5</f>
        <v>3.4020690871988606E-2</v>
      </c>
      <c r="Z10" s="2">
        <f>Q19</f>
        <v>3.51364184463153E-2</v>
      </c>
      <c r="AA10" s="2">
        <f>Q33</f>
        <v>6.2190592158994813E-2</v>
      </c>
      <c r="AB10" s="18"/>
      <c r="AC10" s="9"/>
    </row>
    <row r="11" spans="1:29">
      <c r="A11" s="5">
        <v>6</v>
      </c>
      <c r="B11" s="5">
        <v>2</v>
      </c>
      <c r="C11" s="5">
        <v>24</v>
      </c>
      <c r="D11" s="5">
        <f t="shared" si="3"/>
        <v>8.3333333333333329E-2</v>
      </c>
      <c r="E11" s="15">
        <v>4</v>
      </c>
      <c r="F11" s="15">
        <v>24</v>
      </c>
      <c r="G11" s="15">
        <f t="shared" si="0"/>
        <v>0.16666666666666666</v>
      </c>
      <c r="H11" s="28">
        <v>11</v>
      </c>
      <c r="I11" s="28">
        <v>24</v>
      </c>
      <c r="J11" s="28">
        <f t="shared" si="1"/>
        <v>0.45833333333333331</v>
      </c>
      <c r="K11" s="24">
        <v>9</v>
      </c>
      <c r="L11" s="24">
        <v>24</v>
      </c>
      <c r="M11" s="24">
        <f t="shared" si="2"/>
        <v>0.375</v>
      </c>
      <c r="N11" s="4"/>
      <c r="O11" s="4"/>
      <c r="P11" s="4"/>
      <c r="Q11" s="4"/>
      <c r="S11" s="54" t="s">
        <v>23</v>
      </c>
      <c r="T11" s="11">
        <f>P6</f>
        <v>0.30555555555555558</v>
      </c>
      <c r="U11" s="11">
        <f>P20</f>
        <v>0.45833333333333331</v>
      </c>
      <c r="V11" s="11">
        <f>P34</f>
        <v>0.56944444444444453</v>
      </c>
      <c r="W11" s="51"/>
      <c r="X11" s="59"/>
      <c r="Y11" s="2">
        <f t="shared" ref="Y11:Y13" si="4">Q6</f>
        <v>4.7709900103660177E-2</v>
      </c>
      <c r="Z11" s="2">
        <f t="shared" ref="Z11:Z13" si="5">Q20</f>
        <v>5.7935148929483912E-2</v>
      </c>
      <c r="AA11" s="2">
        <f t="shared" ref="AA11:AA13" si="6">Q34</f>
        <v>4.5218946100276956E-2</v>
      </c>
      <c r="AB11" s="18"/>
      <c r="AC11" s="9"/>
    </row>
    <row r="12" spans="1:29">
      <c r="A12" s="5">
        <v>7</v>
      </c>
      <c r="B12" s="5"/>
      <c r="C12" s="5"/>
      <c r="D12" s="5"/>
      <c r="E12" s="15"/>
      <c r="F12" s="15"/>
      <c r="G12" s="15"/>
      <c r="H12" s="28"/>
      <c r="I12" s="28"/>
      <c r="J12" s="28"/>
      <c r="K12" s="24"/>
      <c r="L12" s="24"/>
      <c r="M12" s="24"/>
      <c r="N12" s="4"/>
      <c r="O12" s="4"/>
      <c r="P12" s="4"/>
      <c r="Q12" s="4"/>
      <c r="S12" s="52" t="s">
        <v>18</v>
      </c>
      <c r="T12" s="11">
        <f>P7</f>
        <v>0.34722222222222227</v>
      </c>
      <c r="U12" s="11">
        <f>P21</f>
        <v>0.4861111111111111</v>
      </c>
      <c r="V12" s="11">
        <f>P35</f>
        <v>0.61111111111111116</v>
      </c>
      <c r="W12" s="51"/>
      <c r="X12" s="26"/>
      <c r="Y12" s="2">
        <f t="shared" si="4"/>
        <v>4.6481112585226365E-2</v>
      </c>
      <c r="Z12" s="2">
        <f t="shared" si="5"/>
        <v>3.5136418446315619E-2</v>
      </c>
      <c r="AA12" s="2">
        <f t="shared" si="6"/>
        <v>4.7709900103660094E-2</v>
      </c>
      <c r="AB12" s="18"/>
    </row>
    <row r="13" spans="1:29">
      <c r="A13" s="5">
        <v>8</v>
      </c>
      <c r="B13" s="5"/>
      <c r="C13" s="5"/>
      <c r="D13" s="5"/>
      <c r="E13" s="15"/>
      <c r="F13" s="15"/>
      <c r="G13" s="15"/>
      <c r="H13" s="28"/>
      <c r="I13" s="28"/>
      <c r="J13" s="28"/>
      <c r="K13" s="24"/>
      <c r="L13" s="24"/>
      <c r="M13" s="24"/>
      <c r="N13" s="4"/>
      <c r="O13" s="4"/>
      <c r="P13" s="4"/>
      <c r="Q13" s="4"/>
      <c r="S13" s="53" t="s">
        <v>29</v>
      </c>
      <c r="T13" s="11">
        <f>P8</f>
        <v>0.3611111111111111</v>
      </c>
      <c r="U13" s="11">
        <f>P22</f>
        <v>0.49305555555555552</v>
      </c>
      <c r="V13" s="11">
        <f>P36</f>
        <v>0.58333333333333337</v>
      </c>
      <c r="W13" s="51"/>
      <c r="X13" s="22"/>
      <c r="Y13" s="2">
        <f t="shared" si="4"/>
        <v>3.3448873829978631E-2</v>
      </c>
      <c r="Z13" s="2">
        <f t="shared" si="5"/>
        <v>3.6350700911951327E-2</v>
      </c>
      <c r="AA13" s="2">
        <f t="shared" si="6"/>
        <v>4.3033148291193278E-2</v>
      </c>
      <c r="AB13" s="18"/>
    </row>
    <row r="14" spans="1:29">
      <c r="A14" s="5">
        <v>9</v>
      </c>
      <c r="B14" s="5"/>
      <c r="C14" s="5"/>
      <c r="D14" s="5"/>
      <c r="E14" s="15"/>
      <c r="F14" s="15"/>
      <c r="G14" s="15"/>
      <c r="H14" s="28"/>
      <c r="I14" s="28"/>
      <c r="J14" s="28"/>
      <c r="K14" s="24"/>
      <c r="L14" s="24"/>
      <c r="M14" s="24"/>
      <c r="N14" s="4"/>
      <c r="O14" s="4"/>
      <c r="P14" s="4"/>
      <c r="Q14" s="4"/>
      <c r="S14" s="55" t="s">
        <v>25</v>
      </c>
      <c r="T14" s="11">
        <f>P61</f>
        <v>0.1111111111111111</v>
      </c>
      <c r="U14" s="11">
        <f>P75</f>
        <v>0.15972222222222221</v>
      </c>
      <c r="V14" s="11">
        <f>P89</f>
        <v>0.25694444444444442</v>
      </c>
      <c r="W14" s="51"/>
      <c r="X14" s="60"/>
      <c r="Y14" s="2">
        <f>Q61</f>
        <v>2.560984571470247E-2</v>
      </c>
      <c r="Z14" s="2">
        <f>Q75</f>
        <v>2.2609473050138496E-2</v>
      </c>
      <c r="AA14" s="2">
        <f>Q89</f>
        <v>4.3589874517986758E-2</v>
      </c>
      <c r="AB14" s="18"/>
    </row>
    <row r="15" spans="1:29">
      <c r="A15" s="5">
        <v>10</v>
      </c>
      <c r="B15" s="5"/>
      <c r="C15" s="5"/>
      <c r="D15" s="5"/>
      <c r="E15" s="15"/>
      <c r="F15" s="15"/>
      <c r="G15" s="15"/>
      <c r="H15" s="28"/>
      <c r="I15" s="28"/>
      <c r="J15" s="28"/>
      <c r="K15" s="24"/>
      <c r="L15" s="24"/>
      <c r="M15" s="24"/>
      <c r="N15" s="4"/>
      <c r="O15" s="4"/>
      <c r="P15" s="4"/>
      <c r="Q15" s="4"/>
      <c r="S15" s="56" t="s">
        <v>26</v>
      </c>
      <c r="T15" s="11">
        <f>P62</f>
        <v>0.28472222222222227</v>
      </c>
      <c r="U15" s="11">
        <f>P76</f>
        <v>0.41666666666666674</v>
      </c>
      <c r="V15" s="11">
        <f>P90</f>
        <v>0.54166666666666674</v>
      </c>
      <c r="W15" s="51"/>
      <c r="X15" s="61"/>
      <c r="Y15" s="2">
        <f t="shared" ref="Y15:Y17" si="7">Q62</f>
        <v>3.9406280441975299E-2</v>
      </c>
      <c r="Z15" s="2">
        <f t="shared" ref="Z15:Z17" si="8">Q76</f>
        <v>5.0460839234958109E-2</v>
      </c>
      <c r="AA15" s="2">
        <f t="shared" ref="AA15:AA16" si="9">Q90</f>
        <v>5.4856715717031782E-2</v>
      </c>
      <c r="AB15" s="18"/>
    </row>
    <row r="16" spans="1:29">
      <c r="A16" s="4"/>
      <c r="B16" s="4"/>
      <c r="C16" s="4"/>
      <c r="D16" s="4"/>
      <c r="E16" s="16"/>
      <c r="F16" s="16"/>
      <c r="G16" s="16"/>
      <c r="H16" s="29"/>
      <c r="I16" s="29"/>
      <c r="J16" s="29"/>
      <c r="K16" s="25"/>
      <c r="L16" s="25"/>
      <c r="M16" s="25"/>
      <c r="N16" s="4"/>
      <c r="O16" s="4"/>
      <c r="P16" s="4"/>
      <c r="Q16" s="4"/>
      <c r="S16" s="57" t="s">
        <v>30</v>
      </c>
      <c r="T16" s="11">
        <f>P63</f>
        <v>0.3263888888888889</v>
      </c>
      <c r="U16" s="11">
        <f>P77</f>
        <v>0.45833333333333331</v>
      </c>
      <c r="V16" s="11">
        <f>P91</f>
        <v>0.59027777777777779</v>
      </c>
      <c r="W16" s="51"/>
      <c r="X16" s="62"/>
      <c r="Y16" s="2">
        <f t="shared" si="7"/>
        <v>4.3589874517986744E-2</v>
      </c>
      <c r="Z16" s="2">
        <f t="shared" si="8"/>
        <v>3.7267799624996538E-2</v>
      </c>
      <c r="AA16" s="2">
        <f t="shared" si="9"/>
        <v>4.9787356469263862E-2</v>
      </c>
      <c r="AB16" s="18"/>
    </row>
    <row r="17" spans="1:28">
      <c r="B17" s="1" t="s">
        <v>20</v>
      </c>
      <c r="C17" s="8"/>
      <c r="D17" s="8"/>
      <c r="E17" s="59" t="s">
        <v>23</v>
      </c>
      <c r="F17" s="14"/>
      <c r="G17" s="14"/>
      <c r="H17" s="26" t="s">
        <v>18</v>
      </c>
      <c r="I17" s="27"/>
      <c r="J17" s="27"/>
      <c r="K17" s="22" t="s">
        <v>29</v>
      </c>
      <c r="L17" s="23"/>
      <c r="M17" s="23"/>
      <c r="N17" s="4"/>
      <c r="O17" s="8" t="s">
        <v>21</v>
      </c>
      <c r="P17" s="4"/>
      <c r="Q17" s="4"/>
      <c r="S17" s="58" t="s">
        <v>31</v>
      </c>
      <c r="T17" s="11">
        <f>P64</f>
        <v>0.31944444444444448</v>
      </c>
      <c r="U17" s="11">
        <f>P78</f>
        <v>0.45138888888888884</v>
      </c>
      <c r="V17" s="11">
        <f>P92</f>
        <v>0.57638888888888895</v>
      </c>
      <c r="W17" s="51"/>
      <c r="X17" s="65"/>
      <c r="Y17" s="2">
        <f t="shared" si="7"/>
        <v>3.8289024311361691E-2</v>
      </c>
      <c r="Z17" s="2">
        <f t="shared" si="8"/>
        <v>4.7405689349655715E-2</v>
      </c>
      <c r="AA17" s="2">
        <f>Q92</f>
        <v>4.7405689349655715E-2</v>
      </c>
      <c r="AB17" s="18"/>
    </row>
    <row r="18" spans="1:28">
      <c r="A18" s="4"/>
      <c r="B18" s="73" t="s">
        <v>21</v>
      </c>
      <c r="C18" s="74"/>
      <c r="D18" s="75"/>
      <c r="E18" s="89" t="s">
        <v>7</v>
      </c>
      <c r="F18" s="90"/>
      <c r="G18" s="91"/>
      <c r="H18" s="92" t="s">
        <v>21</v>
      </c>
      <c r="I18" s="93"/>
      <c r="J18" s="94"/>
      <c r="K18" s="95" t="s">
        <v>21</v>
      </c>
      <c r="L18" s="96"/>
      <c r="M18" s="97"/>
      <c r="N18" s="4"/>
      <c r="O18" s="4"/>
      <c r="P18" s="5" t="s">
        <v>10</v>
      </c>
      <c r="Q18" s="6" t="s">
        <v>2</v>
      </c>
    </row>
    <row r="19" spans="1:28">
      <c r="A19" s="7" t="s">
        <v>11</v>
      </c>
      <c r="B19" s="5" t="s">
        <v>4</v>
      </c>
      <c r="C19" s="5" t="s">
        <v>5</v>
      </c>
      <c r="D19" s="5" t="s">
        <v>6</v>
      </c>
      <c r="E19" s="15" t="s">
        <v>4</v>
      </c>
      <c r="F19" s="15" t="s">
        <v>5</v>
      </c>
      <c r="G19" s="15" t="s">
        <v>12</v>
      </c>
      <c r="H19" s="28" t="s">
        <v>4</v>
      </c>
      <c r="I19" s="28" t="s">
        <v>5</v>
      </c>
      <c r="J19" s="28" t="s">
        <v>12</v>
      </c>
      <c r="K19" s="24" t="s">
        <v>4</v>
      </c>
      <c r="L19" s="24" t="s">
        <v>5</v>
      </c>
      <c r="M19" s="24" t="s">
        <v>12</v>
      </c>
      <c r="N19" s="4"/>
      <c r="O19" s="12"/>
      <c r="P19" s="5">
        <f>AVERAGE(D20:D29)</f>
        <v>0.27777777777777779</v>
      </c>
      <c r="Q19" s="5">
        <f>STDEV(D20:D29)/SQRT(6)</f>
        <v>3.51364184463153E-2</v>
      </c>
    </row>
    <row r="20" spans="1:28">
      <c r="A20" s="5">
        <v>1</v>
      </c>
      <c r="B20" s="5">
        <v>5</v>
      </c>
      <c r="C20" s="5">
        <v>24</v>
      </c>
      <c r="D20" s="5">
        <f>B20/C20</f>
        <v>0.20833333333333334</v>
      </c>
      <c r="E20" s="15">
        <v>11</v>
      </c>
      <c r="F20" s="15">
        <v>24</v>
      </c>
      <c r="G20" s="15">
        <f>E20/F20</f>
        <v>0.45833333333333331</v>
      </c>
      <c r="H20" s="28">
        <v>9</v>
      </c>
      <c r="I20" s="28">
        <v>24</v>
      </c>
      <c r="J20" s="28">
        <f>H20/I20</f>
        <v>0.375</v>
      </c>
      <c r="K20" s="24">
        <v>9</v>
      </c>
      <c r="L20" s="24">
        <v>24</v>
      </c>
      <c r="M20" s="24">
        <f>K20/L20</f>
        <v>0.375</v>
      </c>
      <c r="N20" s="4"/>
      <c r="O20" s="17"/>
      <c r="P20" s="5">
        <f>AVERAGE(G20:G29)</f>
        <v>0.45833333333333331</v>
      </c>
      <c r="Q20" s="5">
        <f>STDEV(G20:G29)/SQRT(6)</f>
        <v>5.7935148929483912E-2</v>
      </c>
    </row>
    <row r="21" spans="1:28">
      <c r="A21" s="5">
        <v>2</v>
      </c>
      <c r="B21" s="5">
        <v>7</v>
      </c>
      <c r="C21" s="5">
        <v>24</v>
      </c>
      <c r="D21" s="5">
        <f t="shared" ref="D21:D25" si="10">B21/C21</f>
        <v>0.29166666666666669</v>
      </c>
      <c r="E21" s="15">
        <v>7</v>
      </c>
      <c r="F21" s="15">
        <v>24</v>
      </c>
      <c r="G21" s="15">
        <f t="shared" ref="G21:G25" si="11">E21/F21</f>
        <v>0.29166666666666669</v>
      </c>
      <c r="H21" s="28">
        <v>11</v>
      </c>
      <c r="I21" s="28">
        <v>24</v>
      </c>
      <c r="J21" s="28">
        <f t="shared" ref="J21:J25" si="12">H21/I21</f>
        <v>0.45833333333333331</v>
      </c>
      <c r="K21" s="24">
        <v>14</v>
      </c>
      <c r="L21" s="24">
        <v>24</v>
      </c>
      <c r="M21" s="24">
        <f t="shared" ref="M21:M25" si="13">K21/L21</f>
        <v>0.58333333333333337</v>
      </c>
      <c r="N21" s="4"/>
      <c r="O21" s="30"/>
      <c r="P21" s="5">
        <f>AVERAGE(J20:J29)</f>
        <v>0.4861111111111111</v>
      </c>
      <c r="Q21" s="5">
        <f>STDEV(J20:J29)/SQRT(6)</f>
        <v>3.5136418446315619E-2</v>
      </c>
    </row>
    <row r="22" spans="1:28">
      <c r="A22" s="5">
        <v>3</v>
      </c>
      <c r="B22" s="5">
        <v>9</v>
      </c>
      <c r="C22" s="5">
        <v>24</v>
      </c>
      <c r="D22" s="5">
        <f t="shared" si="10"/>
        <v>0.375</v>
      </c>
      <c r="E22" s="15">
        <v>14</v>
      </c>
      <c r="F22" s="15">
        <v>24</v>
      </c>
      <c r="G22" s="15">
        <f t="shared" si="11"/>
        <v>0.58333333333333337</v>
      </c>
      <c r="H22" s="28">
        <v>14</v>
      </c>
      <c r="I22" s="28">
        <v>24</v>
      </c>
      <c r="J22" s="28">
        <f t="shared" si="12"/>
        <v>0.58333333333333337</v>
      </c>
      <c r="K22" s="24">
        <v>13</v>
      </c>
      <c r="L22" s="24">
        <v>24</v>
      </c>
      <c r="M22" s="24">
        <f t="shared" si="13"/>
        <v>0.54166666666666663</v>
      </c>
      <c r="N22" s="4"/>
      <c r="O22" s="24"/>
      <c r="P22" s="5">
        <f>AVERAGE(M20:M29)</f>
        <v>0.49305555555555552</v>
      </c>
      <c r="Q22" s="5">
        <f>STDEV(M20:M29)/SQRT(6)</f>
        <v>3.6350700911951327E-2</v>
      </c>
    </row>
    <row r="23" spans="1:28">
      <c r="A23" s="5">
        <v>4</v>
      </c>
      <c r="B23" s="5">
        <v>9</v>
      </c>
      <c r="C23" s="5">
        <v>24</v>
      </c>
      <c r="D23" s="5">
        <f t="shared" si="10"/>
        <v>0.375</v>
      </c>
      <c r="E23" s="15">
        <v>16</v>
      </c>
      <c r="F23" s="15">
        <v>24</v>
      </c>
      <c r="G23" s="15">
        <f t="shared" si="11"/>
        <v>0.66666666666666663</v>
      </c>
      <c r="H23" s="28">
        <v>10</v>
      </c>
      <c r="I23" s="28">
        <v>24</v>
      </c>
      <c r="J23" s="28">
        <f t="shared" si="12"/>
        <v>0.41666666666666669</v>
      </c>
      <c r="K23" s="24">
        <v>11</v>
      </c>
      <c r="L23" s="24">
        <v>24</v>
      </c>
      <c r="M23" s="24">
        <f t="shared" si="13"/>
        <v>0.45833333333333331</v>
      </c>
      <c r="N23" s="4"/>
      <c r="O23" s="4"/>
      <c r="P23" s="4"/>
      <c r="Q23" s="4"/>
    </row>
    <row r="24" spans="1:28">
      <c r="A24" s="5">
        <v>5</v>
      </c>
      <c r="B24" s="5">
        <v>6</v>
      </c>
      <c r="C24" s="5">
        <v>24</v>
      </c>
      <c r="D24" s="5">
        <f t="shared" si="10"/>
        <v>0.25</v>
      </c>
      <c r="E24" s="15">
        <v>9</v>
      </c>
      <c r="F24" s="15">
        <v>24</v>
      </c>
      <c r="G24" s="15">
        <f t="shared" si="11"/>
        <v>0.375</v>
      </c>
      <c r="H24" s="28">
        <v>14</v>
      </c>
      <c r="I24" s="28">
        <v>24</v>
      </c>
      <c r="J24" s="28">
        <f t="shared" si="12"/>
        <v>0.58333333333333337</v>
      </c>
      <c r="K24" s="24">
        <v>14</v>
      </c>
      <c r="L24" s="24">
        <v>24</v>
      </c>
      <c r="M24" s="24">
        <f t="shared" si="13"/>
        <v>0.58333333333333337</v>
      </c>
      <c r="N24" s="4"/>
      <c r="O24" s="4"/>
      <c r="P24" s="4"/>
      <c r="Q24" s="4"/>
    </row>
    <row r="25" spans="1:28">
      <c r="A25" s="5">
        <v>6</v>
      </c>
      <c r="B25" s="5">
        <v>4</v>
      </c>
      <c r="C25" s="5">
        <v>24</v>
      </c>
      <c r="D25" s="5">
        <f t="shared" si="10"/>
        <v>0.16666666666666666</v>
      </c>
      <c r="E25" s="15">
        <v>9</v>
      </c>
      <c r="F25" s="15">
        <v>24</v>
      </c>
      <c r="G25" s="15">
        <f t="shared" si="11"/>
        <v>0.375</v>
      </c>
      <c r="H25" s="28">
        <v>12</v>
      </c>
      <c r="I25" s="28">
        <v>24</v>
      </c>
      <c r="J25" s="28">
        <f t="shared" si="12"/>
        <v>0.5</v>
      </c>
      <c r="K25" s="24">
        <v>10</v>
      </c>
      <c r="L25" s="24">
        <v>24</v>
      </c>
      <c r="M25" s="24">
        <f t="shared" si="13"/>
        <v>0.41666666666666669</v>
      </c>
      <c r="N25" s="4"/>
      <c r="O25" s="4"/>
      <c r="P25" s="4"/>
      <c r="Q25" s="4"/>
    </row>
    <row r="26" spans="1:28">
      <c r="A26" s="5">
        <v>7</v>
      </c>
      <c r="B26" s="5"/>
      <c r="C26" s="5"/>
      <c r="D26" s="5"/>
      <c r="E26" s="15"/>
      <c r="F26" s="15"/>
      <c r="G26" s="15"/>
      <c r="H26" s="28"/>
      <c r="I26" s="28"/>
      <c r="J26" s="28"/>
      <c r="K26" s="24"/>
      <c r="L26" s="24"/>
      <c r="M26" s="24"/>
      <c r="N26" s="4"/>
      <c r="O26" s="4"/>
      <c r="P26" s="4"/>
      <c r="Q26" s="4"/>
    </row>
    <row r="27" spans="1:28">
      <c r="A27" s="5">
        <v>8</v>
      </c>
      <c r="B27" s="5"/>
      <c r="C27" s="5"/>
      <c r="D27" s="5"/>
      <c r="E27" s="15"/>
      <c r="F27" s="15"/>
      <c r="G27" s="15"/>
      <c r="H27" s="28"/>
      <c r="I27" s="28"/>
      <c r="J27" s="28"/>
      <c r="K27" s="24"/>
      <c r="L27" s="24"/>
      <c r="M27" s="24"/>
      <c r="N27" s="4"/>
      <c r="O27" s="4"/>
      <c r="P27" s="4"/>
      <c r="Q27" s="4"/>
    </row>
    <row r="28" spans="1:28">
      <c r="A28" s="5">
        <v>9</v>
      </c>
      <c r="B28" s="5"/>
      <c r="C28" s="5"/>
      <c r="D28" s="5"/>
      <c r="E28" s="15"/>
      <c r="F28" s="15"/>
      <c r="G28" s="15"/>
      <c r="H28" s="28"/>
      <c r="I28" s="28"/>
      <c r="J28" s="28"/>
      <c r="K28" s="24"/>
      <c r="L28" s="24"/>
      <c r="M28" s="24"/>
      <c r="N28" s="4"/>
      <c r="O28" s="4"/>
      <c r="P28" s="4"/>
      <c r="Q28" s="4"/>
    </row>
    <row r="29" spans="1:28">
      <c r="A29" s="5">
        <v>10</v>
      </c>
      <c r="B29" s="5"/>
      <c r="C29" s="5"/>
      <c r="D29" s="5"/>
      <c r="E29" s="15"/>
      <c r="F29" s="15"/>
      <c r="G29" s="15"/>
      <c r="H29" s="28"/>
      <c r="I29" s="28"/>
      <c r="J29" s="28"/>
      <c r="K29" s="24"/>
      <c r="L29" s="24"/>
      <c r="M29" s="24"/>
      <c r="N29" s="4"/>
      <c r="O29" s="4"/>
      <c r="P29" s="4"/>
      <c r="Q29" s="4"/>
    </row>
    <row r="30" spans="1:28">
      <c r="A30" s="4"/>
      <c r="B30" s="4"/>
      <c r="C30" s="4"/>
      <c r="D30" s="4"/>
      <c r="E30" s="16"/>
      <c r="F30" s="16"/>
      <c r="G30" s="16"/>
      <c r="H30" s="29"/>
      <c r="I30" s="29"/>
      <c r="J30" s="29"/>
      <c r="K30" s="25"/>
      <c r="L30" s="25"/>
      <c r="M30" s="25"/>
      <c r="N30" s="4"/>
      <c r="O30" s="4"/>
      <c r="P30" s="4"/>
      <c r="Q30" s="4"/>
    </row>
    <row r="31" spans="1:28">
      <c r="A31" s="66"/>
      <c r="B31" s="1" t="s">
        <v>20</v>
      </c>
      <c r="C31" s="8"/>
      <c r="D31" s="8"/>
      <c r="E31" s="59" t="s">
        <v>23</v>
      </c>
      <c r="F31" s="14"/>
      <c r="G31" s="14"/>
      <c r="H31" s="26" t="s">
        <v>18</v>
      </c>
      <c r="I31" s="27"/>
      <c r="J31" s="27"/>
      <c r="K31" s="22" t="s">
        <v>29</v>
      </c>
      <c r="L31" s="23"/>
      <c r="M31" s="23"/>
      <c r="N31" s="4"/>
      <c r="O31" s="8" t="s">
        <v>22</v>
      </c>
      <c r="P31" s="4"/>
      <c r="Q31" s="4"/>
    </row>
    <row r="32" spans="1:28">
      <c r="A32" s="4"/>
      <c r="B32" s="73" t="s">
        <v>22</v>
      </c>
      <c r="C32" s="74"/>
      <c r="D32" s="75"/>
      <c r="E32" s="89" t="s">
        <v>22</v>
      </c>
      <c r="F32" s="90"/>
      <c r="G32" s="91"/>
      <c r="H32" s="92" t="s">
        <v>8</v>
      </c>
      <c r="I32" s="93"/>
      <c r="J32" s="94"/>
      <c r="K32" s="95" t="s">
        <v>8</v>
      </c>
      <c r="L32" s="96"/>
      <c r="M32" s="97"/>
      <c r="N32" s="4"/>
      <c r="O32" s="4"/>
      <c r="P32" s="5" t="s">
        <v>1</v>
      </c>
      <c r="Q32" s="6" t="s">
        <v>2</v>
      </c>
    </row>
    <row r="33" spans="1:20">
      <c r="A33" s="7" t="s">
        <v>3</v>
      </c>
      <c r="B33" s="5" t="s">
        <v>4</v>
      </c>
      <c r="C33" s="5" t="s">
        <v>5</v>
      </c>
      <c r="D33" s="5" t="s">
        <v>6</v>
      </c>
      <c r="E33" s="15" t="s">
        <v>4</v>
      </c>
      <c r="F33" s="15" t="s">
        <v>5</v>
      </c>
      <c r="G33" s="15" t="s">
        <v>6</v>
      </c>
      <c r="H33" s="28" t="s">
        <v>4</v>
      </c>
      <c r="I33" s="28" t="s">
        <v>5</v>
      </c>
      <c r="J33" s="28" t="s">
        <v>6</v>
      </c>
      <c r="K33" s="24" t="s">
        <v>4</v>
      </c>
      <c r="L33" s="24" t="s">
        <v>5</v>
      </c>
      <c r="M33" s="24" t="s">
        <v>6</v>
      </c>
      <c r="N33" s="4"/>
      <c r="O33" s="12"/>
      <c r="P33" s="5">
        <f>AVERAGE(D34:D43)</f>
        <v>0.50694444444444442</v>
      </c>
      <c r="Q33" s="5">
        <f>STDEV(D34:D43)/SQRT(6)</f>
        <v>6.2190592158994813E-2</v>
      </c>
    </row>
    <row r="34" spans="1:20">
      <c r="A34" s="5">
        <v>1</v>
      </c>
      <c r="B34" s="5">
        <v>11</v>
      </c>
      <c r="C34" s="5">
        <v>24</v>
      </c>
      <c r="D34" s="5">
        <f>B34/C34</f>
        <v>0.45833333333333331</v>
      </c>
      <c r="E34" s="15">
        <v>13</v>
      </c>
      <c r="F34" s="15">
        <v>24</v>
      </c>
      <c r="G34" s="15">
        <f>E34/F34</f>
        <v>0.54166666666666663</v>
      </c>
      <c r="H34" s="28">
        <v>11</v>
      </c>
      <c r="I34" s="28">
        <v>24</v>
      </c>
      <c r="J34" s="28">
        <f>H34/I34</f>
        <v>0.45833333333333331</v>
      </c>
      <c r="K34" s="24">
        <v>11</v>
      </c>
      <c r="L34" s="24">
        <v>24</v>
      </c>
      <c r="M34" s="24">
        <f>K34/L34</f>
        <v>0.45833333333333331</v>
      </c>
      <c r="N34" s="4"/>
      <c r="O34" s="17"/>
      <c r="P34" s="5">
        <f>AVERAGE(G34:G43)</f>
        <v>0.56944444444444453</v>
      </c>
      <c r="Q34" s="5">
        <f>STDEV(G34:G43)/SQRT(6)</f>
        <v>4.5218946100276956E-2</v>
      </c>
      <c r="T34" s="2" t="s">
        <v>15</v>
      </c>
    </row>
    <row r="35" spans="1:20">
      <c r="A35" s="5">
        <v>2</v>
      </c>
      <c r="B35" s="5">
        <v>8</v>
      </c>
      <c r="C35" s="5">
        <v>24</v>
      </c>
      <c r="D35" s="5">
        <f t="shared" ref="D35:D39" si="14">B35/C35</f>
        <v>0.33333333333333331</v>
      </c>
      <c r="E35" s="15">
        <v>12</v>
      </c>
      <c r="F35" s="15">
        <v>24</v>
      </c>
      <c r="G35" s="15">
        <f t="shared" ref="G35:G39" si="15">E35/F35</f>
        <v>0.5</v>
      </c>
      <c r="H35" s="28">
        <v>17</v>
      </c>
      <c r="I35" s="28">
        <v>24</v>
      </c>
      <c r="J35" s="28">
        <f t="shared" ref="J35:J39" si="16">H35/I35</f>
        <v>0.70833333333333337</v>
      </c>
      <c r="K35" s="24">
        <v>17</v>
      </c>
      <c r="L35" s="24">
        <v>24</v>
      </c>
      <c r="M35" s="24">
        <f t="shared" ref="M35:M39" si="17">K35/L35</f>
        <v>0.70833333333333337</v>
      </c>
      <c r="N35" s="4"/>
      <c r="O35" s="30"/>
      <c r="P35" s="5">
        <f>AVERAGE(J34:J43)</f>
        <v>0.61111111111111116</v>
      </c>
      <c r="Q35" s="5">
        <f>STDEV(J34:J43)/SQRT(6)</f>
        <v>4.7709900103660094E-2</v>
      </c>
    </row>
    <row r="36" spans="1:20">
      <c r="A36" s="5">
        <v>3</v>
      </c>
      <c r="B36" s="5">
        <v>17</v>
      </c>
      <c r="C36" s="5">
        <v>24</v>
      </c>
      <c r="D36" s="5">
        <f t="shared" si="14"/>
        <v>0.70833333333333337</v>
      </c>
      <c r="E36" s="15">
        <v>17</v>
      </c>
      <c r="F36" s="15">
        <v>24</v>
      </c>
      <c r="G36" s="15">
        <f t="shared" si="15"/>
        <v>0.70833333333333337</v>
      </c>
      <c r="H36" s="28">
        <v>16</v>
      </c>
      <c r="I36" s="28">
        <v>24</v>
      </c>
      <c r="J36" s="28">
        <f t="shared" si="16"/>
        <v>0.66666666666666663</v>
      </c>
      <c r="K36" s="24">
        <v>16</v>
      </c>
      <c r="L36" s="24">
        <v>24</v>
      </c>
      <c r="M36" s="24">
        <f t="shared" si="17"/>
        <v>0.66666666666666663</v>
      </c>
      <c r="N36" s="4"/>
      <c r="O36" s="24"/>
      <c r="P36" s="5">
        <f>AVERAGE(M34:M43)</f>
        <v>0.58333333333333337</v>
      </c>
      <c r="Q36" s="5">
        <f>STDEV(M34:M43)/SQRT(6)</f>
        <v>4.3033148291193278E-2</v>
      </c>
    </row>
    <row r="37" spans="1:20">
      <c r="A37" s="5">
        <v>4</v>
      </c>
      <c r="B37" s="5">
        <v>16</v>
      </c>
      <c r="C37" s="5">
        <v>24</v>
      </c>
      <c r="D37" s="5">
        <f t="shared" si="14"/>
        <v>0.66666666666666663</v>
      </c>
      <c r="E37" s="15">
        <v>17</v>
      </c>
      <c r="F37" s="15">
        <v>24</v>
      </c>
      <c r="G37" s="15">
        <f t="shared" si="15"/>
        <v>0.70833333333333337</v>
      </c>
      <c r="H37" s="28">
        <v>12</v>
      </c>
      <c r="I37" s="28">
        <v>24</v>
      </c>
      <c r="J37" s="28">
        <f t="shared" si="16"/>
        <v>0.5</v>
      </c>
      <c r="K37" s="24">
        <v>14</v>
      </c>
      <c r="L37" s="24">
        <v>24</v>
      </c>
      <c r="M37" s="24">
        <f t="shared" si="17"/>
        <v>0.58333333333333337</v>
      </c>
      <c r="N37" s="4"/>
      <c r="O37" s="4"/>
      <c r="P37" s="4"/>
      <c r="Q37" s="4"/>
    </row>
    <row r="38" spans="1:20">
      <c r="A38" s="5">
        <v>5</v>
      </c>
      <c r="B38" s="5">
        <v>12</v>
      </c>
      <c r="C38" s="5">
        <v>24</v>
      </c>
      <c r="D38" s="5">
        <f t="shared" si="14"/>
        <v>0.5</v>
      </c>
      <c r="E38" s="15">
        <v>11</v>
      </c>
      <c r="F38" s="15">
        <v>24</v>
      </c>
      <c r="G38" s="15">
        <f t="shared" si="15"/>
        <v>0.45833333333333331</v>
      </c>
      <c r="H38" s="28">
        <v>18</v>
      </c>
      <c r="I38" s="28">
        <v>24</v>
      </c>
      <c r="J38" s="28">
        <f t="shared" si="16"/>
        <v>0.75</v>
      </c>
      <c r="K38" s="24">
        <v>15</v>
      </c>
      <c r="L38" s="24">
        <v>24</v>
      </c>
      <c r="M38" s="24">
        <f t="shared" si="17"/>
        <v>0.625</v>
      </c>
      <c r="N38" s="4"/>
      <c r="O38" s="4"/>
      <c r="P38" s="4"/>
      <c r="Q38" s="4"/>
    </row>
    <row r="39" spans="1:20">
      <c r="A39" s="5">
        <v>6</v>
      </c>
      <c r="B39" s="5">
        <v>9</v>
      </c>
      <c r="C39" s="5">
        <v>24</v>
      </c>
      <c r="D39" s="5">
        <f t="shared" si="14"/>
        <v>0.375</v>
      </c>
      <c r="E39" s="15">
        <v>12</v>
      </c>
      <c r="F39" s="15">
        <v>24</v>
      </c>
      <c r="G39" s="15">
        <f t="shared" si="15"/>
        <v>0.5</v>
      </c>
      <c r="H39" s="28">
        <v>14</v>
      </c>
      <c r="I39" s="28">
        <v>24</v>
      </c>
      <c r="J39" s="28">
        <f t="shared" si="16"/>
        <v>0.58333333333333337</v>
      </c>
      <c r="K39" s="24">
        <v>11</v>
      </c>
      <c r="L39" s="24">
        <v>24</v>
      </c>
      <c r="M39" s="24">
        <f t="shared" si="17"/>
        <v>0.45833333333333331</v>
      </c>
      <c r="N39" s="4"/>
      <c r="O39" s="4"/>
      <c r="P39" s="4"/>
      <c r="Q39" s="4"/>
    </row>
    <row r="40" spans="1:20">
      <c r="A40" s="5">
        <v>7</v>
      </c>
      <c r="B40" s="5"/>
      <c r="C40" s="5"/>
      <c r="D40" s="5"/>
      <c r="E40" s="15"/>
      <c r="F40" s="15"/>
      <c r="G40" s="15"/>
      <c r="H40" s="28"/>
      <c r="I40" s="28"/>
      <c r="J40" s="28"/>
      <c r="K40" s="24"/>
      <c r="L40" s="24"/>
      <c r="M40" s="24"/>
      <c r="N40" s="4"/>
      <c r="O40" s="4"/>
      <c r="P40" s="4"/>
      <c r="Q40" s="4"/>
    </row>
    <row r="41" spans="1:20">
      <c r="A41" s="5">
        <v>8</v>
      </c>
      <c r="B41" s="5"/>
      <c r="C41" s="5"/>
      <c r="D41" s="5"/>
      <c r="E41" s="15"/>
      <c r="F41" s="15"/>
      <c r="G41" s="15"/>
      <c r="H41" s="28"/>
      <c r="I41" s="28"/>
      <c r="J41" s="28"/>
      <c r="K41" s="24"/>
      <c r="L41" s="24"/>
      <c r="M41" s="24"/>
      <c r="N41" s="4"/>
      <c r="O41" s="4"/>
      <c r="P41" s="4"/>
      <c r="Q41" s="4"/>
    </row>
    <row r="42" spans="1:20">
      <c r="A42" s="5">
        <v>9</v>
      </c>
      <c r="B42" s="5"/>
      <c r="C42" s="5"/>
      <c r="D42" s="5"/>
      <c r="E42" s="15"/>
      <c r="F42" s="15"/>
      <c r="G42" s="15"/>
      <c r="H42" s="28"/>
      <c r="I42" s="28"/>
      <c r="J42" s="28"/>
      <c r="K42" s="24"/>
      <c r="L42" s="24"/>
      <c r="M42" s="24"/>
      <c r="N42" s="4"/>
      <c r="O42" s="4"/>
      <c r="P42" s="4"/>
      <c r="Q42" s="4"/>
    </row>
    <row r="43" spans="1:20">
      <c r="A43" s="5">
        <v>10</v>
      </c>
      <c r="B43" s="5"/>
      <c r="C43" s="5"/>
      <c r="D43" s="5"/>
      <c r="E43" s="15"/>
      <c r="F43" s="15"/>
      <c r="G43" s="15"/>
      <c r="H43" s="28"/>
      <c r="I43" s="28"/>
      <c r="J43" s="28"/>
      <c r="K43" s="24"/>
      <c r="L43" s="24"/>
      <c r="M43" s="24"/>
      <c r="N43" s="4"/>
      <c r="O43" s="4"/>
      <c r="P43" s="4"/>
      <c r="Q43" s="4"/>
    </row>
    <row r="44" spans="1:20">
      <c r="E44" s="33"/>
      <c r="F44" s="33"/>
      <c r="G44" s="33"/>
      <c r="H44" s="34"/>
      <c r="I44" s="34"/>
      <c r="J44" s="34"/>
      <c r="K44" s="32"/>
      <c r="L44" s="32"/>
      <c r="M44" s="32"/>
    </row>
    <row r="45" spans="1:20">
      <c r="A45" s="67"/>
      <c r="B45" s="50" t="s">
        <v>20</v>
      </c>
      <c r="C45" s="31"/>
      <c r="D45" s="31"/>
      <c r="E45" s="68" t="s">
        <v>23</v>
      </c>
      <c r="F45" s="31"/>
      <c r="G45" s="31"/>
      <c r="H45" s="50" t="s">
        <v>18</v>
      </c>
      <c r="I45" s="31"/>
      <c r="J45" s="31"/>
      <c r="K45" s="50" t="s">
        <v>29</v>
      </c>
      <c r="L45" s="31"/>
      <c r="M45" s="31"/>
      <c r="O45" s="1" t="s">
        <v>16</v>
      </c>
    </row>
    <row r="46" spans="1:20">
      <c r="A46" s="19"/>
      <c r="B46" s="69" t="s">
        <v>9</v>
      </c>
      <c r="C46" s="70"/>
      <c r="D46" s="71"/>
      <c r="E46" s="69" t="s">
        <v>9</v>
      </c>
      <c r="F46" s="70"/>
      <c r="G46" s="71"/>
      <c r="H46" s="69" t="s">
        <v>9</v>
      </c>
      <c r="I46" s="70"/>
      <c r="J46" s="71"/>
      <c r="K46" s="69" t="s">
        <v>9</v>
      </c>
      <c r="L46" s="70"/>
      <c r="M46" s="71"/>
      <c r="O46" s="4"/>
      <c r="P46" s="5" t="s">
        <v>10</v>
      </c>
      <c r="Q46" s="6" t="s">
        <v>2</v>
      </c>
    </row>
    <row r="47" spans="1:20">
      <c r="A47" s="20" t="s">
        <v>3</v>
      </c>
      <c r="B47" s="21" t="s">
        <v>4</v>
      </c>
      <c r="C47" s="21" t="s">
        <v>5</v>
      </c>
      <c r="D47" s="21" t="s">
        <v>6</v>
      </c>
      <c r="E47" s="21" t="s">
        <v>4</v>
      </c>
      <c r="F47" s="21" t="s">
        <v>5</v>
      </c>
      <c r="G47" s="21" t="s">
        <v>6</v>
      </c>
      <c r="H47" s="21" t="s">
        <v>4</v>
      </c>
      <c r="I47" s="21" t="s">
        <v>5</v>
      </c>
      <c r="J47" s="21" t="s">
        <v>6</v>
      </c>
      <c r="K47" s="21" t="s">
        <v>4</v>
      </c>
      <c r="L47" s="21" t="s">
        <v>5</v>
      </c>
      <c r="M47" s="21" t="s">
        <v>6</v>
      </c>
      <c r="O47" s="12"/>
      <c r="P47" s="5" t="e">
        <f>AVERAGE(D48:D57)</f>
        <v>#DIV/0!</v>
      </c>
      <c r="Q47" s="5" t="e">
        <f>STDEV(D48:D57)/SQRT(5)</f>
        <v>#DIV/0!</v>
      </c>
    </row>
    <row r="48" spans="1:20">
      <c r="A48" s="21">
        <v>1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O48" s="17"/>
      <c r="P48" s="5" t="e">
        <f>AVERAGE(G48:G57)</f>
        <v>#DIV/0!</v>
      </c>
      <c r="Q48" s="5" t="e">
        <f>STDEV(G48:G57)/SQRT(5)</f>
        <v>#DIV/0!</v>
      </c>
    </row>
    <row r="49" spans="1:17">
      <c r="A49" s="21">
        <v>2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O49" s="30"/>
      <c r="P49" s="5" t="e">
        <f>AVERAGE(J48:J57)</f>
        <v>#DIV/0!</v>
      </c>
      <c r="Q49" s="5" t="e">
        <f>STDEV(J48:J57)/SQRT(5)</f>
        <v>#DIV/0!</v>
      </c>
    </row>
    <row r="50" spans="1:17">
      <c r="A50" s="21">
        <v>3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O50" s="24"/>
      <c r="P50" s="5" t="e">
        <f>AVERAGE(M48:M57)</f>
        <v>#DIV/0!</v>
      </c>
      <c r="Q50" s="5" t="e">
        <f>STDEV(M48:M57)/SQRT(5)</f>
        <v>#DIV/0!</v>
      </c>
    </row>
    <row r="51" spans="1:17">
      <c r="A51" s="21">
        <v>4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spans="1:17">
      <c r="A52" s="21">
        <v>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 spans="1:17">
      <c r="A53" s="21">
        <v>6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 spans="1:17">
      <c r="A54" s="21">
        <v>7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 spans="1:17">
      <c r="A55" s="21">
        <v>8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spans="1:17">
      <c r="A56" s="21">
        <v>9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 spans="1:17">
      <c r="A57" s="21">
        <v>10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9" spans="1:17">
      <c r="B59" s="60" t="s">
        <v>25</v>
      </c>
      <c r="C59" s="8"/>
      <c r="D59" s="8"/>
      <c r="E59" s="61" t="s">
        <v>26</v>
      </c>
      <c r="F59" s="35"/>
      <c r="G59" s="35"/>
      <c r="H59" s="62" t="s">
        <v>30</v>
      </c>
      <c r="I59" s="44"/>
      <c r="J59" s="44"/>
      <c r="K59" s="65" t="s">
        <v>31</v>
      </c>
      <c r="L59" s="40"/>
      <c r="M59" s="40"/>
      <c r="O59" s="8" t="s">
        <v>17</v>
      </c>
    </row>
    <row r="60" spans="1:17">
      <c r="A60" s="4"/>
      <c r="B60" s="73" t="s">
        <v>17</v>
      </c>
      <c r="C60" s="74"/>
      <c r="D60" s="75"/>
      <c r="E60" s="76" t="s">
        <v>17</v>
      </c>
      <c r="F60" s="77"/>
      <c r="G60" s="78"/>
      <c r="H60" s="79" t="s">
        <v>17</v>
      </c>
      <c r="I60" s="80"/>
      <c r="J60" s="81"/>
      <c r="K60" s="82" t="s">
        <v>17</v>
      </c>
      <c r="L60" s="83"/>
      <c r="M60" s="84"/>
      <c r="N60" s="4"/>
      <c r="O60" s="4"/>
      <c r="P60" s="5" t="s">
        <v>1</v>
      </c>
      <c r="Q60" s="6" t="s">
        <v>2</v>
      </c>
    </row>
    <row r="61" spans="1:17">
      <c r="A61" s="7" t="s">
        <v>3</v>
      </c>
      <c r="B61" s="5" t="s">
        <v>4</v>
      </c>
      <c r="C61" s="5" t="s">
        <v>5</v>
      </c>
      <c r="D61" s="5" t="s">
        <v>6</v>
      </c>
      <c r="E61" s="37" t="s">
        <v>4</v>
      </c>
      <c r="F61" s="37" t="s">
        <v>5</v>
      </c>
      <c r="G61" s="37" t="s">
        <v>6</v>
      </c>
      <c r="H61" s="46" t="s">
        <v>4</v>
      </c>
      <c r="I61" s="46" t="s">
        <v>5</v>
      </c>
      <c r="J61" s="46" t="s">
        <v>6</v>
      </c>
      <c r="K61" s="41" t="s">
        <v>4</v>
      </c>
      <c r="L61" s="41" t="s">
        <v>5</v>
      </c>
      <c r="M61" s="41" t="s">
        <v>6</v>
      </c>
      <c r="N61" s="4"/>
      <c r="O61" s="12"/>
      <c r="P61" s="5">
        <f>AVERAGE(D62:D71)</f>
        <v>0.1111111111111111</v>
      </c>
      <c r="Q61" s="5">
        <f>STDEV(D62:D71)/SQRT(6)</f>
        <v>2.560984571470247E-2</v>
      </c>
    </row>
    <row r="62" spans="1:17">
      <c r="A62" s="5">
        <v>1</v>
      </c>
      <c r="B62" s="5">
        <v>1</v>
      </c>
      <c r="C62" s="5">
        <v>24</v>
      </c>
      <c r="D62" s="5">
        <f>B62/C62</f>
        <v>4.1666666666666664E-2</v>
      </c>
      <c r="E62" s="37">
        <v>7</v>
      </c>
      <c r="F62" s="37">
        <v>24</v>
      </c>
      <c r="G62" s="37">
        <f>E62/F62</f>
        <v>0.29166666666666669</v>
      </c>
      <c r="H62" s="46">
        <v>4</v>
      </c>
      <c r="I62" s="46">
        <v>24</v>
      </c>
      <c r="J62" s="46">
        <f>H62/I62</f>
        <v>0.16666666666666666</v>
      </c>
      <c r="K62" s="41">
        <v>4</v>
      </c>
      <c r="L62" s="41">
        <v>24</v>
      </c>
      <c r="M62" s="41">
        <f>K62/L62</f>
        <v>0.16666666666666666</v>
      </c>
      <c r="N62" s="4"/>
      <c r="O62" s="36"/>
      <c r="P62" s="5">
        <f>AVERAGE(G62:G71)</f>
        <v>0.28472222222222227</v>
      </c>
      <c r="Q62" s="5">
        <f>STDEV(G62:G71)/SQRT(6)</f>
        <v>3.9406280441975299E-2</v>
      </c>
    </row>
    <row r="63" spans="1:17">
      <c r="A63" s="5">
        <v>2</v>
      </c>
      <c r="B63" s="5">
        <v>2</v>
      </c>
      <c r="C63" s="5">
        <v>24</v>
      </c>
      <c r="D63" s="5">
        <f>B63/C63</f>
        <v>8.3333333333333329E-2</v>
      </c>
      <c r="E63" s="37">
        <v>6</v>
      </c>
      <c r="F63" s="37">
        <v>24</v>
      </c>
      <c r="G63" s="37">
        <f t="shared" ref="G63:G67" si="18">E63/F63</f>
        <v>0.25</v>
      </c>
      <c r="H63" s="46">
        <v>8</v>
      </c>
      <c r="I63" s="46">
        <v>24</v>
      </c>
      <c r="J63" s="46">
        <f t="shared" ref="J63:J67" si="19">H63/I63</f>
        <v>0.33333333333333331</v>
      </c>
      <c r="K63" s="41">
        <v>8</v>
      </c>
      <c r="L63" s="41">
        <v>24</v>
      </c>
      <c r="M63" s="41">
        <f t="shared" ref="M63:M67" si="20">K63/L63</f>
        <v>0.33333333333333331</v>
      </c>
      <c r="N63" s="4"/>
      <c r="O63" s="45"/>
      <c r="P63" s="5">
        <f>AVERAGE(J62:J71)</f>
        <v>0.3263888888888889</v>
      </c>
      <c r="Q63" s="5">
        <f>STDEV(J62:J71)/SQRT(6)</f>
        <v>4.3589874517986744E-2</v>
      </c>
    </row>
    <row r="64" spans="1:17">
      <c r="A64" s="5">
        <v>3</v>
      </c>
      <c r="B64" s="5">
        <v>2</v>
      </c>
      <c r="C64" s="5">
        <v>24</v>
      </c>
      <c r="D64" s="5">
        <f>B64/C64</f>
        <v>8.3333333333333329E-2</v>
      </c>
      <c r="E64" s="37">
        <v>10</v>
      </c>
      <c r="F64" s="37">
        <v>24</v>
      </c>
      <c r="G64" s="37">
        <f t="shared" si="18"/>
        <v>0.41666666666666669</v>
      </c>
      <c r="H64" s="46">
        <v>6</v>
      </c>
      <c r="I64" s="46">
        <v>24</v>
      </c>
      <c r="J64" s="46">
        <f t="shared" si="19"/>
        <v>0.25</v>
      </c>
      <c r="K64" s="41">
        <v>6</v>
      </c>
      <c r="L64" s="41">
        <v>24</v>
      </c>
      <c r="M64" s="41">
        <f t="shared" si="20"/>
        <v>0.25</v>
      </c>
      <c r="N64" s="4"/>
      <c r="O64" s="41"/>
      <c r="P64" s="5">
        <f>AVERAGE(M62:M71)</f>
        <v>0.31944444444444448</v>
      </c>
      <c r="Q64" s="5">
        <f>STDEV(M62:M71)/SQRT(6)</f>
        <v>3.8289024311361691E-2</v>
      </c>
    </row>
    <row r="65" spans="1:17">
      <c r="A65" s="5">
        <v>4</v>
      </c>
      <c r="B65" s="5">
        <v>5</v>
      </c>
      <c r="C65" s="5">
        <v>24</v>
      </c>
      <c r="D65" s="5">
        <f t="shared" ref="D65:D67" si="21">B65/C65</f>
        <v>0.20833333333333334</v>
      </c>
      <c r="E65" s="37">
        <v>9</v>
      </c>
      <c r="F65" s="37">
        <v>24</v>
      </c>
      <c r="G65" s="37">
        <f t="shared" si="18"/>
        <v>0.375</v>
      </c>
      <c r="H65" s="46">
        <v>8</v>
      </c>
      <c r="I65" s="46">
        <v>24</v>
      </c>
      <c r="J65" s="46">
        <f t="shared" si="19"/>
        <v>0.33333333333333331</v>
      </c>
      <c r="K65" s="41">
        <v>9</v>
      </c>
      <c r="L65" s="41">
        <v>24</v>
      </c>
      <c r="M65" s="41">
        <f t="shared" si="20"/>
        <v>0.375</v>
      </c>
      <c r="N65" s="4"/>
      <c r="O65" s="4"/>
      <c r="P65" s="4"/>
      <c r="Q65" s="4"/>
    </row>
    <row r="66" spans="1:17">
      <c r="A66" s="5">
        <v>5</v>
      </c>
      <c r="B66" s="5">
        <v>4</v>
      </c>
      <c r="C66" s="5">
        <v>24</v>
      </c>
      <c r="D66" s="5">
        <f t="shared" si="21"/>
        <v>0.16666666666666666</v>
      </c>
      <c r="E66" s="37">
        <v>5</v>
      </c>
      <c r="F66" s="37">
        <v>24</v>
      </c>
      <c r="G66" s="37">
        <f t="shared" si="18"/>
        <v>0.20833333333333334</v>
      </c>
      <c r="H66" s="46">
        <v>10</v>
      </c>
      <c r="I66" s="46">
        <v>24</v>
      </c>
      <c r="J66" s="46">
        <f t="shared" si="19"/>
        <v>0.41666666666666669</v>
      </c>
      <c r="K66" s="41">
        <v>10</v>
      </c>
      <c r="L66" s="41">
        <v>24</v>
      </c>
      <c r="M66" s="41">
        <f t="shared" si="20"/>
        <v>0.41666666666666669</v>
      </c>
      <c r="N66" s="4"/>
      <c r="O66" s="4"/>
      <c r="P66" s="4"/>
      <c r="Q66" s="4"/>
    </row>
    <row r="67" spans="1:17">
      <c r="A67" s="5">
        <v>6</v>
      </c>
      <c r="B67" s="5">
        <v>2</v>
      </c>
      <c r="C67" s="5">
        <v>24</v>
      </c>
      <c r="D67" s="5">
        <f t="shared" si="21"/>
        <v>8.3333333333333329E-2</v>
      </c>
      <c r="E67" s="37">
        <v>4</v>
      </c>
      <c r="F67" s="37">
        <v>24</v>
      </c>
      <c r="G67" s="37">
        <f t="shared" si="18"/>
        <v>0.16666666666666666</v>
      </c>
      <c r="H67" s="46">
        <v>11</v>
      </c>
      <c r="I67" s="46">
        <v>24</v>
      </c>
      <c r="J67" s="46">
        <f t="shared" si="19"/>
        <v>0.45833333333333331</v>
      </c>
      <c r="K67" s="41">
        <v>9</v>
      </c>
      <c r="L67" s="41">
        <v>24</v>
      </c>
      <c r="M67" s="41">
        <f t="shared" si="20"/>
        <v>0.375</v>
      </c>
      <c r="N67" s="4"/>
      <c r="O67" s="4"/>
      <c r="P67" s="4"/>
      <c r="Q67" s="4"/>
    </row>
    <row r="68" spans="1:17">
      <c r="A68" s="5">
        <v>7</v>
      </c>
      <c r="B68" s="5"/>
      <c r="C68" s="5"/>
      <c r="D68" s="5"/>
      <c r="E68" s="37"/>
      <c r="F68" s="37"/>
      <c r="G68" s="37"/>
      <c r="H68" s="46"/>
      <c r="I68" s="46"/>
      <c r="J68" s="46"/>
      <c r="K68" s="41"/>
      <c r="L68" s="41"/>
      <c r="M68" s="41"/>
      <c r="N68" s="4"/>
      <c r="O68" s="4"/>
      <c r="P68" s="4"/>
      <c r="Q68" s="4"/>
    </row>
    <row r="69" spans="1:17">
      <c r="A69" s="5">
        <v>8</v>
      </c>
      <c r="B69" s="5"/>
      <c r="C69" s="5"/>
      <c r="D69" s="5"/>
      <c r="E69" s="37"/>
      <c r="F69" s="37"/>
      <c r="G69" s="37"/>
      <c r="H69" s="46"/>
      <c r="I69" s="46"/>
      <c r="J69" s="46"/>
      <c r="K69" s="41"/>
      <c r="L69" s="41"/>
      <c r="M69" s="41"/>
      <c r="N69" s="4"/>
      <c r="O69" s="4"/>
      <c r="P69" s="4"/>
      <c r="Q69" s="4"/>
    </row>
    <row r="70" spans="1:17">
      <c r="A70" s="5">
        <v>9</v>
      </c>
      <c r="B70" s="5"/>
      <c r="C70" s="5"/>
      <c r="D70" s="5"/>
      <c r="E70" s="37"/>
      <c r="F70" s="37"/>
      <c r="G70" s="37"/>
      <c r="H70" s="46"/>
      <c r="I70" s="46"/>
      <c r="J70" s="46"/>
      <c r="K70" s="41"/>
      <c r="L70" s="41"/>
      <c r="M70" s="41"/>
      <c r="N70" s="4"/>
      <c r="O70" s="4"/>
      <c r="P70" s="4"/>
      <c r="Q70" s="4"/>
    </row>
    <row r="71" spans="1:17">
      <c r="A71" s="5">
        <v>10</v>
      </c>
      <c r="B71" s="5"/>
      <c r="C71" s="5"/>
      <c r="D71" s="5"/>
      <c r="E71" s="37"/>
      <c r="F71" s="37"/>
      <c r="G71" s="37"/>
      <c r="H71" s="46"/>
      <c r="I71" s="46"/>
      <c r="J71" s="46"/>
      <c r="K71" s="41"/>
      <c r="L71" s="41"/>
      <c r="M71" s="41"/>
      <c r="N71" s="4"/>
      <c r="O71" s="4"/>
      <c r="P71" s="4"/>
      <c r="Q71" s="4"/>
    </row>
    <row r="72" spans="1:17">
      <c r="A72" s="4"/>
      <c r="B72" s="4"/>
      <c r="C72" s="4"/>
      <c r="D72" s="4"/>
      <c r="E72" s="38"/>
      <c r="F72" s="38"/>
      <c r="G72" s="38"/>
      <c r="H72" s="47"/>
      <c r="I72" s="47"/>
      <c r="J72" s="47"/>
      <c r="K72" s="42"/>
      <c r="L72" s="42"/>
      <c r="M72" s="42"/>
      <c r="N72" s="4"/>
      <c r="O72" s="4"/>
      <c r="P72" s="4"/>
      <c r="Q72" s="4"/>
    </row>
    <row r="73" spans="1:17">
      <c r="B73" s="60" t="s">
        <v>25</v>
      </c>
      <c r="C73" s="8"/>
      <c r="D73" s="8"/>
      <c r="E73" s="61" t="s">
        <v>26</v>
      </c>
      <c r="F73" s="35"/>
      <c r="G73" s="35"/>
      <c r="H73" s="62" t="s">
        <v>30</v>
      </c>
      <c r="I73" s="44"/>
      <c r="J73" s="44"/>
      <c r="K73" s="65" t="s">
        <v>31</v>
      </c>
      <c r="L73" s="40"/>
      <c r="M73" s="40"/>
      <c r="N73" s="4"/>
      <c r="O73" s="8" t="s">
        <v>21</v>
      </c>
      <c r="P73" s="4"/>
      <c r="Q73" s="4"/>
    </row>
    <row r="74" spans="1:17">
      <c r="A74" s="4"/>
      <c r="B74" s="73" t="s">
        <v>21</v>
      </c>
      <c r="C74" s="74"/>
      <c r="D74" s="75"/>
      <c r="E74" s="76" t="s">
        <v>7</v>
      </c>
      <c r="F74" s="77"/>
      <c r="G74" s="78"/>
      <c r="H74" s="79" t="s">
        <v>21</v>
      </c>
      <c r="I74" s="80"/>
      <c r="J74" s="81"/>
      <c r="K74" s="82" t="s">
        <v>21</v>
      </c>
      <c r="L74" s="83"/>
      <c r="M74" s="84"/>
      <c r="N74" s="4"/>
      <c r="O74" s="4"/>
      <c r="P74" s="5" t="s">
        <v>10</v>
      </c>
      <c r="Q74" s="6" t="s">
        <v>2</v>
      </c>
    </row>
    <row r="75" spans="1:17">
      <c r="A75" s="7" t="s">
        <v>11</v>
      </c>
      <c r="B75" s="5" t="s">
        <v>4</v>
      </c>
      <c r="C75" s="5" t="s">
        <v>5</v>
      </c>
      <c r="D75" s="5" t="s">
        <v>6</v>
      </c>
      <c r="E75" s="37" t="s">
        <v>4</v>
      </c>
      <c r="F75" s="37" t="s">
        <v>5</v>
      </c>
      <c r="G75" s="37" t="s">
        <v>12</v>
      </c>
      <c r="H75" s="46" t="s">
        <v>4</v>
      </c>
      <c r="I75" s="46" t="s">
        <v>5</v>
      </c>
      <c r="J75" s="46" t="s">
        <v>12</v>
      </c>
      <c r="K75" s="41" t="s">
        <v>4</v>
      </c>
      <c r="L75" s="41" t="s">
        <v>5</v>
      </c>
      <c r="M75" s="41" t="s">
        <v>12</v>
      </c>
      <c r="N75" s="4"/>
      <c r="O75" s="12"/>
      <c r="P75" s="5">
        <f>AVERAGE(D76:D85)</f>
        <v>0.15972222222222221</v>
      </c>
      <c r="Q75" s="5">
        <f>STDEV(D76:D85)/SQRT(6)</f>
        <v>2.2609473050138496E-2</v>
      </c>
    </row>
    <row r="76" spans="1:17">
      <c r="A76" s="5">
        <v>1</v>
      </c>
      <c r="B76" s="5">
        <v>2</v>
      </c>
      <c r="C76" s="5">
        <v>24</v>
      </c>
      <c r="D76" s="5">
        <f>B76/C76</f>
        <v>8.3333333333333329E-2</v>
      </c>
      <c r="E76" s="37">
        <v>9</v>
      </c>
      <c r="F76" s="37">
        <v>24</v>
      </c>
      <c r="G76" s="37">
        <f>E76/F76</f>
        <v>0.375</v>
      </c>
      <c r="H76" s="46">
        <v>8</v>
      </c>
      <c r="I76" s="46">
        <v>24</v>
      </c>
      <c r="J76" s="46">
        <f>H76/I76</f>
        <v>0.33333333333333331</v>
      </c>
      <c r="K76" s="41">
        <v>6</v>
      </c>
      <c r="L76" s="41">
        <v>24</v>
      </c>
      <c r="M76" s="41">
        <f>K76/L76</f>
        <v>0.25</v>
      </c>
      <c r="N76" s="4"/>
      <c r="O76" s="36"/>
      <c r="P76" s="5">
        <f>AVERAGE(G76:G85)</f>
        <v>0.41666666666666674</v>
      </c>
      <c r="Q76" s="5">
        <f>STDEV(G76:G85)/SQRT(6)</f>
        <v>5.0460839234958109E-2</v>
      </c>
    </row>
    <row r="77" spans="1:17">
      <c r="A77" s="5">
        <v>2</v>
      </c>
      <c r="B77" s="5">
        <v>6</v>
      </c>
      <c r="C77" s="5">
        <v>24</v>
      </c>
      <c r="D77" s="5">
        <f t="shared" ref="D77:D81" si="22">B77/C77</f>
        <v>0.25</v>
      </c>
      <c r="E77" s="37">
        <v>7</v>
      </c>
      <c r="F77" s="37">
        <v>24</v>
      </c>
      <c r="G77" s="37">
        <f t="shared" ref="G77:G81" si="23">E77/F77</f>
        <v>0.29166666666666669</v>
      </c>
      <c r="H77" s="46">
        <v>13</v>
      </c>
      <c r="I77" s="46">
        <v>24</v>
      </c>
      <c r="J77" s="46">
        <f t="shared" ref="J77:J81" si="24">H77/I77</f>
        <v>0.54166666666666663</v>
      </c>
      <c r="K77" s="41">
        <v>13</v>
      </c>
      <c r="L77" s="41">
        <v>24</v>
      </c>
      <c r="M77" s="41">
        <f t="shared" ref="M77:M81" si="25">K77/L77</f>
        <v>0.54166666666666663</v>
      </c>
      <c r="N77" s="4"/>
      <c r="O77" s="45"/>
      <c r="P77" s="5">
        <f>AVERAGE(J76:J85)</f>
        <v>0.45833333333333331</v>
      </c>
      <c r="Q77" s="5">
        <f>STDEV(J76:J85)/SQRT(6)</f>
        <v>3.7267799624996538E-2</v>
      </c>
    </row>
    <row r="78" spans="1:17">
      <c r="A78" s="5">
        <v>3</v>
      </c>
      <c r="B78" s="5">
        <v>4</v>
      </c>
      <c r="C78" s="5">
        <v>24</v>
      </c>
      <c r="D78" s="5">
        <f t="shared" si="22"/>
        <v>0.16666666666666666</v>
      </c>
      <c r="E78" s="37">
        <v>12</v>
      </c>
      <c r="F78" s="37">
        <v>24</v>
      </c>
      <c r="G78" s="37">
        <f t="shared" si="23"/>
        <v>0.5</v>
      </c>
      <c r="H78" s="46">
        <v>11</v>
      </c>
      <c r="I78" s="46">
        <v>24</v>
      </c>
      <c r="J78" s="46">
        <f t="shared" si="24"/>
        <v>0.45833333333333331</v>
      </c>
      <c r="K78" s="41">
        <v>11</v>
      </c>
      <c r="L78" s="41">
        <v>24</v>
      </c>
      <c r="M78" s="41">
        <f t="shared" si="25"/>
        <v>0.45833333333333331</v>
      </c>
      <c r="N78" s="4"/>
      <c r="O78" s="41"/>
      <c r="P78" s="5">
        <f>AVERAGE(M76:M85)</f>
        <v>0.45138888888888884</v>
      </c>
      <c r="Q78" s="5">
        <f>STDEV(M76:M85)/SQRT(6)</f>
        <v>4.7405689349655715E-2</v>
      </c>
    </row>
    <row r="79" spans="1:17">
      <c r="A79" s="5">
        <v>4</v>
      </c>
      <c r="B79" s="5">
        <v>4</v>
      </c>
      <c r="C79" s="5">
        <v>24</v>
      </c>
      <c r="D79" s="5">
        <f t="shared" si="22"/>
        <v>0.16666666666666666</v>
      </c>
      <c r="E79" s="37">
        <v>15</v>
      </c>
      <c r="F79" s="37">
        <v>24</v>
      </c>
      <c r="G79" s="37">
        <f t="shared" si="23"/>
        <v>0.625</v>
      </c>
      <c r="H79" s="46">
        <v>10</v>
      </c>
      <c r="I79" s="46">
        <v>24</v>
      </c>
      <c r="J79" s="46">
        <f t="shared" si="24"/>
        <v>0.41666666666666669</v>
      </c>
      <c r="K79" s="41">
        <v>11</v>
      </c>
      <c r="L79" s="41">
        <v>24</v>
      </c>
      <c r="M79" s="41">
        <f t="shared" si="25"/>
        <v>0.45833333333333331</v>
      </c>
      <c r="N79" s="4"/>
      <c r="O79" s="4"/>
      <c r="P79" s="4"/>
      <c r="Q79" s="4"/>
    </row>
    <row r="80" spans="1:17">
      <c r="A80" s="5">
        <v>5</v>
      </c>
      <c r="B80" s="5">
        <v>4</v>
      </c>
      <c r="C80" s="5">
        <v>24</v>
      </c>
      <c r="D80" s="5">
        <f t="shared" si="22"/>
        <v>0.16666666666666666</v>
      </c>
      <c r="E80" s="37">
        <v>9</v>
      </c>
      <c r="F80" s="37">
        <v>24</v>
      </c>
      <c r="G80" s="37">
        <f t="shared" si="23"/>
        <v>0.375</v>
      </c>
      <c r="H80" s="46">
        <v>14</v>
      </c>
      <c r="I80" s="46">
        <v>24</v>
      </c>
      <c r="J80" s="46">
        <f t="shared" si="24"/>
        <v>0.58333333333333337</v>
      </c>
      <c r="K80" s="41">
        <v>14</v>
      </c>
      <c r="L80" s="41">
        <v>24</v>
      </c>
      <c r="M80" s="41">
        <f t="shared" si="25"/>
        <v>0.58333333333333337</v>
      </c>
      <c r="N80" s="4"/>
      <c r="O80" s="4"/>
      <c r="P80" s="4"/>
      <c r="Q80" s="4"/>
    </row>
    <row r="81" spans="1:17">
      <c r="A81" s="5">
        <v>6</v>
      </c>
      <c r="B81" s="5">
        <v>3</v>
      </c>
      <c r="C81" s="5">
        <v>24</v>
      </c>
      <c r="D81" s="5">
        <f t="shared" si="22"/>
        <v>0.125</v>
      </c>
      <c r="E81" s="37">
        <v>8</v>
      </c>
      <c r="F81" s="37">
        <v>24</v>
      </c>
      <c r="G81" s="37">
        <f t="shared" si="23"/>
        <v>0.33333333333333331</v>
      </c>
      <c r="H81" s="46">
        <v>10</v>
      </c>
      <c r="I81" s="46">
        <v>24</v>
      </c>
      <c r="J81" s="46">
        <f t="shared" si="24"/>
        <v>0.41666666666666669</v>
      </c>
      <c r="K81" s="41">
        <v>10</v>
      </c>
      <c r="L81" s="41">
        <v>24</v>
      </c>
      <c r="M81" s="41">
        <f t="shared" si="25"/>
        <v>0.41666666666666669</v>
      </c>
      <c r="N81" s="4"/>
      <c r="O81" s="4"/>
      <c r="P81" s="4"/>
      <c r="Q81" s="4"/>
    </row>
    <row r="82" spans="1:17">
      <c r="A82" s="5">
        <v>7</v>
      </c>
      <c r="B82" s="5"/>
      <c r="C82" s="5"/>
      <c r="D82" s="5"/>
      <c r="E82" s="37"/>
      <c r="F82" s="37"/>
      <c r="G82" s="37"/>
      <c r="H82" s="46"/>
      <c r="I82" s="46"/>
      <c r="J82" s="46"/>
      <c r="K82" s="41"/>
      <c r="L82" s="41"/>
      <c r="M82" s="41"/>
      <c r="N82" s="4"/>
      <c r="O82" s="4"/>
      <c r="P82" s="4"/>
      <c r="Q82" s="4"/>
    </row>
    <row r="83" spans="1:17">
      <c r="A83" s="5">
        <v>8</v>
      </c>
      <c r="B83" s="5"/>
      <c r="C83" s="5"/>
      <c r="D83" s="5"/>
      <c r="E83" s="37"/>
      <c r="F83" s="37"/>
      <c r="G83" s="37"/>
      <c r="H83" s="46"/>
      <c r="I83" s="46"/>
      <c r="J83" s="46"/>
      <c r="K83" s="41"/>
      <c r="L83" s="41"/>
      <c r="M83" s="41"/>
      <c r="N83" s="4"/>
      <c r="O83" s="4"/>
      <c r="P83" s="4"/>
      <c r="Q83" s="4"/>
    </row>
    <row r="84" spans="1:17">
      <c r="A84" s="5">
        <v>9</v>
      </c>
      <c r="B84" s="5"/>
      <c r="C84" s="5"/>
      <c r="D84" s="5"/>
      <c r="E84" s="37"/>
      <c r="F84" s="37"/>
      <c r="G84" s="37"/>
      <c r="H84" s="46"/>
      <c r="I84" s="46"/>
      <c r="J84" s="46"/>
      <c r="K84" s="41"/>
      <c r="L84" s="41"/>
      <c r="M84" s="41"/>
      <c r="N84" s="4"/>
      <c r="O84" s="4"/>
      <c r="P84" s="4"/>
      <c r="Q84" s="4"/>
    </row>
    <row r="85" spans="1:17">
      <c r="A85" s="5">
        <v>10</v>
      </c>
      <c r="B85" s="5"/>
      <c r="C85" s="5"/>
      <c r="D85" s="5"/>
      <c r="E85" s="37"/>
      <c r="F85" s="37"/>
      <c r="G85" s="37"/>
      <c r="H85" s="46"/>
      <c r="I85" s="46"/>
      <c r="J85" s="46"/>
      <c r="K85" s="41"/>
      <c r="L85" s="41"/>
      <c r="M85" s="41"/>
      <c r="N85" s="4"/>
      <c r="O85" s="4"/>
      <c r="P85" s="4"/>
      <c r="Q85" s="4"/>
    </row>
    <row r="86" spans="1:17">
      <c r="A86" s="4"/>
      <c r="B86" s="4"/>
      <c r="C86" s="4"/>
      <c r="D86" s="4"/>
      <c r="E86" s="38"/>
      <c r="F86" s="38"/>
      <c r="G86" s="38"/>
      <c r="H86" s="47"/>
      <c r="I86" s="47"/>
      <c r="J86" s="47"/>
      <c r="K86" s="42"/>
      <c r="L86" s="42"/>
      <c r="M86" s="42"/>
      <c r="N86" s="4"/>
      <c r="O86" s="4"/>
      <c r="P86" s="4"/>
      <c r="Q86" s="4"/>
    </row>
    <row r="87" spans="1:17">
      <c r="A87" s="66"/>
      <c r="B87" s="66"/>
      <c r="E87" s="9"/>
      <c r="H87" s="9"/>
      <c r="K87" s="9"/>
      <c r="N87" s="4"/>
      <c r="O87" s="8" t="s">
        <v>22</v>
      </c>
      <c r="P87" s="4"/>
      <c r="Q87" s="4"/>
    </row>
    <row r="88" spans="1:17">
      <c r="B88" s="60" t="s">
        <v>25</v>
      </c>
      <c r="C88" s="8"/>
      <c r="D88" s="8"/>
      <c r="E88" s="61" t="s">
        <v>26</v>
      </c>
      <c r="F88" s="35"/>
      <c r="G88" s="35"/>
      <c r="H88" s="62" t="s">
        <v>30</v>
      </c>
      <c r="I88" s="44"/>
      <c r="J88" s="44"/>
      <c r="K88" s="65" t="s">
        <v>31</v>
      </c>
      <c r="L88" s="40"/>
      <c r="M88" s="40"/>
      <c r="N88" s="4"/>
      <c r="O88" s="4"/>
      <c r="P88" s="5" t="s">
        <v>1</v>
      </c>
      <c r="Q88" s="6" t="s">
        <v>2</v>
      </c>
    </row>
    <row r="89" spans="1:17">
      <c r="A89" s="7" t="s">
        <v>3</v>
      </c>
      <c r="B89" s="5" t="s">
        <v>4</v>
      </c>
      <c r="C89" s="5" t="s">
        <v>5</v>
      </c>
      <c r="D89" s="5" t="s">
        <v>6</v>
      </c>
      <c r="E89" s="37" t="s">
        <v>4</v>
      </c>
      <c r="F89" s="37" t="s">
        <v>5</v>
      </c>
      <c r="G89" s="37" t="s">
        <v>6</v>
      </c>
      <c r="H89" s="46" t="s">
        <v>4</v>
      </c>
      <c r="I89" s="46" t="s">
        <v>5</v>
      </c>
      <c r="J89" s="46" t="s">
        <v>6</v>
      </c>
      <c r="K89" s="41" t="s">
        <v>4</v>
      </c>
      <c r="L89" s="41" t="s">
        <v>5</v>
      </c>
      <c r="M89" s="41" t="s">
        <v>6</v>
      </c>
      <c r="N89" s="4"/>
      <c r="O89" s="12"/>
      <c r="P89" s="5">
        <f>AVERAGE(D90:D99)</f>
        <v>0.25694444444444442</v>
      </c>
      <c r="Q89" s="5">
        <f>STDEV(D90:D99)/SQRT(6)</f>
        <v>4.3589874517986758E-2</v>
      </c>
    </row>
    <row r="90" spans="1:17">
      <c r="A90" s="5">
        <v>1</v>
      </c>
      <c r="B90" s="5">
        <v>3</v>
      </c>
      <c r="C90" s="5">
        <v>24</v>
      </c>
      <c r="D90" s="5">
        <f>B90/C90</f>
        <v>0.125</v>
      </c>
      <c r="E90" s="37">
        <v>12</v>
      </c>
      <c r="F90" s="37">
        <v>24</v>
      </c>
      <c r="G90" s="37">
        <f>E90/F90</f>
        <v>0.5</v>
      </c>
      <c r="H90" s="46">
        <v>10</v>
      </c>
      <c r="I90" s="46">
        <v>24</v>
      </c>
      <c r="J90" s="46">
        <f>H90/I90</f>
        <v>0.41666666666666669</v>
      </c>
      <c r="K90" s="41">
        <v>10</v>
      </c>
      <c r="L90" s="41">
        <v>24</v>
      </c>
      <c r="M90" s="41">
        <f>K90/L90</f>
        <v>0.41666666666666669</v>
      </c>
      <c r="N90" s="4"/>
      <c r="O90" s="36"/>
      <c r="P90" s="5">
        <f>AVERAGE(G90:G99)</f>
        <v>0.54166666666666674</v>
      </c>
      <c r="Q90" s="5">
        <f>STDEV(G90:G99)/SQRT(6)</f>
        <v>5.4856715717031782E-2</v>
      </c>
    </row>
    <row r="91" spans="1:17">
      <c r="A91" s="5">
        <v>2</v>
      </c>
      <c r="B91" s="5">
        <v>4</v>
      </c>
      <c r="C91" s="5">
        <v>24</v>
      </c>
      <c r="D91" s="5">
        <f t="shared" ref="D91:D95" si="26">B91/C91</f>
        <v>0.16666666666666666</v>
      </c>
      <c r="E91" s="37">
        <v>10</v>
      </c>
      <c r="F91" s="37">
        <v>24</v>
      </c>
      <c r="G91" s="37">
        <f t="shared" ref="G91:G95" si="27">E91/F91</f>
        <v>0.41666666666666669</v>
      </c>
      <c r="H91" s="46">
        <v>17</v>
      </c>
      <c r="I91" s="46">
        <v>24</v>
      </c>
      <c r="J91" s="46">
        <f t="shared" ref="J91:J95" si="28">H91/I91</f>
        <v>0.70833333333333337</v>
      </c>
      <c r="K91" s="41">
        <v>17</v>
      </c>
      <c r="L91" s="41">
        <v>24</v>
      </c>
      <c r="M91" s="41">
        <f t="shared" ref="M91:M95" si="29">K91/L91</f>
        <v>0.70833333333333337</v>
      </c>
      <c r="N91" s="4"/>
      <c r="O91" s="45"/>
      <c r="P91" s="5">
        <f>AVERAGE(J90:J99)</f>
        <v>0.59027777777777779</v>
      </c>
      <c r="Q91" s="5">
        <f>STDEV(J90:J99)/SQRT(6)</f>
        <v>4.9787356469263862E-2</v>
      </c>
    </row>
    <row r="92" spans="1:17">
      <c r="A92" s="5">
        <v>3</v>
      </c>
      <c r="B92" s="5">
        <v>9</v>
      </c>
      <c r="C92" s="5">
        <v>24</v>
      </c>
      <c r="D92" s="5">
        <f t="shared" si="26"/>
        <v>0.375</v>
      </c>
      <c r="E92" s="37">
        <v>16</v>
      </c>
      <c r="F92" s="37">
        <v>24</v>
      </c>
      <c r="G92" s="37">
        <f t="shared" si="27"/>
        <v>0.66666666666666663</v>
      </c>
      <c r="H92" s="46">
        <v>16</v>
      </c>
      <c r="I92" s="46">
        <v>24</v>
      </c>
      <c r="J92" s="46">
        <f t="shared" si="28"/>
        <v>0.66666666666666663</v>
      </c>
      <c r="K92" s="41">
        <v>16</v>
      </c>
      <c r="L92" s="41">
        <v>24</v>
      </c>
      <c r="M92" s="41">
        <f t="shared" si="29"/>
        <v>0.66666666666666663</v>
      </c>
      <c r="N92" s="4"/>
      <c r="O92" s="41"/>
      <c r="P92" s="5">
        <f>AVERAGE(M90:M99)</f>
        <v>0.57638888888888895</v>
      </c>
      <c r="Q92" s="5">
        <f>STDEV(M90:M99)/SQRT(6)</f>
        <v>4.7405689349655715E-2</v>
      </c>
    </row>
    <row r="93" spans="1:17">
      <c r="A93" s="5">
        <v>4</v>
      </c>
      <c r="B93" s="5">
        <v>9</v>
      </c>
      <c r="C93" s="5">
        <v>24</v>
      </c>
      <c r="D93" s="5">
        <f t="shared" si="26"/>
        <v>0.375</v>
      </c>
      <c r="E93" s="37">
        <v>18</v>
      </c>
      <c r="F93" s="37">
        <v>24</v>
      </c>
      <c r="G93" s="37">
        <f t="shared" si="27"/>
        <v>0.75</v>
      </c>
      <c r="H93" s="46">
        <v>12</v>
      </c>
      <c r="I93" s="46">
        <v>24</v>
      </c>
      <c r="J93" s="46">
        <f t="shared" si="28"/>
        <v>0.5</v>
      </c>
      <c r="K93" s="41">
        <v>14</v>
      </c>
      <c r="L93" s="41">
        <v>24</v>
      </c>
      <c r="M93" s="41">
        <f t="shared" si="29"/>
        <v>0.58333333333333337</v>
      </c>
      <c r="N93" s="4"/>
      <c r="O93" s="4"/>
      <c r="P93" s="4"/>
      <c r="Q93" s="4"/>
    </row>
    <row r="94" spans="1:17">
      <c r="A94" s="5">
        <v>5</v>
      </c>
      <c r="B94" s="5">
        <v>7</v>
      </c>
      <c r="C94" s="5">
        <v>24</v>
      </c>
      <c r="D94" s="5">
        <f t="shared" si="26"/>
        <v>0.29166666666666669</v>
      </c>
      <c r="E94" s="37">
        <v>11</v>
      </c>
      <c r="F94" s="37">
        <v>24</v>
      </c>
      <c r="G94" s="37">
        <f t="shared" si="27"/>
        <v>0.45833333333333331</v>
      </c>
      <c r="H94" s="46">
        <v>17</v>
      </c>
      <c r="I94" s="46">
        <v>24</v>
      </c>
      <c r="J94" s="46">
        <f t="shared" si="28"/>
        <v>0.70833333333333337</v>
      </c>
      <c r="K94" s="41">
        <v>15</v>
      </c>
      <c r="L94" s="41">
        <v>24</v>
      </c>
      <c r="M94" s="41">
        <f t="shared" si="29"/>
        <v>0.625</v>
      </c>
      <c r="N94" s="4"/>
      <c r="O94" s="4"/>
      <c r="P94" s="4"/>
      <c r="Q94" s="4"/>
    </row>
    <row r="95" spans="1:17">
      <c r="A95" s="5">
        <v>6</v>
      </c>
      <c r="B95" s="5">
        <v>5</v>
      </c>
      <c r="C95" s="5">
        <v>24</v>
      </c>
      <c r="D95" s="5">
        <f t="shared" si="26"/>
        <v>0.20833333333333334</v>
      </c>
      <c r="E95" s="37">
        <v>11</v>
      </c>
      <c r="F95" s="37">
        <v>24</v>
      </c>
      <c r="G95" s="37">
        <f t="shared" si="27"/>
        <v>0.45833333333333331</v>
      </c>
      <c r="H95" s="46">
        <v>13</v>
      </c>
      <c r="I95" s="46">
        <v>24</v>
      </c>
      <c r="J95" s="46">
        <f t="shared" si="28"/>
        <v>0.54166666666666663</v>
      </c>
      <c r="K95" s="41">
        <v>11</v>
      </c>
      <c r="L95" s="41">
        <v>24</v>
      </c>
      <c r="M95" s="41">
        <f t="shared" si="29"/>
        <v>0.45833333333333331</v>
      </c>
      <c r="N95" s="4"/>
      <c r="O95" s="4"/>
      <c r="P95" s="4"/>
      <c r="Q95" s="4"/>
    </row>
    <row r="96" spans="1:17">
      <c r="A96" s="5">
        <v>7</v>
      </c>
      <c r="B96" s="5"/>
      <c r="C96" s="5"/>
      <c r="D96" s="5"/>
      <c r="E96" s="37"/>
      <c r="F96" s="37"/>
      <c r="G96" s="37"/>
      <c r="H96" s="46"/>
      <c r="I96" s="46"/>
      <c r="J96" s="46"/>
      <c r="K96" s="41"/>
      <c r="L96" s="41"/>
      <c r="M96" s="41"/>
      <c r="N96" s="4"/>
      <c r="O96" s="4"/>
      <c r="P96" s="4"/>
      <c r="Q96" s="4"/>
    </row>
    <row r="97" spans="1:17">
      <c r="A97" s="5">
        <v>8</v>
      </c>
      <c r="B97" s="5"/>
      <c r="C97" s="5"/>
      <c r="D97" s="5"/>
      <c r="E97" s="37"/>
      <c r="F97" s="37"/>
      <c r="G97" s="37"/>
      <c r="H97" s="46"/>
      <c r="I97" s="46"/>
      <c r="J97" s="46"/>
      <c r="K97" s="41"/>
      <c r="L97" s="41"/>
      <c r="M97" s="41"/>
      <c r="N97" s="4"/>
      <c r="O97" s="4"/>
      <c r="P97" s="4"/>
      <c r="Q97" s="4"/>
    </row>
    <row r="98" spans="1:17">
      <c r="A98" s="5">
        <v>9</v>
      </c>
      <c r="B98" s="5"/>
      <c r="C98" s="5"/>
      <c r="D98" s="5"/>
      <c r="E98" s="37"/>
      <c r="F98" s="37"/>
      <c r="G98" s="37"/>
      <c r="H98" s="46"/>
      <c r="I98" s="46"/>
      <c r="J98" s="46"/>
      <c r="K98" s="41"/>
      <c r="L98" s="41"/>
      <c r="M98" s="41"/>
      <c r="N98" s="4"/>
      <c r="O98" s="4"/>
      <c r="P98" s="4"/>
      <c r="Q98" s="4"/>
    </row>
    <row r="99" spans="1:17">
      <c r="A99" s="5">
        <v>10</v>
      </c>
      <c r="B99" s="5"/>
      <c r="C99" s="5"/>
      <c r="D99" s="5"/>
      <c r="E99" s="37"/>
      <c r="F99" s="37"/>
      <c r="G99" s="37"/>
      <c r="H99" s="46"/>
      <c r="I99" s="46"/>
      <c r="J99" s="46"/>
      <c r="K99" s="41"/>
      <c r="L99" s="41"/>
      <c r="M99" s="41"/>
      <c r="N99" s="4"/>
      <c r="O99" s="4"/>
      <c r="P99" s="4"/>
      <c r="Q99" s="4"/>
    </row>
    <row r="100" spans="1:17">
      <c r="E100" s="39"/>
      <c r="F100" s="39"/>
      <c r="G100" s="39"/>
      <c r="H100" s="48"/>
      <c r="I100" s="48"/>
      <c r="J100" s="48"/>
      <c r="K100" s="43"/>
      <c r="L100" s="43"/>
      <c r="M100" s="43"/>
    </row>
    <row r="101" spans="1:17">
      <c r="A101" s="18"/>
      <c r="B101" s="68" t="s">
        <v>25</v>
      </c>
      <c r="C101" s="31"/>
      <c r="D101" s="31"/>
      <c r="E101" s="68" t="s">
        <v>26</v>
      </c>
      <c r="F101" s="31"/>
      <c r="G101" s="31"/>
      <c r="H101" s="68" t="s">
        <v>30</v>
      </c>
      <c r="I101" s="31"/>
      <c r="J101" s="31"/>
      <c r="K101" s="68" t="s">
        <v>31</v>
      </c>
      <c r="L101" s="31"/>
      <c r="M101" s="31"/>
      <c r="O101" s="1" t="s">
        <v>16</v>
      </c>
    </row>
    <row r="102" spans="1:17">
      <c r="A102" s="19"/>
      <c r="B102" s="69" t="s">
        <v>9</v>
      </c>
      <c r="C102" s="70"/>
      <c r="D102" s="71"/>
      <c r="E102" s="72" t="s">
        <v>16</v>
      </c>
      <c r="F102" s="72"/>
      <c r="G102" s="72"/>
      <c r="H102" s="72" t="s">
        <v>16</v>
      </c>
      <c r="I102" s="72"/>
      <c r="J102" s="72"/>
      <c r="K102" s="72" t="s">
        <v>16</v>
      </c>
      <c r="L102" s="72"/>
      <c r="M102" s="72"/>
      <c r="O102" s="4"/>
      <c r="P102" s="5" t="s">
        <v>10</v>
      </c>
      <c r="Q102" s="6" t="s">
        <v>2</v>
      </c>
    </row>
    <row r="103" spans="1:17">
      <c r="A103" s="20" t="s">
        <v>3</v>
      </c>
      <c r="B103" s="21" t="s">
        <v>4</v>
      </c>
      <c r="C103" s="21" t="s">
        <v>5</v>
      </c>
      <c r="D103" s="21" t="s">
        <v>6</v>
      </c>
      <c r="E103" s="21" t="s">
        <v>4</v>
      </c>
      <c r="F103" s="21" t="s">
        <v>5</v>
      </c>
      <c r="G103" s="21" t="s">
        <v>6</v>
      </c>
      <c r="H103" s="21" t="s">
        <v>4</v>
      </c>
      <c r="I103" s="21" t="s">
        <v>5</v>
      </c>
      <c r="J103" s="21" t="s">
        <v>6</v>
      </c>
      <c r="K103" s="21" t="s">
        <v>4</v>
      </c>
      <c r="L103" s="21" t="s">
        <v>5</v>
      </c>
      <c r="M103" s="21" t="s">
        <v>6</v>
      </c>
      <c r="O103" s="12"/>
      <c r="P103" s="5" t="e">
        <f>AVERAGE(D104:D113)</f>
        <v>#DIV/0!</v>
      </c>
      <c r="Q103" s="5" t="e">
        <f>STDEV(D104:D113)/SQRT(5)</f>
        <v>#DIV/0!</v>
      </c>
    </row>
    <row r="104" spans="1:17">
      <c r="A104" s="21">
        <v>1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O104" s="36"/>
      <c r="P104" s="5" t="e">
        <f>AVERAGE(G104:G113)</f>
        <v>#DIV/0!</v>
      </c>
      <c r="Q104" s="5" t="e">
        <f>STDEV(G104:G113)/SQRT(5)</f>
        <v>#DIV/0!</v>
      </c>
    </row>
    <row r="105" spans="1:17">
      <c r="A105" s="21">
        <v>2</v>
      </c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O105" s="45"/>
      <c r="P105" s="5" t="e">
        <f>AVERAGE(J104:J113)</f>
        <v>#DIV/0!</v>
      </c>
      <c r="Q105" s="5" t="e">
        <f>STDEV(J104:J113)/SQRT(5)</f>
        <v>#DIV/0!</v>
      </c>
    </row>
    <row r="106" spans="1:17">
      <c r="A106" s="21">
        <v>3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O106" s="41"/>
      <c r="P106" s="5" t="e">
        <f>AVERAGE(M104:M113)</f>
        <v>#DIV/0!</v>
      </c>
      <c r="Q106" s="5" t="e">
        <f>STDEV(M104:M113)/SQRT(5)</f>
        <v>#DIV/0!</v>
      </c>
    </row>
    <row r="107" spans="1:17">
      <c r="A107" s="21">
        <v>4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</row>
    <row r="108" spans="1:17">
      <c r="A108" s="21">
        <v>5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</row>
    <row r="109" spans="1:17">
      <c r="A109" s="21">
        <v>6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</row>
    <row r="110" spans="1:17">
      <c r="A110" s="21">
        <v>7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</row>
    <row r="111" spans="1:17">
      <c r="A111" s="21">
        <v>8</v>
      </c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 spans="1:17">
      <c r="A112" s="21">
        <v>9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</row>
    <row r="113" spans="1:13">
      <c r="A113" s="21">
        <v>10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</sheetData>
  <mergeCells count="28">
    <mergeCell ref="B4:D4"/>
    <mergeCell ref="E4:G4"/>
    <mergeCell ref="H4:J4"/>
    <mergeCell ref="K4:M4"/>
    <mergeCell ref="B18:D18"/>
    <mergeCell ref="E18:G18"/>
    <mergeCell ref="H18:J18"/>
    <mergeCell ref="K18:M18"/>
    <mergeCell ref="B32:D32"/>
    <mergeCell ref="E32:G32"/>
    <mergeCell ref="H32:J32"/>
    <mergeCell ref="K32:M32"/>
    <mergeCell ref="B46:D46"/>
    <mergeCell ref="E46:G46"/>
    <mergeCell ref="H46:J46"/>
    <mergeCell ref="K46:M46"/>
    <mergeCell ref="B102:D102"/>
    <mergeCell ref="E102:G102"/>
    <mergeCell ref="H102:J102"/>
    <mergeCell ref="K102:M102"/>
    <mergeCell ref="B60:D60"/>
    <mergeCell ref="E60:G60"/>
    <mergeCell ref="H60:J60"/>
    <mergeCell ref="K60:M60"/>
    <mergeCell ref="B74:D74"/>
    <mergeCell ref="E74:G74"/>
    <mergeCell ref="H74:J74"/>
    <mergeCell ref="K74:M7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Met420 fixed leg</vt:lpstr>
      <vt:lpstr>Met412 fixed leg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DE SILVA, W.P.D.M.</cp:lastModifiedBy>
  <dcterms:created xsi:type="dcterms:W3CDTF">2022-02-16T08:52:50Z</dcterms:created>
  <dcterms:modified xsi:type="dcterms:W3CDTF">2026-06-06T12:24:59Z</dcterms:modified>
</cp:coreProperties>
</file>