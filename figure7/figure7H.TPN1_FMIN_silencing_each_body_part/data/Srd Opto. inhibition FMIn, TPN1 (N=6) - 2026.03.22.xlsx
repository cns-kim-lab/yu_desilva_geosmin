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In" sheetId="1" state="visible" r:id="rId3"/>
    <sheet name="TPN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<sst xmlns="http://schemas.openxmlformats.org/spreadsheetml/2006/main" count="298" uniqueCount="23">
  <si>
    <t xml:space="preserve">optogenetic silencing of FMIN - tarsal</t>
  </si>
  <si>
    <t xml:space="preserve">satiated condition</t>
  </si>
  <si>
    <t xml:space="preserve">intensity: x uW/mm2</t>
  </si>
  <si>
    <t xml:space="preserve">SS48944&gt;GtACR1 whole body </t>
  </si>
  <si>
    <t xml:space="preserve">retinal -</t>
  </si>
  <si>
    <t xml:space="preserve">retinal +</t>
  </si>
  <si>
    <t xml:space="preserve">PER (average)</t>
  </si>
  <si>
    <t xml:space="preserve">SEM</t>
  </si>
  <si>
    <t xml:space="preserve">Plate #</t>
  </si>
  <si>
    <t xml:space="preserve">Response</t>
  </si>
  <si>
    <t xml:space="preserve">Total</t>
  </si>
  <si>
    <t xml:space="preserve">Response Rate</t>
  </si>
  <si>
    <t xml:space="preserve">Table #</t>
  </si>
  <si>
    <t xml:space="preserve">SS48944&gt;GtACR1 head</t>
  </si>
  <si>
    <t xml:space="preserve">100mM Suc.</t>
  </si>
  <si>
    <t xml:space="preserve">Modified; 100mM Suc. &amp; 1% Geo.</t>
  </si>
  <si>
    <t xml:space="preserve">SS48944&gt;GtACR1 lower body</t>
  </si>
  <si>
    <t xml:space="preserve">**</t>
  </si>
  <si>
    <t xml:space="preserve">  </t>
  </si>
  <si>
    <t xml:space="preserve">optogenetic silencing of TPN1 - tarsal</t>
  </si>
  <si>
    <t xml:space="preserve">R30A08&gt;GtACR1 whole body </t>
  </si>
  <si>
    <t xml:space="preserve">R30A08&gt;GtACR1 head</t>
  </si>
  <si>
    <t xml:space="preserve">R30A08&gt;GtACR1 lower body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</si>
</sst>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8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9"/>
      <name val="Arial"/>
      <family val="2"/>
      <charset val="1"/>
    </font>
    <font>
      <i val="true"/>
      <sz val="8"/>
      <color rgb="FF000000"/>
      <name val="Arial"/>
      <family val="2"/>
      <charset val="1"/>
    </font>
    <font>
      <b val="true"/>
      <sz val="11"/>
      <color theme="1"/>
      <name val="Calibri"/>
      <family val="3"/>
      <charset val="129"/>
    </font>
    <font>
      <sz val="8"/>
      <color theme="1"/>
      <name val="Calibri"/>
      <family val="2"/>
      <charset val="129"/>
    </font>
    <font>
      <u val="single"/>
      <sz val="11"/>
      <color theme="10"/>
      <name val="Calibri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9.6"/>
      <color rgb="FF595959"/>
      <name val="Arial"/>
      <family val="2"/>
    </font>
    <font>
      <i val="true"/>
      <sz val="7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 val="true"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6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</a:rPr>
              <a:t>  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FMIn!$N$13</c:f>
              <c:strCache>
                <c:ptCount val="1"/>
                <c:pt idx="0">
                  <c:v>retinal -</c:v>
                </c:pt>
              </c:strCache>
            </c:strRef>
          </c:tx>
          <c:spPr>
            <a:solidFill>
              <a:srgbClr val="A5A5A5"/>
            </a:solidFill>
            <a:ln w="38160">
              <a:solidFill>
                <a:schemeClr val="accent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chemeClr val="accent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FMIn!$O$16:$X$16</c:f>
                <c:numCache>
                  <c:formatCode>General</c:formatCode>
                  <c:ptCount val="10"/>
                  <c:pt idx="0">
                    <c:v>0.0749073501808142</c:v>
                  </c:pt>
                  <c:pt idx="1">
                    <c:v>0.0872416821886827</c:v>
                  </c:pt>
                  <c:pt idx="2">
                    <c:v>0.0988826464946088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FMIn!$O$16:$X$16</c:f>
                <c:numCache>
                  <c:formatCode>General</c:formatCode>
                  <c:ptCount val="10"/>
                  <c:pt idx="0">
                    <c:v>0.0749073501808142</c:v>
                  </c:pt>
                  <c:pt idx="1">
                    <c:v>0.0872416821886827</c:v>
                  </c:pt>
                  <c:pt idx="2">
                    <c:v>0.0988826464946088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FMIn!$O$12:$Q$12</c:f>
              <c:strCache>
                <c:ptCount val="3"/>
                <c:pt idx="0">
                  <c:v>SS48944&gt;GtACR1 whole body </c:v>
                </c:pt>
                <c:pt idx="1">
                  <c:v>SS48944&gt;GtACR1 head</c:v>
                </c:pt>
                <c:pt idx="2">
                  <c:v>SS48944&gt;GtACR1 lower body</c:v>
                </c:pt>
              </c:strCache>
            </c:strRef>
          </c:cat>
          <c:val>
            <c:numRef>
              <c:f>FMIn!$O$13:$Q$13</c:f>
              <c:numCache>
                <c:formatCode>General</c:formatCode>
                <c:ptCount val="3"/>
                <c:pt idx="0">
                  <c:v>0.616666666666667</c:v>
                </c:pt>
                <c:pt idx="1">
                  <c:v>0.616666666666667</c:v>
                </c:pt>
                <c:pt idx="2">
                  <c:v>0.633333333333333</c:v>
                </c:pt>
              </c:numCache>
            </c:numRef>
          </c:val>
        </c:ser>
        <c:ser>
          <c:idx val="1"/>
          <c:order val="1"/>
          <c:tx>
            <c:strRef>
              <c:f>FMIn!$N$14</c:f>
              <c:strCache>
                <c:ptCount val="1"/>
                <c:pt idx="0">
                  <c:v>retinal +</c:v>
                </c:pt>
              </c:strCache>
            </c:strRef>
          </c:tx>
          <c:spPr>
            <a:solidFill>
              <a:srgbClr val="000000"/>
            </a:solidFill>
            <a:ln w="38160">
              <a:solidFill>
                <a:schemeClr val="accent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chemeClr val="accent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FMIn!$O$17:$X$17</c:f>
                <c:numCache>
                  <c:formatCode>General</c:formatCode>
                  <c:ptCount val="10"/>
                  <c:pt idx="0">
                    <c:v>0.0885061203156784</c:v>
                  </c:pt>
                  <c:pt idx="1">
                    <c:v>0.0833333333333334</c:v>
                  </c:pt>
                  <c:pt idx="2">
                    <c:v>0.0763762615825973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FMIn!$O$17:$X$17</c:f>
                <c:numCache>
                  <c:formatCode>General</c:formatCode>
                  <c:ptCount val="10"/>
                  <c:pt idx="0">
                    <c:v>0.0885061203156784</c:v>
                  </c:pt>
                  <c:pt idx="1">
                    <c:v>0.0833333333333334</c:v>
                  </c:pt>
                  <c:pt idx="2">
                    <c:v>0.0763762615825973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FMIn!$O$12:$Q$12</c:f>
              <c:strCache>
                <c:ptCount val="3"/>
                <c:pt idx="0">
                  <c:v>SS48944&gt;GtACR1 whole body </c:v>
                </c:pt>
                <c:pt idx="1">
                  <c:v>SS48944&gt;GtACR1 head</c:v>
                </c:pt>
                <c:pt idx="2">
                  <c:v>SS48944&gt;GtACR1 lower body</c:v>
                </c:pt>
              </c:strCache>
            </c:strRef>
          </c:cat>
          <c:val>
            <c:numRef>
              <c:f>FMIn!$O$14:$Q$14</c:f>
              <c:numCache>
                <c:formatCode>General</c:formatCode>
                <c:ptCount val="3"/>
                <c:pt idx="0">
                  <c:v>0.35</c:v>
                </c:pt>
                <c:pt idx="1">
                  <c:v>0.583333333333333</c:v>
                </c:pt>
                <c:pt idx="2">
                  <c:v>0.35</c:v>
                </c:pt>
              </c:numCache>
            </c:numRef>
          </c:val>
        </c:ser>
        <c:gapWidth val="150"/>
        <c:overlap val="0"/>
        <c:axId val="74815138"/>
        <c:axId val="69555312"/>
      </c:barChart>
      <c:catAx>
        <c:axId val="74815138"/>
        <c:scaling>
          <c:orientation val="minMax"/>
        </c:scaling>
        <c:delete val="0"/>
        <c:axPos val="b"/>
        <c:numFmt formatCode="General" sourceLinked="0"/>
        <c:majorTickMark val="none"/>
        <c:minorTickMark val="out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700" b="0" i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9555312"/>
        <c:crosses val="autoZero"/>
        <c:auto val="1"/>
        <c:lblAlgn val="ctr"/>
        <c:lblOffset val="100"/>
        <c:noMultiLvlLbl val="0"/>
      </c:catAx>
      <c:valAx>
        <c:axId val="69555312"/>
        <c:scaling>
          <c:orientation val="minMax"/>
          <c:max val="1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8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Tarsal PER (100 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4815138"/>
        <c:crosses val="autoZero"/>
        <c:crossBetween val="between"/>
        <c:majorUnit val="0.2"/>
      </c:valAx>
      <c:spPr>
        <a:noFill/>
        <a:ln w="0">
          <a:solidFill>
            <a:schemeClr val="lt1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7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6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</a:rPr>
              <a:t>  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FMIn!$N$13</c:f>
              <c:strCache>
                <c:ptCount val="1"/>
                <c:pt idx="0">
                  <c:v>retinal -</c:v>
                </c:pt>
              </c:strCache>
            </c:strRef>
          </c:tx>
          <c:spPr>
            <a:solidFill>
              <a:srgbClr val="A5A5A5"/>
            </a:solidFill>
            <a:ln w="38160">
              <a:solidFill>
                <a:schemeClr val="accent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chemeClr val="accent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FMIn!$O$16:$X$16</c:f>
                <c:numCache>
                  <c:formatCode>General</c:formatCode>
                  <c:ptCount val="10"/>
                  <c:pt idx="0">
                    <c:v>0.0749073501808142</c:v>
                  </c:pt>
                  <c:pt idx="1">
                    <c:v>0.0872416821886827</c:v>
                  </c:pt>
                  <c:pt idx="2">
                    <c:v>0.0988826464946088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FMIn!$O$16:$X$16</c:f>
                <c:numCache>
                  <c:formatCode>General</c:formatCode>
                  <c:ptCount val="10"/>
                  <c:pt idx="0">
                    <c:v>0.0749073501808142</c:v>
                  </c:pt>
                  <c:pt idx="1">
                    <c:v>0.0872416821886827</c:v>
                  </c:pt>
                  <c:pt idx="2">
                    <c:v>0.0988826464946088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FMIn!$O$12:$Q$12</c:f>
              <c:strCache>
                <c:ptCount val="3"/>
                <c:pt idx="0">
                  <c:v>SS48944&gt;GtACR1 whole body </c:v>
                </c:pt>
                <c:pt idx="1">
                  <c:v>SS48944&gt;GtACR1 head</c:v>
                </c:pt>
                <c:pt idx="2">
                  <c:v>SS48944&gt;GtACR1 lower body</c:v>
                </c:pt>
              </c:strCache>
            </c:strRef>
          </c:cat>
          <c:val>
            <c:numRef>
              <c:f>FMIn!$O$13:$Q$13</c:f>
              <c:numCache>
                <c:formatCode>General</c:formatCode>
                <c:ptCount val="3"/>
                <c:pt idx="0">
                  <c:v>0.616666666666667</c:v>
                </c:pt>
                <c:pt idx="1">
                  <c:v>0.616666666666667</c:v>
                </c:pt>
                <c:pt idx="2">
                  <c:v>0.633333333333333</c:v>
                </c:pt>
              </c:numCache>
            </c:numRef>
          </c:val>
        </c:ser>
        <c:ser>
          <c:idx val="1"/>
          <c:order val="1"/>
          <c:tx>
            <c:strRef>
              <c:f>FMIn!$N$14</c:f>
              <c:strCache>
                <c:ptCount val="1"/>
                <c:pt idx="0">
                  <c:v>retinal +</c:v>
                </c:pt>
              </c:strCache>
            </c:strRef>
          </c:tx>
          <c:spPr>
            <a:solidFill>
              <a:srgbClr val="000000"/>
            </a:solidFill>
            <a:ln w="38160">
              <a:solidFill>
                <a:schemeClr val="accent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chemeClr val="accent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FMIn!$O$17:$X$17</c:f>
                <c:numCache>
                  <c:formatCode>General</c:formatCode>
                  <c:ptCount val="10"/>
                  <c:pt idx="0">
                    <c:v>0.0885061203156784</c:v>
                  </c:pt>
                  <c:pt idx="1">
                    <c:v>0.0833333333333334</c:v>
                  </c:pt>
                  <c:pt idx="2">
                    <c:v>0.0763762615825973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FMIn!$O$17:$X$17</c:f>
                <c:numCache>
                  <c:formatCode>General</c:formatCode>
                  <c:ptCount val="10"/>
                  <c:pt idx="0">
                    <c:v>0.0885061203156784</c:v>
                  </c:pt>
                  <c:pt idx="1">
                    <c:v>0.0833333333333334</c:v>
                  </c:pt>
                  <c:pt idx="2">
                    <c:v>0.0763762615825973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FMIn!$O$12:$Q$12</c:f>
              <c:strCache>
                <c:ptCount val="3"/>
                <c:pt idx="0">
                  <c:v>SS48944&gt;GtACR1 whole body </c:v>
                </c:pt>
                <c:pt idx="1">
                  <c:v>SS48944&gt;GtACR1 head</c:v>
                </c:pt>
                <c:pt idx="2">
                  <c:v>SS48944&gt;GtACR1 lower body</c:v>
                </c:pt>
              </c:strCache>
            </c:strRef>
          </c:cat>
          <c:val>
            <c:numRef>
              <c:f>FMIn!$O$14:$Q$14</c:f>
              <c:numCache>
                <c:formatCode>General</c:formatCode>
                <c:ptCount val="3"/>
                <c:pt idx="0">
                  <c:v>0.35</c:v>
                </c:pt>
                <c:pt idx="1">
                  <c:v>0.583333333333333</c:v>
                </c:pt>
                <c:pt idx="2">
                  <c:v>0.35</c:v>
                </c:pt>
              </c:numCache>
            </c:numRef>
          </c:val>
        </c:ser>
        <c:gapWidth val="150"/>
        <c:overlap val="0"/>
        <c:axId val="29571468"/>
        <c:axId val="24448704"/>
      </c:barChart>
      <c:catAx>
        <c:axId val="29571468"/>
        <c:scaling>
          <c:orientation val="minMax"/>
        </c:scaling>
        <c:delete val="0"/>
        <c:axPos val="b"/>
        <c:numFmt formatCode="General" sourceLinked="0"/>
        <c:majorTickMark val="none"/>
        <c:minorTickMark val="out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700" b="0" i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448704"/>
        <c:crosses val="autoZero"/>
        <c:auto val="1"/>
        <c:lblAlgn val="ctr"/>
        <c:lblOffset val="100"/>
        <c:noMultiLvlLbl val="0"/>
      </c:catAx>
      <c:valAx>
        <c:axId val="24448704"/>
        <c:scaling>
          <c:orientation val="minMax"/>
          <c:max val="1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8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Tarsal PER (100 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9571468"/>
        <c:crosses val="autoZero"/>
        <c:crossBetween val="between"/>
        <c:majorUnit val="0.2"/>
      </c:valAx>
      <c:spPr>
        <a:noFill/>
        <a:ln w="0">
          <a:solidFill>
            <a:schemeClr val="lt1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7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6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</a:rPr>
              <a:t>  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'TPN1'!$N$13</c:f>
              <c:strCache>
                <c:ptCount val="1"/>
                <c:pt idx="0">
                  <c:v>retinal -</c:v>
                </c:pt>
              </c:strCache>
            </c:strRef>
          </c:tx>
          <c:spPr>
            <a:solidFill>
              <a:srgbClr val="A5A5A5"/>
            </a:solidFill>
            <a:ln w="38160">
              <a:solidFill>
                <a:schemeClr val="accent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chemeClr val="accent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'TPN1'!$O$16:$X$16</c:f>
                <c:numCache>
                  <c:formatCode>General</c:formatCode>
                  <c:ptCount val="10"/>
                  <c:pt idx="0">
                    <c:v>0.0792324288266981</c:v>
                  </c:pt>
                  <c:pt idx="1">
                    <c:v>0.0763762615825975</c:v>
                  </c:pt>
                  <c:pt idx="2">
                    <c:v>0.0666666666666666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'TPN1'!$O$16:$X$16</c:f>
                <c:numCache>
                  <c:formatCode>General</c:formatCode>
                  <c:ptCount val="10"/>
                  <c:pt idx="0">
                    <c:v>0.0792324288266981</c:v>
                  </c:pt>
                  <c:pt idx="1">
                    <c:v>0.0763762615825975</c:v>
                  </c:pt>
                  <c:pt idx="2">
                    <c:v>0.0666666666666666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'TPN1'!$O$12:$Q$12</c:f>
              <c:strCache>
                <c:ptCount val="3"/>
                <c:pt idx="0">
                  <c:v>R30A08&gt;GtACR1 whole body </c:v>
                </c:pt>
                <c:pt idx="1">
                  <c:v>R30A08&gt;GtACR1 head</c:v>
                </c:pt>
                <c:pt idx="2">
                  <c:v>R30A08&gt;GtACR1 lower body</c:v>
                </c:pt>
              </c:strCache>
            </c:strRef>
          </c:cat>
          <c:val>
            <c:numRef>
              <c:f>'TPN1'!$O$13:$Q$13</c:f>
              <c:numCache>
                <c:formatCode>General</c:formatCode>
                <c:ptCount val="3"/>
                <c:pt idx="0">
                  <c:v>0.616666666666667</c:v>
                </c:pt>
                <c:pt idx="1">
                  <c:v>0.65</c:v>
                </c:pt>
                <c:pt idx="2">
                  <c:v>0.633333333333333</c:v>
                </c:pt>
              </c:numCache>
            </c:numRef>
          </c:val>
        </c:ser>
        <c:ser>
          <c:idx val="1"/>
          <c:order val="1"/>
          <c:tx>
            <c:strRef>
              <c:f>'TPN1'!$N$14</c:f>
              <c:strCache>
                <c:ptCount val="1"/>
                <c:pt idx="0">
                  <c:v>retinal +</c:v>
                </c:pt>
              </c:strCache>
            </c:strRef>
          </c:tx>
          <c:spPr>
            <a:solidFill>
              <a:srgbClr val="000000"/>
            </a:solidFill>
            <a:ln w="38160">
              <a:solidFill>
                <a:schemeClr val="accent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chemeClr val="accent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'TPN1'!$O$17:$X$17</c:f>
                <c:numCache>
                  <c:formatCode>General</c:formatCode>
                  <c:ptCount val="10"/>
                  <c:pt idx="0">
                    <c:v>0.0614636297152859</c:v>
                  </c:pt>
                  <c:pt idx="1">
                    <c:v>0.0494413232473044</c:v>
                  </c:pt>
                  <c:pt idx="2">
                    <c:v>0.0833333333333334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'TPN1'!$O$17:$X$17</c:f>
                <c:numCache>
                  <c:formatCode>General</c:formatCode>
                  <c:ptCount val="10"/>
                  <c:pt idx="0">
                    <c:v>0.0614636297152859</c:v>
                  </c:pt>
                  <c:pt idx="1">
                    <c:v>0.0494413232473044</c:v>
                  </c:pt>
                  <c:pt idx="2">
                    <c:v>0.0833333333333334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'TPN1'!$O$12:$Q$12</c:f>
              <c:strCache>
                <c:ptCount val="3"/>
                <c:pt idx="0">
                  <c:v>R30A08&gt;GtACR1 whole body </c:v>
                </c:pt>
                <c:pt idx="1">
                  <c:v>R30A08&gt;GtACR1 head</c:v>
                </c:pt>
                <c:pt idx="2">
                  <c:v>R30A08&gt;GtACR1 lower body</c:v>
                </c:pt>
              </c:strCache>
            </c:strRef>
          </c:cat>
          <c:val>
            <c:numRef>
              <c:f>'TPN1'!$O$14:$Q$14</c:f>
              <c:numCache>
                <c:formatCode>General</c:formatCode>
                <c:ptCount val="3"/>
                <c:pt idx="0">
                  <c:v>0.366666666666667</c:v>
                </c:pt>
                <c:pt idx="1">
                  <c:v>0.633333333333333</c:v>
                </c:pt>
                <c:pt idx="2">
                  <c:v>0.383333333333333</c:v>
                </c:pt>
              </c:numCache>
            </c:numRef>
          </c:val>
        </c:ser>
        <c:gapWidth val="150"/>
        <c:overlap val="0"/>
        <c:axId val="12989988"/>
        <c:axId val="83513081"/>
      </c:barChart>
      <c:catAx>
        <c:axId val="12989988"/>
        <c:scaling>
          <c:orientation val="minMax"/>
        </c:scaling>
        <c:delete val="0"/>
        <c:axPos val="b"/>
        <c:numFmt formatCode="General" sourceLinked="0"/>
        <c:majorTickMark val="none"/>
        <c:minorTickMark val="out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700" b="0" i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513081"/>
        <c:crosses val="autoZero"/>
        <c:auto val="1"/>
        <c:lblAlgn val="ctr"/>
        <c:lblOffset val="100"/>
        <c:noMultiLvlLbl val="0"/>
      </c:catAx>
      <c:valAx>
        <c:axId val="83513081"/>
        <c:scaling>
          <c:orientation val="minMax"/>
          <c:max val="1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8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Tarsal PER (100 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2989988"/>
        <c:crosses val="autoZero"/>
        <c:crossBetween val="between"/>
        <c:majorUnit val="0.2"/>
      </c:valAx>
      <c:spPr>
        <a:noFill/>
        <a:ln w="0">
          <a:solidFill>
            <a:schemeClr val="lt1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7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6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</a:rPr>
              <a:t>  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'TPN1'!$N$13</c:f>
              <c:strCache>
                <c:ptCount val="1"/>
                <c:pt idx="0">
                  <c:v>retinal -</c:v>
                </c:pt>
              </c:strCache>
            </c:strRef>
          </c:tx>
          <c:spPr>
            <a:solidFill>
              <a:srgbClr val="A5A5A5"/>
            </a:solidFill>
            <a:ln w="38160">
              <a:solidFill>
                <a:schemeClr val="accent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chemeClr val="accent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'TPN1'!$O$16:$X$16</c:f>
                <c:numCache>
                  <c:formatCode>General</c:formatCode>
                  <c:ptCount val="10"/>
                  <c:pt idx="0">
                    <c:v>0.0792324288266981</c:v>
                  </c:pt>
                  <c:pt idx="1">
                    <c:v>0.0763762615825975</c:v>
                  </c:pt>
                  <c:pt idx="2">
                    <c:v>0.0666666666666666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'TPN1'!$O$16:$X$16</c:f>
                <c:numCache>
                  <c:formatCode>General</c:formatCode>
                  <c:ptCount val="10"/>
                  <c:pt idx="0">
                    <c:v>0.0792324288266981</c:v>
                  </c:pt>
                  <c:pt idx="1">
                    <c:v>0.0763762615825975</c:v>
                  </c:pt>
                  <c:pt idx="2">
                    <c:v>0.0666666666666666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'TPN1'!$O$12:$Q$12</c:f>
              <c:strCache>
                <c:ptCount val="3"/>
                <c:pt idx="0">
                  <c:v>R30A08&gt;GtACR1 whole body </c:v>
                </c:pt>
                <c:pt idx="1">
                  <c:v>R30A08&gt;GtACR1 head</c:v>
                </c:pt>
                <c:pt idx="2">
                  <c:v>R30A08&gt;GtACR1 lower body</c:v>
                </c:pt>
              </c:strCache>
            </c:strRef>
          </c:cat>
          <c:val>
            <c:numRef>
              <c:f>'TPN1'!$O$13:$Q$13</c:f>
              <c:numCache>
                <c:formatCode>General</c:formatCode>
                <c:ptCount val="3"/>
                <c:pt idx="0">
                  <c:v>0.616666666666667</c:v>
                </c:pt>
                <c:pt idx="1">
                  <c:v>0.65</c:v>
                </c:pt>
                <c:pt idx="2">
                  <c:v>0.633333333333333</c:v>
                </c:pt>
              </c:numCache>
            </c:numRef>
          </c:val>
        </c:ser>
        <c:ser>
          <c:idx val="1"/>
          <c:order val="1"/>
          <c:tx>
            <c:strRef>
              <c:f>'TPN1'!$N$14</c:f>
              <c:strCache>
                <c:ptCount val="1"/>
                <c:pt idx="0">
                  <c:v>retinal +</c:v>
                </c:pt>
              </c:strCache>
            </c:strRef>
          </c:tx>
          <c:spPr>
            <a:solidFill>
              <a:srgbClr val="000000"/>
            </a:solidFill>
            <a:ln w="38160">
              <a:solidFill>
                <a:schemeClr val="accent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chemeClr val="accent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'TPN1'!$O$17:$X$17</c:f>
                <c:numCache>
                  <c:formatCode>General</c:formatCode>
                  <c:ptCount val="10"/>
                  <c:pt idx="0">
                    <c:v>0.0614636297152859</c:v>
                  </c:pt>
                  <c:pt idx="1">
                    <c:v>0.0494413232473044</c:v>
                  </c:pt>
                  <c:pt idx="2">
                    <c:v>0.0833333333333334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'TPN1'!$O$17:$X$17</c:f>
                <c:numCache>
                  <c:formatCode>General</c:formatCode>
                  <c:ptCount val="10"/>
                  <c:pt idx="0">
                    <c:v>0.0614636297152859</c:v>
                  </c:pt>
                  <c:pt idx="1">
                    <c:v>0.0494413232473044</c:v>
                  </c:pt>
                  <c:pt idx="2">
                    <c:v>0.0833333333333334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'TPN1'!$O$12:$Q$12</c:f>
              <c:strCache>
                <c:ptCount val="3"/>
                <c:pt idx="0">
                  <c:v>R30A08&gt;GtACR1 whole body </c:v>
                </c:pt>
                <c:pt idx="1">
                  <c:v>R30A08&gt;GtACR1 head</c:v>
                </c:pt>
                <c:pt idx="2">
                  <c:v>R30A08&gt;GtACR1 lower body</c:v>
                </c:pt>
              </c:strCache>
            </c:strRef>
          </c:cat>
          <c:val>
            <c:numRef>
              <c:f>'TPN1'!$O$14:$Q$14</c:f>
              <c:numCache>
                <c:formatCode>General</c:formatCode>
                <c:ptCount val="3"/>
                <c:pt idx="0">
                  <c:v>0.366666666666667</c:v>
                </c:pt>
                <c:pt idx="1">
                  <c:v>0.633333333333333</c:v>
                </c:pt>
                <c:pt idx="2">
                  <c:v>0.383333333333333</c:v>
                </c:pt>
              </c:numCache>
            </c:numRef>
          </c:val>
        </c:ser>
        <c:gapWidth val="150"/>
        <c:overlap val="0"/>
        <c:axId val="32931024"/>
        <c:axId val="22063950"/>
      </c:barChart>
      <c:catAx>
        <c:axId val="32931024"/>
        <c:scaling>
          <c:orientation val="minMax"/>
        </c:scaling>
        <c:delete val="0"/>
        <c:axPos val="b"/>
        <c:numFmt formatCode="General" sourceLinked="0"/>
        <c:majorTickMark val="none"/>
        <c:minorTickMark val="out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700" b="0" i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063950"/>
        <c:crosses val="autoZero"/>
        <c:auto val="1"/>
        <c:lblAlgn val="ctr"/>
        <c:lblOffset val="100"/>
        <c:noMultiLvlLbl val="0"/>
      </c:catAx>
      <c:valAx>
        <c:axId val="22063950"/>
        <c:scaling>
          <c:orientation val="minMax"/>
          <c:max val="1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8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Tarsal PER (100 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2931024"/>
        <c:crosses val="autoZero"/>
        <c:crossBetween val="between"/>
        <c:majorUnit val="0.2"/>
      </c:valAx>
      <c:spPr>
        <a:noFill/>
        <a:ln w="0">
          <a:solidFill>
            <a:schemeClr val="lt1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7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13</xdr:col>
      <xdr:colOff>0</xdr:colOff>
      <xdr:row>19</xdr:row>
      <xdr:rowOff>360</xdr:rowOff>
    </xdr:from>
    <xdr:to>
      <xdr:col>18</xdr:col>
      <xdr:colOff>719640</xdr:colOff>
      <xdr:row>35</xdr:row>
      <xdr:rowOff>123840</xdr:rowOff>
    </xdr:to>
    <xdr:grpSp>
      <xdr:nvGrpSpPr>
        <xdr:cNvPr id="1" name="Group 4"/>
        <xdr:cNvGrpSpPr/>
      </xdr:nvGrpSpPr>
      <xdr:grpSpPr>
        <a:xfrm>
          <a:off x="9361080" y="2627280"/>
          <a:ext cx="4320360" cy="2252160"/>
          <a:chOff x="9361080" y="2627280"/>
          <a:chExt cx="4320360" cy="2252160"/>
        </a:xfrm>
      </xdr:grpSpPr>
      <xdr:graphicFrame>
        <xdr:nvGraphicFramePr>
          <xdr:cNvPr id="2" name="Chart 1"/>
          <xdr:cNvGraphicFramePr/>
        </xdr:nvGraphicFramePr>
        <xdr:xfrm>
          <a:off x="9361080" y="2627280"/>
          <a:ext cx="4320360" cy="22521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3" name="TextBox 2"/>
          <xdr:cNvSpPr/>
        </xdr:nvSpPr>
        <xdr:spPr>
          <a:xfrm>
            <a:off x="10030320" y="2737800"/>
            <a:ext cx="1788840" cy="2037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tIns="45000" rIns="90000" bIns="45000" anchor="t">
            <a:spAutoFit/>
          </a:bodyPr>
          <a:p>
            <a:pPr defTabSz="914400">
              <a:lnSpc>
                <a:spcPct val="100000"/>
              </a:lnSpc>
              <a:tabLst>
                <a:tab pos="0" algn="l"/>
              </a:tabLst>
            </a:pPr>
            <a:r>
              <a:rPr lang="en-US" sz="800" b="1" u="none" strike="noStrike">
                <a:solidFill>
                  <a:srgbClr val="000000"/>
                </a:solidFill>
                <a:effectLst/>
                <a:uFillTx/>
                <a:latin typeface="Arial"/>
              </a:rPr>
              <a:t>Satiated condition (FMIn)</a:t>
            </a:r>
            <a:endParaRPr lang="en-US" sz="8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13</xdr:col>
      <xdr:colOff>0</xdr:colOff>
      <xdr:row>19</xdr:row>
      <xdr:rowOff>360</xdr:rowOff>
    </xdr:from>
    <xdr:to>
      <xdr:col>18</xdr:col>
      <xdr:colOff>719640</xdr:colOff>
      <xdr:row>35</xdr:row>
      <xdr:rowOff>123840</xdr:rowOff>
    </xdr:to>
    <xdr:graphicFrame>
      <xdr:nvGraphicFramePr>
        <xdr:cNvPr id="4" name="Chart 1"/>
        <xdr:cNvGraphicFramePr/>
      </xdr:nvGraphicFramePr>
      <xdr:xfrm>
        <a:off x="9361080" y="2627280"/>
        <a:ext cx="4320360" cy="225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153360</xdr:colOff>
      <xdr:row>22</xdr:row>
      <xdr:rowOff>19800</xdr:rowOff>
    </xdr:from>
    <xdr:to>
      <xdr:col>18</xdr:col>
      <xdr:colOff>337680</xdr:colOff>
      <xdr:row>23</xdr:row>
      <xdr:rowOff>105840</xdr:rowOff>
    </xdr:to>
    <xdr:sp>
      <xdr:nvSpPr>
        <xdr:cNvPr id="5" name="TextBox 3"/>
        <xdr:cNvSpPr/>
      </xdr:nvSpPr>
      <xdr:spPr>
        <a:xfrm>
          <a:off x="13115160" y="3018240"/>
          <a:ext cx="184320" cy="209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13</xdr:col>
      <xdr:colOff>0</xdr:colOff>
      <xdr:row>19</xdr:row>
      <xdr:rowOff>360</xdr:rowOff>
    </xdr:from>
    <xdr:to>
      <xdr:col>18</xdr:col>
      <xdr:colOff>719640</xdr:colOff>
      <xdr:row>35</xdr:row>
      <xdr:rowOff>123840</xdr:rowOff>
    </xdr:to>
    <xdr:grpSp>
      <xdr:nvGrpSpPr>
        <xdr:cNvPr id="6" name="Group 1"/>
        <xdr:cNvGrpSpPr/>
      </xdr:nvGrpSpPr>
      <xdr:grpSpPr>
        <a:xfrm>
          <a:off x="9361080" y="2627280"/>
          <a:ext cx="4320360" cy="2207520"/>
          <a:chOff x="9361080" y="2627280"/>
          <a:chExt cx="4320360" cy="2207520"/>
        </a:xfrm>
      </xdr:grpSpPr>
      <xdr:graphicFrame>
        <xdr:nvGraphicFramePr>
          <xdr:cNvPr id="7" name="Chart 2"/>
          <xdr:cNvGraphicFramePr/>
        </xdr:nvGraphicFramePr>
        <xdr:xfrm>
          <a:off x="9361080" y="2627280"/>
          <a:ext cx="4320360" cy="2207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8" name="TextBox 3"/>
          <xdr:cNvSpPr/>
        </xdr:nvSpPr>
        <xdr:spPr>
          <a:xfrm>
            <a:off x="10030320" y="2721960"/>
            <a:ext cx="1850760" cy="2030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tIns="45000" rIns="90000" bIns="45000" anchor="t">
            <a:spAutoFit/>
          </a:bodyPr>
          <a:p>
            <a:pPr defTabSz="914400">
              <a:lnSpc>
                <a:spcPct val="100000"/>
              </a:lnSpc>
              <a:tabLst>
                <a:tab pos="0" algn="l"/>
              </a:tabLst>
            </a:pPr>
            <a:r>
              <a:rPr lang="en-US" sz="800" b="1" u="none" strike="noStrike">
                <a:solidFill>
                  <a:srgbClr val="000000"/>
                </a:solidFill>
                <a:effectLst/>
                <a:uFillTx/>
                <a:latin typeface="Arial"/>
              </a:rPr>
              <a:t>Satiated condition (TPN1)</a:t>
            </a:r>
            <a:endParaRPr lang="en-US" sz="8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13</xdr:col>
      <xdr:colOff>0</xdr:colOff>
      <xdr:row>19</xdr:row>
      <xdr:rowOff>360</xdr:rowOff>
    </xdr:from>
    <xdr:to>
      <xdr:col>18</xdr:col>
      <xdr:colOff>719640</xdr:colOff>
      <xdr:row>35</xdr:row>
      <xdr:rowOff>123840</xdr:rowOff>
    </xdr:to>
    <xdr:graphicFrame>
      <xdr:nvGraphicFramePr>
        <xdr:cNvPr id="9" name="Chart 2"/>
        <xdr:cNvGraphicFramePr/>
      </xdr:nvGraphicFramePr>
      <xdr:xfrm>
        <a:off x="9361080" y="2627280"/>
        <a:ext cx="4320360" cy="220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153360</xdr:colOff>
      <xdr:row>22</xdr:row>
      <xdr:rowOff>19800</xdr:rowOff>
    </xdr:from>
    <xdr:to>
      <xdr:col>18</xdr:col>
      <xdr:colOff>337680</xdr:colOff>
      <xdr:row>23</xdr:row>
      <xdr:rowOff>105840</xdr:rowOff>
    </xdr:to>
    <xdr:sp>
      <xdr:nvSpPr>
        <xdr:cNvPr id="10" name="TextBox 4"/>
        <xdr:cNvSpPr/>
      </xdr:nvSpPr>
      <xdr:spPr>
        <a:xfrm>
          <a:off x="13115160" y="3018240"/>
          <a:ext cx="184320" cy="209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3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E33" activeCellId="0" sqref="E33"/>
    </sheetView>
  </sheetViews>
  <sheetFormatPr defaultColWidth="9.00390625" defaultRowHeight="9.75" customHeight="false" zeroHeight="false" outlineLevelRow="0" outlineLevelCol="0"/>
  <cols>
    <col collapsed="false" customWidth="false" hidden="false" outlineLevel="0" max="16384" min="1" style="1" width="9"/>
  </cols>
  <sheetData>
    <row r="1" s="3" customFormat="true" ht="14.2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="3" customFormat="tru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="3" customFormat="true" ht="14.25" hidden="false" customHeight="true" outlineLevel="0" collapsed="false">
      <c r="A3" s="2" t="s">
        <v>1</v>
      </c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9.75" hidden="false" customHeight="false" outlineLevel="0" collapsed="false">
      <c r="A4" s="4"/>
      <c r="N4" s="5"/>
      <c r="O4" s="5"/>
      <c r="P4" s="5"/>
    </row>
    <row r="5" customFormat="false" ht="13.8" hidden="false" customHeight="false" outlineLevel="0" collapsed="false">
      <c r="A5" s="4" t="n">
        <v>1</v>
      </c>
      <c r="B5" s="6" t="s">
        <v>3</v>
      </c>
      <c r="C5" s="7"/>
      <c r="D5" s="8"/>
      <c r="E5" s="8"/>
      <c r="F5" s="8"/>
      <c r="G5" s="8"/>
      <c r="N5" s="5"/>
      <c r="O5" s="5"/>
      <c r="P5" s="5"/>
      <c r="Q5" s="5"/>
    </row>
    <row r="6" customFormat="false" ht="9.75" hidden="false" customHeight="false" outlineLevel="0" collapsed="false">
      <c r="A6" s="8"/>
      <c r="B6" s="9" t="s">
        <v>4</v>
      </c>
      <c r="C6" s="9"/>
      <c r="D6" s="9"/>
      <c r="E6" s="9" t="s">
        <v>5</v>
      </c>
      <c r="F6" s="9"/>
      <c r="G6" s="9"/>
      <c r="I6" s="8"/>
      <c r="J6" s="8"/>
      <c r="K6" s="9" t="s">
        <v>6</v>
      </c>
      <c r="L6" s="10" t="s">
        <v>7</v>
      </c>
      <c r="N6" s="5"/>
      <c r="O6" s="5"/>
      <c r="P6" s="5"/>
    </row>
    <row r="7" customFormat="false" ht="9.75" hidden="false" customHeight="false" outlineLevel="0" collapsed="false">
      <c r="A7" s="11" t="s">
        <v>8</v>
      </c>
      <c r="B7" s="9" t="s">
        <v>9</v>
      </c>
      <c r="C7" s="9" t="s">
        <v>10</v>
      </c>
      <c r="D7" s="9" t="s">
        <v>11</v>
      </c>
      <c r="E7" s="9" t="s">
        <v>9</v>
      </c>
      <c r="F7" s="9" t="s">
        <v>10</v>
      </c>
      <c r="G7" s="9" t="s">
        <v>11</v>
      </c>
      <c r="I7" s="9" t="s">
        <v>4</v>
      </c>
      <c r="J7" s="9"/>
      <c r="K7" s="9" t="n">
        <f aca="false">AVERAGE(D8:D13)</f>
        <v>0.616666666666667</v>
      </c>
      <c r="L7" s="9" t="n">
        <f aca="false">STDEV(D8:D13)/SQRT(6)</f>
        <v>0.0749073501808142</v>
      </c>
      <c r="N7" s="5"/>
      <c r="O7" s="5"/>
      <c r="P7" s="5"/>
    </row>
    <row r="8" customFormat="false" ht="9.75" hidden="false" customHeight="false" outlineLevel="0" collapsed="false">
      <c r="A8" s="9" t="n">
        <v>1</v>
      </c>
      <c r="B8" s="9" t="n">
        <v>8</v>
      </c>
      <c r="C8" s="9" t="n">
        <v>10</v>
      </c>
      <c r="D8" s="9" t="n">
        <f aca="false">B8/C8</f>
        <v>0.8</v>
      </c>
      <c r="E8" s="9" t="n">
        <v>4</v>
      </c>
      <c r="F8" s="9" t="n">
        <v>10</v>
      </c>
      <c r="G8" s="9" t="n">
        <f aca="false">E8/F8</f>
        <v>0.4</v>
      </c>
      <c r="I8" s="9" t="s">
        <v>5</v>
      </c>
      <c r="J8" s="9"/>
      <c r="K8" s="9" t="n">
        <f aca="false">AVERAGE(G8:G13)</f>
        <v>0.35</v>
      </c>
      <c r="L8" s="9" t="n">
        <f aca="false">STDEV(G8:G13)/SQRT(6)</f>
        <v>0.0885061203156784</v>
      </c>
      <c r="N8" s="5"/>
      <c r="O8" s="5"/>
      <c r="P8" s="5"/>
      <c r="Q8" s="5"/>
    </row>
    <row r="9" customFormat="false" ht="9.75" hidden="false" customHeight="false" outlineLevel="0" collapsed="false">
      <c r="A9" s="9" t="n">
        <v>2</v>
      </c>
      <c r="B9" s="9" t="n">
        <v>7</v>
      </c>
      <c r="C9" s="9" t="n">
        <v>10</v>
      </c>
      <c r="D9" s="9" t="n">
        <f aca="false">B9/C9</f>
        <v>0.7</v>
      </c>
      <c r="E9" s="9" t="n">
        <v>6</v>
      </c>
      <c r="F9" s="9" t="n">
        <v>10</v>
      </c>
      <c r="G9" s="9" t="n">
        <f aca="false">E9/F9</f>
        <v>0.6</v>
      </c>
    </row>
    <row r="10" customFormat="false" ht="9.75" hidden="false" customHeight="false" outlineLevel="0" collapsed="false">
      <c r="A10" s="9" t="n">
        <v>3</v>
      </c>
      <c r="B10" s="9" t="n">
        <v>4</v>
      </c>
      <c r="C10" s="9" t="n">
        <v>10</v>
      </c>
      <c r="D10" s="9" t="n">
        <f aca="false">B10/C10</f>
        <v>0.4</v>
      </c>
      <c r="E10" s="9" t="n">
        <v>2</v>
      </c>
      <c r="F10" s="9" t="n">
        <v>10</v>
      </c>
      <c r="G10" s="9" t="n">
        <f aca="false">E10/F10</f>
        <v>0.2</v>
      </c>
      <c r="N10" s="4" t="s">
        <v>12</v>
      </c>
      <c r="O10" s="12" t="n">
        <v>1</v>
      </c>
      <c r="P10" s="12" t="n">
        <v>2</v>
      </c>
      <c r="Q10" s="12" t="n">
        <v>3</v>
      </c>
      <c r="R10" s="12" t="n">
        <v>4</v>
      </c>
      <c r="S10" s="12" t="n">
        <v>5</v>
      </c>
      <c r="T10" s="12" t="n">
        <v>6</v>
      </c>
      <c r="U10" s="12" t="n">
        <v>7</v>
      </c>
      <c r="V10" s="12" t="n">
        <v>8</v>
      </c>
      <c r="W10" s="12" t="n">
        <v>9</v>
      </c>
      <c r="X10" s="12" t="n">
        <v>10</v>
      </c>
    </row>
    <row r="11" customFormat="false" ht="9.75" hidden="false" customHeight="false" outlineLevel="0" collapsed="false">
      <c r="A11" s="9" t="n">
        <v>4</v>
      </c>
      <c r="B11" s="9" t="n">
        <v>6</v>
      </c>
      <c r="C11" s="9" t="n">
        <v>10</v>
      </c>
      <c r="D11" s="9" t="n">
        <f aca="false">B11/C11</f>
        <v>0.6</v>
      </c>
      <c r="E11" s="9" t="n">
        <v>2</v>
      </c>
      <c r="F11" s="9" t="n">
        <v>10</v>
      </c>
      <c r="G11" s="9" t="n">
        <f aca="false">E11/F11</f>
        <v>0.2</v>
      </c>
      <c r="P11" s="5"/>
      <c r="Q11" s="13"/>
      <c r="U11" s="3"/>
      <c r="V11" s="3"/>
      <c r="W11" s="3"/>
    </row>
    <row r="12" customFormat="false" ht="9.75" hidden="false" customHeight="false" outlineLevel="0" collapsed="false">
      <c r="A12" s="9" t="n">
        <v>5</v>
      </c>
      <c r="B12" s="9" t="n">
        <v>8</v>
      </c>
      <c r="C12" s="9" t="n">
        <v>10</v>
      </c>
      <c r="D12" s="9" t="n">
        <f aca="false">B12/C12</f>
        <v>0.8</v>
      </c>
      <c r="E12" s="9" t="n">
        <v>6</v>
      </c>
      <c r="F12" s="9" t="n">
        <v>10</v>
      </c>
      <c r="G12" s="9" t="n">
        <f aca="false">E12/F12</f>
        <v>0.6</v>
      </c>
      <c r="N12" s="14"/>
      <c r="O12" s="15" t="str">
        <f aca="false">B5</f>
        <v>SS48944&gt;GtACR1 whole body </v>
      </c>
      <c r="P12" s="15" t="str">
        <f aca="false">B15</f>
        <v>SS48944&gt;GtACR1 head</v>
      </c>
      <c r="Q12" s="15" t="str">
        <f aca="false">B25</f>
        <v>SS48944&gt;GtACR1 lower body</v>
      </c>
      <c r="R12" s="15" t="str">
        <f aca="false">B35</f>
        <v>**</v>
      </c>
      <c r="S12" s="15" t="str">
        <f aca="false">B45</f>
        <v>**</v>
      </c>
      <c r="T12" s="15" t="str">
        <f aca="false">B55</f>
        <v>**</v>
      </c>
      <c r="U12" s="15" t="str">
        <f aca="false">B65</f>
        <v>**</v>
      </c>
      <c r="V12" s="15" t="str">
        <f aca="false">B75</f>
        <v>**</v>
      </c>
      <c r="W12" s="15" t="str">
        <f aca="false">B85</f>
        <v>**</v>
      </c>
      <c r="X12" s="15" t="str">
        <f aca="false">B95</f>
        <v>**</v>
      </c>
    </row>
    <row r="13" customFormat="false" ht="9.75" hidden="false" customHeight="false" outlineLevel="0" collapsed="false">
      <c r="A13" s="9" t="n">
        <v>6</v>
      </c>
      <c r="B13" s="9" t="n">
        <v>4</v>
      </c>
      <c r="C13" s="9" t="n">
        <v>10</v>
      </c>
      <c r="D13" s="9" t="n">
        <f aca="false">B13/C13</f>
        <v>0.4</v>
      </c>
      <c r="E13" s="9" t="n">
        <v>1</v>
      </c>
      <c r="F13" s="9" t="n">
        <v>10</v>
      </c>
      <c r="G13" s="9" t="n">
        <f aca="false">E13/F13</f>
        <v>0.1</v>
      </c>
      <c r="N13" s="14" t="s">
        <v>4</v>
      </c>
      <c r="O13" s="16" t="n">
        <f aca="false">K7</f>
        <v>0.616666666666667</v>
      </c>
      <c r="P13" s="16" t="n">
        <f aca="false">K17</f>
        <v>0.616666666666667</v>
      </c>
      <c r="Q13" s="16" t="n">
        <f aca="false">K27</f>
        <v>0.633333333333333</v>
      </c>
      <c r="R13" s="16" t="n">
        <f aca="false">K37</f>
        <v>0</v>
      </c>
      <c r="S13" s="16" t="n">
        <f aca="false">K47</f>
        <v>0</v>
      </c>
      <c r="T13" s="16" t="n">
        <f aca="false">K57</f>
        <v>0</v>
      </c>
      <c r="U13" s="16" t="n">
        <f aca="false">K67</f>
        <v>0</v>
      </c>
      <c r="V13" s="16" t="n">
        <f aca="false">K77</f>
        <v>0</v>
      </c>
      <c r="W13" s="16" t="n">
        <f aca="false">K87</f>
        <v>0</v>
      </c>
      <c r="X13" s="16" t="n">
        <f aca="false">K97</f>
        <v>0</v>
      </c>
    </row>
    <row r="14" customFormat="false" ht="9.75" hidden="false" customHeight="false" outlineLevel="0" collapsed="false">
      <c r="N14" s="14" t="s">
        <v>5</v>
      </c>
      <c r="O14" s="16" t="n">
        <f aca="false">K8</f>
        <v>0.35</v>
      </c>
      <c r="P14" s="16" t="n">
        <f aca="false">K18</f>
        <v>0.583333333333333</v>
      </c>
      <c r="Q14" s="16" t="n">
        <f aca="false">K28</f>
        <v>0.35</v>
      </c>
      <c r="R14" s="16" t="n">
        <f aca="false">K38</f>
        <v>0</v>
      </c>
      <c r="S14" s="16" t="n">
        <f aca="false">K48</f>
        <v>0</v>
      </c>
      <c r="T14" s="16" t="n">
        <f aca="false">K58</f>
        <v>0</v>
      </c>
      <c r="U14" s="16" t="n">
        <f aca="false">K68</f>
        <v>0</v>
      </c>
      <c r="V14" s="16" t="n">
        <f aca="false">K78</f>
        <v>0</v>
      </c>
      <c r="W14" s="16" t="n">
        <f aca="false">K88</f>
        <v>0</v>
      </c>
      <c r="X14" s="16" t="n">
        <f aca="false">K98</f>
        <v>0</v>
      </c>
    </row>
    <row r="15" customFormat="false" ht="13.8" hidden="false" customHeight="false" outlineLevel="0" collapsed="false">
      <c r="A15" s="4" t="n">
        <v>2</v>
      </c>
      <c r="B15" s="6" t="s">
        <v>13</v>
      </c>
      <c r="C15" s="17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9.75" hidden="false" customHeight="false" outlineLevel="0" collapsed="false">
      <c r="A16" s="8"/>
      <c r="B16" s="9" t="s">
        <v>4</v>
      </c>
      <c r="C16" s="9"/>
      <c r="D16" s="9"/>
      <c r="E16" s="9" t="s">
        <v>5</v>
      </c>
      <c r="F16" s="9"/>
      <c r="G16" s="9"/>
      <c r="H16" s="8"/>
      <c r="I16" s="8"/>
      <c r="J16" s="8"/>
      <c r="K16" s="9" t="s">
        <v>6</v>
      </c>
      <c r="L16" s="10" t="s">
        <v>7</v>
      </c>
      <c r="N16" s="1" t="s">
        <v>14</v>
      </c>
      <c r="O16" s="1" t="n">
        <f aca="false">L7</f>
        <v>0.0749073501808142</v>
      </c>
      <c r="P16" s="1" t="n">
        <f aca="false">L17</f>
        <v>0.0872416821886827</v>
      </c>
      <c r="Q16" s="1" t="n">
        <f aca="false">L27</f>
        <v>0.0988826464946088</v>
      </c>
      <c r="R16" s="1" t="n">
        <f aca="false">L37</f>
        <v>0</v>
      </c>
      <c r="S16" s="1" t="n">
        <f aca="false">L47</f>
        <v>0</v>
      </c>
      <c r="T16" s="1" t="n">
        <f aca="false">L57</f>
        <v>0</v>
      </c>
      <c r="U16" s="1" t="n">
        <f aca="false">L67</f>
        <v>0</v>
      </c>
      <c r="V16" s="1" t="n">
        <f aca="false">L77</f>
        <v>0</v>
      </c>
      <c r="W16" s="1" t="n">
        <f aca="false">L87</f>
        <v>0</v>
      </c>
      <c r="X16" s="1" t="n">
        <f aca="false">L97</f>
        <v>0</v>
      </c>
    </row>
    <row r="17" customFormat="false" ht="9.75" hidden="false" customHeight="false" outlineLevel="0" collapsed="false">
      <c r="A17" s="11" t="s">
        <v>8</v>
      </c>
      <c r="B17" s="9" t="s">
        <v>9</v>
      </c>
      <c r="C17" s="9" t="s">
        <v>10</v>
      </c>
      <c r="D17" s="9" t="s">
        <v>11</v>
      </c>
      <c r="E17" s="9" t="s">
        <v>9</v>
      </c>
      <c r="F17" s="9" t="s">
        <v>10</v>
      </c>
      <c r="G17" s="9" t="s">
        <v>11</v>
      </c>
      <c r="H17" s="8"/>
      <c r="I17" s="9" t="s">
        <v>4</v>
      </c>
      <c r="J17" s="9"/>
      <c r="K17" s="9" t="n">
        <f aca="false">AVERAGE(D18:D23)</f>
        <v>0.616666666666667</v>
      </c>
      <c r="L17" s="9" t="n">
        <f aca="false">STDEV(D18:D23)/SQRT(6)</f>
        <v>0.0872416821886827</v>
      </c>
      <c r="N17" s="1" t="s">
        <v>15</v>
      </c>
      <c r="O17" s="1" t="n">
        <f aca="false">L8</f>
        <v>0.0885061203156784</v>
      </c>
      <c r="P17" s="1" t="n">
        <f aca="false">L18</f>
        <v>0.0833333333333334</v>
      </c>
      <c r="Q17" s="1" t="n">
        <f aca="false">L28</f>
        <v>0.0763762615825973</v>
      </c>
      <c r="R17" s="1" t="n">
        <f aca="false">L38</f>
        <v>0</v>
      </c>
      <c r="S17" s="1" t="n">
        <f aca="false">L48</f>
        <v>0</v>
      </c>
      <c r="T17" s="1" t="n">
        <f aca="false">L58</f>
        <v>0</v>
      </c>
      <c r="U17" s="1" t="n">
        <f aca="false">L68</f>
        <v>0</v>
      </c>
      <c r="V17" s="1" t="n">
        <f aca="false">L78</f>
        <v>0</v>
      </c>
      <c r="W17" s="1" t="n">
        <f aca="false">L88</f>
        <v>0</v>
      </c>
      <c r="X17" s="1" t="n">
        <f aca="false">L98</f>
        <v>0</v>
      </c>
    </row>
    <row r="18" customFormat="false" ht="9.75" hidden="false" customHeight="false" outlineLevel="0" collapsed="false">
      <c r="A18" s="9" t="n">
        <v>1</v>
      </c>
      <c r="B18" s="9" t="n">
        <v>4</v>
      </c>
      <c r="C18" s="9" t="n">
        <v>10</v>
      </c>
      <c r="D18" s="9" t="n">
        <f aca="false">B18/C18</f>
        <v>0.4</v>
      </c>
      <c r="E18" s="9" t="n">
        <v>4</v>
      </c>
      <c r="F18" s="9" t="n">
        <v>10</v>
      </c>
      <c r="G18" s="9" t="n">
        <f aca="false">E18/F18</f>
        <v>0.4</v>
      </c>
      <c r="H18" s="8"/>
      <c r="I18" s="9" t="s">
        <v>5</v>
      </c>
      <c r="J18" s="9"/>
      <c r="K18" s="9" t="n">
        <f aca="false">AVERAGE(G18:G23)</f>
        <v>0.583333333333333</v>
      </c>
      <c r="L18" s="9" t="n">
        <f aca="false">STDEV(G18:G23)/SQRT(6)</f>
        <v>0.0833333333333334</v>
      </c>
    </row>
    <row r="19" customFormat="false" ht="9.75" hidden="false" customHeight="false" outlineLevel="0" collapsed="false">
      <c r="A19" s="9" t="n">
        <v>2</v>
      </c>
      <c r="B19" s="9" t="n">
        <v>7</v>
      </c>
      <c r="C19" s="9" t="n">
        <v>10</v>
      </c>
      <c r="D19" s="9" t="n">
        <f aca="false">B19/C19</f>
        <v>0.7</v>
      </c>
      <c r="E19" s="9" t="n">
        <v>6</v>
      </c>
      <c r="F19" s="9" t="n">
        <v>10</v>
      </c>
      <c r="G19" s="9" t="n">
        <f aca="false">E19/F19</f>
        <v>0.6</v>
      </c>
      <c r="H19" s="8"/>
    </row>
    <row r="20" customFormat="false" ht="9.75" hidden="false" customHeight="false" outlineLevel="0" collapsed="false">
      <c r="A20" s="9" t="n">
        <v>3</v>
      </c>
      <c r="B20" s="9" t="n">
        <v>5</v>
      </c>
      <c r="C20" s="9" t="n">
        <v>10</v>
      </c>
      <c r="D20" s="9" t="n">
        <f aca="false">B20/C20</f>
        <v>0.5</v>
      </c>
      <c r="E20" s="9" t="n">
        <v>6</v>
      </c>
      <c r="F20" s="9" t="n">
        <v>10</v>
      </c>
      <c r="G20" s="9" t="n">
        <f aca="false">E20/F20</f>
        <v>0.6</v>
      </c>
      <c r="H20" s="8"/>
      <c r="I20" s="8"/>
    </row>
    <row r="21" customFormat="false" ht="9.75" hidden="false" customHeight="false" outlineLevel="0" collapsed="false">
      <c r="A21" s="9" t="n">
        <v>4</v>
      </c>
      <c r="B21" s="9" t="n">
        <v>8</v>
      </c>
      <c r="C21" s="9" t="n">
        <v>10</v>
      </c>
      <c r="D21" s="9" t="n">
        <f aca="false">B21/C21</f>
        <v>0.8</v>
      </c>
      <c r="E21" s="9" t="n">
        <v>8</v>
      </c>
      <c r="F21" s="9" t="n">
        <v>10</v>
      </c>
      <c r="G21" s="9" t="n">
        <f aca="false">E21/F21</f>
        <v>0.8</v>
      </c>
      <c r="H21" s="8"/>
      <c r="I21" s="8"/>
    </row>
    <row r="22" customFormat="false" ht="9.75" hidden="false" customHeight="false" outlineLevel="0" collapsed="false">
      <c r="A22" s="9" t="n">
        <v>5</v>
      </c>
      <c r="B22" s="9" t="n">
        <v>4</v>
      </c>
      <c r="C22" s="9" t="n">
        <v>10</v>
      </c>
      <c r="D22" s="9" t="n">
        <f aca="false">B22/C22</f>
        <v>0.4</v>
      </c>
      <c r="E22" s="9" t="n">
        <v>3</v>
      </c>
      <c r="F22" s="9" t="n">
        <v>10</v>
      </c>
      <c r="G22" s="9" t="n">
        <f aca="false">E22/F22</f>
        <v>0.3</v>
      </c>
      <c r="H22" s="8"/>
      <c r="I22" s="8"/>
    </row>
    <row r="23" customFormat="false" ht="9.75" hidden="false" customHeight="false" outlineLevel="0" collapsed="false">
      <c r="A23" s="9" t="n">
        <v>6</v>
      </c>
      <c r="B23" s="9" t="n">
        <v>9</v>
      </c>
      <c r="C23" s="9" t="n">
        <v>10</v>
      </c>
      <c r="D23" s="9" t="n">
        <f aca="false">B23/C23</f>
        <v>0.9</v>
      </c>
      <c r="E23" s="9" t="n">
        <v>8</v>
      </c>
      <c r="F23" s="9" t="n">
        <v>10</v>
      </c>
      <c r="G23" s="9" t="n">
        <f aca="false">E23/F23</f>
        <v>0.8</v>
      </c>
      <c r="H23" s="8"/>
      <c r="I23" s="8"/>
      <c r="J23" s="8"/>
      <c r="K23" s="8"/>
      <c r="L23" s="8"/>
    </row>
    <row r="24" customFormat="false" ht="9.7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3.8" hidden="false" customHeight="false" outlineLevel="0" collapsed="false">
      <c r="A25" s="4" t="n">
        <v>3</v>
      </c>
      <c r="B25" s="6" t="s">
        <v>16</v>
      </c>
      <c r="C25" s="18"/>
      <c r="D25" s="8"/>
      <c r="E25" s="8"/>
      <c r="F25" s="8"/>
      <c r="G25" s="8"/>
      <c r="H25" s="8"/>
      <c r="I25" s="8"/>
      <c r="J25" s="8"/>
      <c r="K25" s="8"/>
      <c r="L25" s="8"/>
    </row>
    <row r="26" customFormat="false" ht="9.75" hidden="false" customHeight="false" outlineLevel="0" collapsed="false">
      <c r="A26" s="8"/>
      <c r="B26" s="9" t="s">
        <v>4</v>
      </c>
      <c r="C26" s="9"/>
      <c r="D26" s="9"/>
      <c r="E26" s="9" t="s">
        <v>5</v>
      </c>
      <c r="F26" s="9"/>
      <c r="G26" s="9"/>
      <c r="H26" s="8"/>
      <c r="I26" s="8"/>
      <c r="J26" s="8"/>
      <c r="K26" s="9" t="s">
        <v>6</v>
      </c>
      <c r="L26" s="10" t="s">
        <v>7</v>
      </c>
    </row>
    <row r="27" customFormat="false" ht="9.75" hidden="false" customHeight="false" outlineLevel="0" collapsed="false">
      <c r="A27" s="11" t="s">
        <v>8</v>
      </c>
      <c r="B27" s="9" t="s">
        <v>9</v>
      </c>
      <c r="C27" s="9" t="s">
        <v>10</v>
      </c>
      <c r="D27" s="9" t="s">
        <v>11</v>
      </c>
      <c r="E27" s="9" t="s">
        <v>9</v>
      </c>
      <c r="F27" s="9" t="s">
        <v>10</v>
      </c>
      <c r="G27" s="9" t="s">
        <v>11</v>
      </c>
      <c r="H27" s="8"/>
      <c r="I27" s="9" t="s">
        <v>4</v>
      </c>
      <c r="J27" s="9"/>
      <c r="K27" s="9" t="n">
        <f aca="false">AVERAGE(D28:D33)</f>
        <v>0.633333333333333</v>
      </c>
      <c r="L27" s="9" t="n">
        <f aca="false">STDEV(D28:D33)/SQRT(6)</f>
        <v>0.0988826464946088</v>
      </c>
    </row>
    <row r="28" customFormat="false" ht="10.25" hidden="false" customHeight="false" outlineLevel="0" collapsed="false">
      <c r="A28" s="9" t="n">
        <v>1</v>
      </c>
      <c r="B28" s="9" t="n">
        <v>9</v>
      </c>
      <c r="C28" s="9" t="n">
        <v>10</v>
      </c>
      <c r="D28" s="9" t="n">
        <f aca="false">B28/C28</f>
        <v>0.9</v>
      </c>
      <c r="E28" s="9" t="n">
        <v>4</v>
      </c>
      <c r="F28" s="9" t="n">
        <v>10</v>
      </c>
      <c r="G28" s="19" t="n">
        <v>0.4</v>
      </c>
      <c r="H28" s="8"/>
      <c r="I28" s="9" t="s">
        <v>5</v>
      </c>
      <c r="J28" s="9"/>
      <c r="K28" s="9" t="n">
        <f aca="false">AVERAGE(G28:G33)</f>
        <v>0.35</v>
      </c>
      <c r="L28" s="9" t="n">
        <f aca="false">STDEV(G28:G33)/SQRT(6)</f>
        <v>0.0763762615825973</v>
      </c>
    </row>
    <row r="29" customFormat="false" ht="10.25" hidden="false" customHeight="false" outlineLevel="0" collapsed="false">
      <c r="A29" s="9" t="n">
        <v>2</v>
      </c>
      <c r="B29" s="9" t="n">
        <v>5</v>
      </c>
      <c r="C29" s="9" t="n">
        <v>10</v>
      </c>
      <c r="D29" s="9" t="n">
        <f aca="false">B29/C29</f>
        <v>0.5</v>
      </c>
      <c r="E29" s="9" t="n">
        <v>3</v>
      </c>
      <c r="F29" s="9" t="n">
        <v>10</v>
      </c>
      <c r="G29" s="19" t="n">
        <v>0.3</v>
      </c>
      <c r="H29" s="8"/>
    </row>
    <row r="30" customFormat="false" ht="10.25" hidden="false" customHeight="false" outlineLevel="0" collapsed="false">
      <c r="A30" s="9" t="n">
        <v>3</v>
      </c>
      <c r="B30" s="9" t="n">
        <v>9</v>
      </c>
      <c r="C30" s="9" t="n">
        <v>10</v>
      </c>
      <c r="D30" s="9" t="n">
        <f aca="false">B30/C30</f>
        <v>0.9</v>
      </c>
      <c r="E30" s="9" t="n">
        <v>5</v>
      </c>
      <c r="F30" s="9" t="n">
        <v>10</v>
      </c>
      <c r="G30" s="19" t="n">
        <v>0.5</v>
      </c>
      <c r="H30" s="8"/>
      <c r="I30" s="8"/>
    </row>
    <row r="31" customFormat="false" ht="10.25" hidden="false" customHeight="false" outlineLevel="0" collapsed="false">
      <c r="A31" s="9" t="n">
        <v>4</v>
      </c>
      <c r="B31" s="9" t="n">
        <v>3</v>
      </c>
      <c r="C31" s="9" t="n">
        <v>10</v>
      </c>
      <c r="D31" s="9" t="n">
        <f aca="false">B31/C31</f>
        <v>0.3</v>
      </c>
      <c r="E31" s="9" t="n">
        <v>1</v>
      </c>
      <c r="F31" s="9" t="n">
        <v>10</v>
      </c>
      <c r="G31" s="19" t="n">
        <v>0.1</v>
      </c>
      <c r="H31" s="8"/>
      <c r="I31" s="8"/>
    </row>
    <row r="32" customFormat="false" ht="10.25" hidden="false" customHeight="false" outlineLevel="0" collapsed="false">
      <c r="A32" s="9" t="n">
        <v>5</v>
      </c>
      <c r="B32" s="9" t="n">
        <v>5</v>
      </c>
      <c r="C32" s="9" t="n">
        <v>10</v>
      </c>
      <c r="D32" s="9" t="n">
        <f aca="false">B32/C32</f>
        <v>0.5</v>
      </c>
      <c r="E32" s="9" t="n">
        <v>2</v>
      </c>
      <c r="F32" s="9" t="n">
        <v>10</v>
      </c>
      <c r="G32" s="19" t="n">
        <v>0.2</v>
      </c>
      <c r="H32" s="8"/>
      <c r="I32" s="8"/>
    </row>
    <row r="33" customFormat="false" ht="10.25" hidden="false" customHeight="false" outlineLevel="0" collapsed="false">
      <c r="A33" s="9" t="n">
        <v>6</v>
      </c>
      <c r="B33" s="9" t="n">
        <v>7</v>
      </c>
      <c r="C33" s="9" t="n">
        <v>10</v>
      </c>
      <c r="D33" s="9" t="n">
        <f aca="false">B33/C33</f>
        <v>0.7</v>
      </c>
      <c r="E33" s="9" t="n">
        <v>6</v>
      </c>
      <c r="F33" s="9" t="n">
        <v>10</v>
      </c>
      <c r="G33" s="19" t="n">
        <v>0.6</v>
      </c>
      <c r="H33" s="8"/>
      <c r="I33" s="8"/>
      <c r="J33" s="8"/>
      <c r="K33" s="8"/>
      <c r="L33" s="8"/>
    </row>
    <row r="34" customFormat="false" ht="10.2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3.8" hidden="false" customHeight="false" outlineLevel="0" collapsed="false">
      <c r="A35" s="4" t="n">
        <v>4</v>
      </c>
      <c r="B35" s="6" t="s">
        <v>17</v>
      </c>
      <c r="C35" s="1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0.25" hidden="false" customHeight="false" outlineLevel="0" collapsed="false">
      <c r="A36" s="8"/>
      <c r="B36" s="9" t="s">
        <v>4</v>
      </c>
      <c r="C36" s="9"/>
      <c r="D36" s="9"/>
      <c r="E36" s="9" t="s">
        <v>5</v>
      </c>
      <c r="F36" s="9"/>
      <c r="G36" s="9"/>
      <c r="H36" s="8"/>
      <c r="I36" s="8"/>
      <c r="J36" s="8"/>
      <c r="K36" s="9" t="s">
        <v>6</v>
      </c>
      <c r="L36" s="10" t="s">
        <v>7</v>
      </c>
    </row>
    <row r="37" customFormat="false" ht="12.65" hidden="false" customHeight="false" outlineLevel="0" collapsed="false">
      <c r="A37" s="11" t="s">
        <v>8</v>
      </c>
      <c r="B37" s="9" t="s">
        <v>9</v>
      </c>
      <c r="C37" s="9" t="s">
        <v>10</v>
      </c>
      <c r="D37" s="9" t="s">
        <v>11</v>
      </c>
      <c r="E37" s="9" t="s">
        <v>9</v>
      </c>
      <c r="F37" s="9" t="s">
        <v>10</v>
      </c>
      <c r="G37" s="9" t="s">
        <v>11</v>
      </c>
      <c r="H37" s="8"/>
      <c r="I37" s="9" t="s">
        <v>4</v>
      </c>
      <c r="J37" s="9"/>
      <c r="K37" s="9" t="n">
        <f aca="false">AVERAGE(D38:D43)</f>
        <v>0</v>
      </c>
      <c r="L37" s="9" t="n">
        <f aca="false">STDEV(D38:D43)/SQRT(6)</f>
        <v>0</v>
      </c>
      <c r="P37" s="1" t="s">
        <v>18</v>
      </c>
      <c r="T37" s="20"/>
      <c r="U37" s="20"/>
      <c r="V37" s="20"/>
    </row>
    <row r="38" customFormat="false" ht="12.65" hidden="false" customHeight="false" outlineLevel="0" collapsed="false">
      <c r="A38" s="9" t="n">
        <v>1</v>
      </c>
      <c r="B38" s="9" t="n">
        <v>0</v>
      </c>
      <c r="C38" s="9" t="n">
        <v>10</v>
      </c>
      <c r="D38" s="9" t="n">
        <f aca="false">B38/C38</f>
        <v>0</v>
      </c>
      <c r="E38" s="9" t="n">
        <v>0</v>
      </c>
      <c r="F38" s="9" t="n">
        <v>10</v>
      </c>
      <c r="G38" s="9" t="n">
        <f aca="false">E38/F38</f>
        <v>0</v>
      </c>
      <c r="H38" s="8"/>
      <c r="I38" s="9" t="s">
        <v>5</v>
      </c>
      <c r="J38" s="9"/>
      <c r="K38" s="9" t="n">
        <f aca="false">AVERAGE(G38:G43)</f>
        <v>0</v>
      </c>
      <c r="L38" s="9" t="n">
        <f aca="false">STDEV(G38:G43)/SQRT(6)</f>
        <v>0</v>
      </c>
      <c r="T38" s="21"/>
      <c r="U38" s="21"/>
      <c r="V38" s="21"/>
    </row>
    <row r="39" customFormat="false" ht="12.65" hidden="false" customHeight="false" outlineLevel="0" collapsed="false">
      <c r="A39" s="9" t="n">
        <v>2</v>
      </c>
      <c r="B39" s="9" t="n">
        <v>0</v>
      </c>
      <c r="C39" s="9" t="n">
        <v>10</v>
      </c>
      <c r="D39" s="9" t="n">
        <f aca="false">B39/C39</f>
        <v>0</v>
      </c>
      <c r="E39" s="9" t="n">
        <v>0</v>
      </c>
      <c r="F39" s="9" t="n">
        <v>10</v>
      </c>
      <c r="G39" s="9" t="n">
        <f aca="false">E39/F39</f>
        <v>0</v>
      </c>
      <c r="H39" s="8"/>
      <c r="T39" s="22"/>
      <c r="U39" s="22"/>
      <c r="V39" s="22"/>
    </row>
    <row r="40" customFormat="false" ht="9.75" hidden="false" customHeight="false" outlineLevel="0" collapsed="false">
      <c r="A40" s="9" t="n">
        <v>3</v>
      </c>
      <c r="B40" s="9" t="n">
        <v>0</v>
      </c>
      <c r="C40" s="9" t="n">
        <v>10</v>
      </c>
      <c r="D40" s="9" t="n">
        <f aca="false">B40/C40</f>
        <v>0</v>
      </c>
      <c r="E40" s="9" t="n">
        <v>0</v>
      </c>
      <c r="F40" s="9" t="n">
        <v>10</v>
      </c>
      <c r="G40" s="9"/>
      <c r="H40" s="8"/>
    </row>
    <row r="41" customFormat="false" ht="9.75" hidden="false" customHeight="false" outlineLevel="0" collapsed="false">
      <c r="A41" s="9" t="n">
        <v>4</v>
      </c>
      <c r="B41" s="9" t="n">
        <v>0</v>
      </c>
      <c r="C41" s="9" t="n">
        <v>10</v>
      </c>
      <c r="D41" s="9" t="n">
        <f aca="false">B41/C41</f>
        <v>0</v>
      </c>
      <c r="E41" s="9" t="n">
        <v>0</v>
      </c>
      <c r="F41" s="9" t="n">
        <v>10</v>
      </c>
      <c r="G41" s="9"/>
      <c r="H41" s="8"/>
    </row>
    <row r="42" customFormat="false" ht="9.75" hidden="false" customHeight="false" outlineLevel="0" collapsed="false">
      <c r="A42" s="9" t="n">
        <v>5</v>
      </c>
      <c r="B42" s="9"/>
      <c r="C42" s="9"/>
      <c r="D42" s="9"/>
      <c r="E42" s="9"/>
      <c r="F42" s="9"/>
      <c r="G42" s="9"/>
      <c r="H42" s="8"/>
    </row>
    <row r="43" customFormat="false" ht="9.75" hidden="false" customHeight="false" outlineLevel="0" collapsed="false">
      <c r="A43" s="9" t="n">
        <v>6</v>
      </c>
      <c r="B43" s="9"/>
      <c r="C43" s="9"/>
      <c r="D43" s="9"/>
      <c r="E43" s="9"/>
      <c r="F43" s="9"/>
      <c r="G43" s="9"/>
      <c r="H43" s="8"/>
    </row>
    <row r="45" customFormat="false" ht="13.8" hidden="false" customHeight="false" outlineLevel="0" collapsed="false">
      <c r="A45" s="4" t="n">
        <v>5</v>
      </c>
      <c r="B45" s="6" t="s">
        <v>17</v>
      </c>
      <c r="C45" s="18"/>
      <c r="D45" s="8"/>
      <c r="E45" s="8"/>
      <c r="F45" s="8"/>
      <c r="G45" s="8"/>
    </row>
    <row r="46" customFormat="false" ht="9.75" hidden="false" customHeight="false" outlineLevel="0" collapsed="false">
      <c r="A46" s="8"/>
      <c r="B46" s="9" t="s">
        <v>4</v>
      </c>
      <c r="C46" s="9"/>
      <c r="D46" s="9"/>
      <c r="E46" s="9" t="s">
        <v>5</v>
      </c>
      <c r="F46" s="9"/>
      <c r="G46" s="9"/>
      <c r="I46" s="8"/>
      <c r="J46" s="8"/>
      <c r="K46" s="9" t="s">
        <v>6</v>
      </c>
      <c r="L46" s="10" t="s">
        <v>7</v>
      </c>
    </row>
    <row r="47" customFormat="false" ht="9.75" hidden="false" customHeight="false" outlineLevel="0" collapsed="false">
      <c r="A47" s="11" t="s">
        <v>8</v>
      </c>
      <c r="B47" s="9" t="s">
        <v>9</v>
      </c>
      <c r="C47" s="9" t="s">
        <v>10</v>
      </c>
      <c r="D47" s="9" t="s">
        <v>11</v>
      </c>
      <c r="E47" s="9" t="s">
        <v>9</v>
      </c>
      <c r="F47" s="9" t="s">
        <v>10</v>
      </c>
      <c r="G47" s="9" t="s">
        <v>11</v>
      </c>
      <c r="I47" s="9" t="s">
        <v>4</v>
      </c>
      <c r="J47" s="9"/>
      <c r="K47" s="9" t="n">
        <f aca="false">AVERAGE(D48:D53)</f>
        <v>0</v>
      </c>
      <c r="L47" s="9" t="n">
        <f aca="false">STDEV(D48:D53)/SQRT(4)</f>
        <v>0</v>
      </c>
    </row>
    <row r="48" customFormat="false" ht="9.75" hidden="false" customHeight="false" outlineLevel="0" collapsed="false">
      <c r="A48" s="9" t="n">
        <v>1</v>
      </c>
      <c r="B48" s="9" t="n">
        <v>0</v>
      </c>
      <c r="C48" s="9" t="n">
        <v>10</v>
      </c>
      <c r="D48" s="9" t="n">
        <f aca="false">B48/C48</f>
        <v>0</v>
      </c>
      <c r="E48" s="9" t="n">
        <v>0</v>
      </c>
      <c r="F48" s="9" t="n">
        <v>10</v>
      </c>
      <c r="G48" s="9" t="n">
        <f aca="false">E48/F48</f>
        <v>0</v>
      </c>
      <c r="I48" s="9" t="s">
        <v>5</v>
      </c>
      <c r="J48" s="9"/>
      <c r="K48" s="9" t="n">
        <f aca="false">AVERAGE(G48:G53)</f>
        <v>0</v>
      </c>
      <c r="L48" s="9" t="n">
        <f aca="false">STDEV(G48:G53)/SQRT(4)</f>
        <v>0</v>
      </c>
    </row>
    <row r="49" customFormat="false" ht="9.75" hidden="false" customHeight="false" outlineLevel="0" collapsed="false">
      <c r="A49" s="9" t="n">
        <v>2</v>
      </c>
      <c r="B49" s="9" t="n">
        <v>0</v>
      </c>
      <c r="C49" s="9" t="n">
        <v>10</v>
      </c>
      <c r="D49" s="9" t="n">
        <f aca="false">B49/C49</f>
        <v>0</v>
      </c>
      <c r="E49" s="9" t="n">
        <v>0</v>
      </c>
      <c r="F49" s="9" t="n">
        <v>10</v>
      </c>
      <c r="G49" s="9" t="n">
        <f aca="false">E49/F49</f>
        <v>0</v>
      </c>
    </row>
    <row r="50" customFormat="false" ht="9.75" hidden="false" customHeight="false" outlineLevel="0" collapsed="false">
      <c r="A50" s="9" t="n">
        <v>3</v>
      </c>
      <c r="B50" s="9" t="n">
        <v>0</v>
      </c>
      <c r="C50" s="9" t="n">
        <v>10</v>
      </c>
      <c r="D50" s="9" t="n">
        <f aca="false">B50/C50</f>
        <v>0</v>
      </c>
      <c r="E50" s="9" t="n">
        <v>0</v>
      </c>
      <c r="F50" s="9" t="n">
        <v>10</v>
      </c>
      <c r="G50" s="9"/>
    </row>
    <row r="51" customFormat="false" ht="9.75" hidden="false" customHeight="false" outlineLevel="0" collapsed="false">
      <c r="A51" s="9" t="n">
        <v>4</v>
      </c>
      <c r="B51" s="9" t="n">
        <v>0</v>
      </c>
      <c r="C51" s="9" t="n">
        <v>10</v>
      </c>
      <c r="D51" s="9" t="n">
        <f aca="false">B51/C51</f>
        <v>0</v>
      </c>
      <c r="E51" s="9" t="n">
        <v>0</v>
      </c>
      <c r="F51" s="9" t="n">
        <v>10</v>
      </c>
      <c r="G51" s="9"/>
    </row>
    <row r="52" customFormat="false" ht="9.75" hidden="false" customHeight="false" outlineLevel="0" collapsed="false">
      <c r="A52" s="9" t="n">
        <v>5</v>
      </c>
      <c r="B52" s="9"/>
      <c r="C52" s="9"/>
      <c r="D52" s="9"/>
      <c r="E52" s="9"/>
      <c r="F52" s="9"/>
      <c r="G52" s="9"/>
    </row>
    <row r="53" customFormat="false" ht="9.75" hidden="false" customHeight="false" outlineLevel="0" collapsed="false">
      <c r="A53" s="9" t="n">
        <v>6</v>
      </c>
      <c r="B53" s="9"/>
      <c r="C53" s="9"/>
      <c r="D53" s="9"/>
      <c r="E53" s="9"/>
      <c r="F53" s="9"/>
      <c r="G53" s="9"/>
    </row>
    <row r="55" customFormat="false" ht="13.8" hidden="false" customHeight="false" outlineLevel="0" collapsed="false">
      <c r="A55" s="4" t="n">
        <v>6</v>
      </c>
      <c r="B55" s="6" t="s">
        <v>17</v>
      </c>
      <c r="C55" s="18"/>
      <c r="D55" s="8"/>
      <c r="E55" s="8"/>
      <c r="F55" s="8"/>
      <c r="G55" s="8"/>
    </row>
    <row r="56" customFormat="false" ht="9.75" hidden="false" customHeight="false" outlineLevel="0" collapsed="false">
      <c r="A56" s="8"/>
      <c r="B56" s="9" t="s">
        <v>4</v>
      </c>
      <c r="C56" s="9"/>
      <c r="D56" s="9"/>
      <c r="E56" s="9" t="s">
        <v>5</v>
      </c>
      <c r="F56" s="9"/>
      <c r="G56" s="9"/>
      <c r="I56" s="8"/>
      <c r="J56" s="8"/>
      <c r="K56" s="9" t="s">
        <v>6</v>
      </c>
      <c r="L56" s="10" t="s">
        <v>7</v>
      </c>
    </row>
    <row r="57" customFormat="false" ht="9.75" hidden="false" customHeight="false" outlineLevel="0" collapsed="false">
      <c r="A57" s="11" t="s">
        <v>8</v>
      </c>
      <c r="B57" s="9" t="s">
        <v>9</v>
      </c>
      <c r="C57" s="9" t="s">
        <v>10</v>
      </c>
      <c r="D57" s="9" t="s">
        <v>11</v>
      </c>
      <c r="E57" s="9" t="s">
        <v>9</v>
      </c>
      <c r="F57" s="9" t="s">
        <v>10</v>
      </c>
      <c r="G57" s="9" t="s">
        <v>11</v>
      </c>
      <c r="I57" s="9" t="s">
        <v>4</v>
      </c>
      <c r="J57" s="9"/>
      <c r="K57" s="9" t="n">
        <f aca="false">AVERAGE(D58:D63)</f>
        <v>0</v>
      </c>
      <c r="L57" s="9" t="n">
        <f aca="false">STDEV(D58:D63)/SQRT(4)</f>
        <v>0</v>
      </c>
    </row>
    <row r="58" customFormat="false" ht="9.75" hidden="false" customHeight="false" outlineLevel="0" collapsed="false">
      <c r="A58" s="9" t="n">
        <v>1</v>
      </c>
      <c r="B58" s="9" t="n">
        <v>0</v>
      </c>
      <c r="C58" s="9" t="n">
        <v>10</v>
      </c>
      <c r="D58" s="9" t="n">
        <f aca="false">B58/C58</f>
        <v>0</v>
      </c>
      <c r="E58" s="9" t="n">
        <v>0</v>
      </c>
      <c r="F58" s="9" t="n">
        <v>10</v>
      </c>
      <c r="G58" s="9" t="n">
        <f aca="false">E58/F58</f>
        <v>0</v>
      </c>
      <c r="I58" s="9" t="s">
        <v>5</v>
      </c>
      <c r="J58" s="9"/>
      <c r="K58" s="9" t="n">
        <f aca="false">AVERAGE(G58:G63)</f>
        <v>0</v>
      </c>
      <c r="L58" s="9" t="n">
        <f aca="false">STDEV(G58:G63)/SQRT(4)</f>
        <v>0</v>
      </c>
    </row>
    <row r="59" customFormat="false" ht="9.75" hidden="false" customHeight="false" outlineLevel="0" collapsed="false">
      <c r="A59" s="9" t="n">
        <v>2</v>
      </c>
      <c r="B59" s="9" t="n">
        <v>0</v>
      </c>
      <c r="C59" s="9" t="n">
        <v>10</v>
      </c>
      <c r="D59" s="9" t="n">
        <f aca="false">B59/C59</f>
        <v>0</v>
      </c>
      <c r="E59" s="9" t="n">
        <v>0</v>
      </c>
      <c r="F59" s="9" t="n">
        <v>10</v>
      </c>
      <c r="G59" s="9" t="n">
        <f aca="false">E59/F59</f>
        <v>0</v>
      </c>
    </row>
    <row r="60" customFormat="false" ht="9.75" hidden="false" customHeight="false" outlineLevel="0" collapsed="false">
      <c r="A60" s="9" t="n">
        <v>3</v>
      </c>
      <c r="B60" s="9" t="n">
        <v>0</v>
      </c>
      <c r="C60" s="9" t="n">
        <v>10</v>
      </c>
      <c r="D60" s="9" t="n">
        <f aca="false">B60/C60</f>
        <v>0</v>
      </c>
      <c r="E60" s="9" t="n">
        <v>0</v>
      </c>
      <c r="F60" s="9" t="n">
        <v>10</v>
      </c>
      <c r="G60" s="9"/>
    </row>
    <row r="61" customFormat="false" ht="9.75" hidden="false" customHeight="false" outlineLevel="0" collapsed="false">
      <c r="A61" s="9" t="n">
        <v>4</v>
      </c>
      <c r="B61" s="9" t="n">
        <v>0</v>
      </c>
      <c r="C61" s="9" t="n">
        <v>10</v>
      </c>
      <c r="D61" s="9" t="n">
        <f aca="false">B61/C61</f>
        <v>0</v>
      </c>
      <c r="E61" s="9" t="n">
        <v>0</v>
      </c>
      <c r="F61" s="9" t="n">
        <v>10</v>
      </c>
      <c r="G61" s="9"/>
    </row>
    <row r="62" customFormat="false" ht="9.75" hidden="false" customHeight="false" outlineLevel="0" collapsed="false">
      <c r="A62" s="9" t="n">
        <v>5</v>
      </c>
      <c r="B62" s="9"/>
      <c r="C62" s="9"/>
      <c r="D62" s="9"/>
      <c r="E62" s="9"/>
      <c r="F62" s="9"/>
      <c r="G62" s="9"/>
    </row>
    <row r="63" customFormat="false" ht="9.75" hidden="false" customHeight="false" outlineLevel="0" collapsed="false">
      <c r="A63" s="9" t="n">
        <v>6</v>
      </c>
      <c r="B63" s="9"/>
      <c r="C63" s="9"/>
      <c r="D63" s="9"/>
      <c r="E63" s="9"/>
      <c r="F63" s="9"/>
      <c r="G63" s="9"/>
    </row>
    <row r="65" customFormat="false" ht="13.8" hidden="false" customHeight="false" outlineLevel="0" collapsed="false">
      <c r="A65" s="4" t="n">
        <v>7</v>
      </c>
      <c r="B65" s="6" t="s">
        <v>17</v>
      </c>
      <c r="C65" s="18"/>
      <c r="D65" s="8"/>
      <c r="E65" s="8"/>
      <c r="F65" s="8"/>
      <c r="G65" s="8"/>
    </row>
    <row r="66" customFormat="false" ht="9.75" hidden="false" customHeight="false" outlineLevel="0" collapsed="false">
      <c r="A66" s="8"/>
      <c r="B66" s="9" t="s">
        <v>4</v>
      </c>
      <c r="C66" s="9"/>
      <c r="D66" s="9"/>
      <c r="E66" s="9" t="s">
        <v>5</v>
      </c>
      <c r="F66" s="9"/>
      <c r="G66" s="9"/>
      <c r="I66" s="8"/>
      <c r="J66" s="8"/>
      <c r="K66" s="9" t="s">
        <v>6</v>
      </c>
      <c r="L66" s="10" t="s">
        <v>7</v>
      </c>
    </row>
    <row r="67" customFormat="false" ht="9.75" hidden="false" customHeight="false" outlineLevel="0" collapsed="false">
      <c r="A67" s="11" t="s">
        <v>8</v>
      </c>
      <c r="B67" s="9" t="s">
        <v>9</v>
      </c>
      <c r="C67" s="9" t="s">
        <v>10</v>
      </c>
      <c r="D67" s="9" t="s">
        <v>11</v>
      </c>
      <c r="E67" s="9" t="s">
        <v>9</v>
      </c>
      <c r="F67" s="9" t="s">
        <v>10</v>
      </c>
      <c r="G67" s="9" t="s">
        <v>11</v>
      </c>
      <c r="I67" s="9" t="s">
        <v>4</v>
      </c>
      <c r="J67" s="9"/>
      <c r="K67" s="9" t="n">
        <f aca="false">AVERAGE(D68:D73)</f>
        <v>0</v>
      </c>
      <c r="L67" s="9" t="n">
        <f aca="false">STDEV(D68:D73)/SQRT(4)</f>
        <v>0</v>
      </c>
    </row>
    <row r="68" customFormat="false" ht="9.75" hidden="false" customHeight="false" outlineLevel="0" collapsed="false">
      <c r="A68" s="9" t="n">
        <v>1</v>
      </c>
      <c r="B68" s="9" t="n">
        <v>0</v>
      </c>
      <c r="C68" s="9" t="n">
        <v>10</v>
      </c>
      <c r="D68" s="9" t="n">
        <f aca="false">B68/C68</f>
        <v>0</v>
      </c>
      <c r="E68" s="9" t="n">
        <v>0</v>
      </c>
      <c r="F68" s="9" t="n">
        <v>10</v>
      </c>
      <c r="G68" s="9" t="n">
        <f aca="false">E68/F68</f>
        <v>0</v>
      </c>
      <c r="I68" s="9" t="s">
        <v>5</v>
      </c>
      <c r="J68" s="9"/>
      <c r="K68" s="9" t="n">
        <f aca="false">AVERAGE(G68:G73)</f>
        <v>0</v>
      </c>
      <c r="L68" s="9" t="n">
        <f aca="false">STDEV(G68:G73)/SQRT(4)</f>
        <v>0</v>
      </c>
    </row>
    <row r="69" customFormat="false" ht="9.75" hidden="false" customHeight="false" outlineLevel="0" collapsed="false">
      <c r="A69" s="9" t="n">
        <v>2</v>
      </c>
      <c r="B69" s="9" t="n">
        <v>0</v>
      </c>
      <c r="C69" s="9" t="n">
        <v>10</v>
      </c>
      <c r="D69" s="9" t="n">
        <f aca="false">B69/C69</f>
        <v>0</v>
      </c>
      <c r="E69" s="9" t="n">
        <v>0</v>
      </c>
      <c r="F69" s="9" t="n">
        <v>10</v>
      </c>
      <c r="G69" s="9" t="n">
        <f aca="false">E69/F69</f>
        <v>0</v>
      </c>
    </row>
    <row r="70" customFormat="false" ht="9.75" hidden="false" customHeight="false" outlineLevel="0" collapsed="false">
      <c r="A70" s="9" t="n">
        <v>3</v>
      </c>
      <c r="B70" s="9" t="n">
        <v>0</v>
      </c>
      <c r="C70" s="9" t="n">
        <v>10</v>
      </c>
      <c r="D70" s="9" t="n">
        <f aca="false">B70/C70</f>
        <v>0</v>
      </c>
      <c r="E70" s="9" t="n">
        <v>0</v>
      </c>
      <c r="F70" s="9" t="n">
        <v>10</v>
      </c>
      <c r="G70" s="9" t="n">
        <f aca="false">E70/F70</f>
        <v>0</v>
      </c>
    </row>
    <row r="71" customFormat="false" ht="9.75" hidden="false" customHeight="false" outlineLevel="0" collapsed="false">
      <c r="A71" s="9" t="n">
        <v>4</v>
      </c>
      <c r="B71" s="9" t="n">
        <v>0</v>
      </c>
      <c r="C71" s="9" t="n">
        <v>10</v>
      </c>
      <c r="D71" s="9" t="n">
        <f aca="false">B71/C71</f>
        <v>0</v>
      </c>
      <c r="E71" s="9" t="n">
        <v>0</v>
      </c>
      <c r="F71" s="9" t="n">
        <v>10</v>
      </c>
      <c r="G71" s="9" t="n">
        <f aca="false">E71/F71</f>
        <v>0</v>
      </c>
    </row>
    <row r="72" customFormat="false" ht="9.75" hidden="false" customHeight="false" outlineLevel="0" collapsed="false">
      <c r="A72" s="9" t="n">
        <v>5</v>
      </c>
      <c r="B72" s="9"/>
      <c r="C72" s="9"/>
      <c r="D72" s="9"/>
      <c r="E72" s="9"/>
      <c r="F72" s="9"/>
      <c r="G72" s="9"/>
    </row>
    <row r="73" customFormat="false" ht="9.75" hidden="false" customHeight="false" outlineLevel="0" collapsed="false">
      <c r="A73" s="9" t="n">
        <v>6</v>
      </c>
      <c r="B73" s="9"/>
      <c r="C73" s="9"/>
      <c r="D73" s="9"/>
      <c r="E73" s="9"/>
      <c r="F73" s="9"/>
      <c r="G73" s="9"/>
    </row>
    <row r="75" customFormat="false" ht="13.8" hidden="false" customHeight="false" outlineLevel="0" collapsed="false">
      <c r="A75" s="4" t="n">
        <v>8</v>
      </c>
      <c r="B75" s="6" t="s">
        <v>17</v>
      </c>
      <c r="C75" s="1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9.75" hidden="false" customHeight="false" outlineLevel="0" collapsed="false">
      <c r="A76" s="8"/>
      <c r="B76" s="9" t="s">
        <v>4</v>
      </c>
      <c r="C76" s="9"/>
      <c r="D76" s="9"/>
      <c r="E76" s="9" t="s">
        <v>5</v>
      </c>
      <c r="F76" s="9"/>
      <c r="G76" s="9"/>
      <c r="H76" s="8"/>
      <c r="I76" s="8"/>
      <c r="J76" s="8"/>
      <c r="K76" s="9" t="s">
        <v>6</v>
      </c>
      <c r="L76" s="10" t="s">
        <v>7</v>
      </c>
      <c r="O76" s="12"/>
      <c r="P76" s="12"/>
      <c r="Q76" s="12"/>
    </row>
    <row r="77" customFormat="false" ht="9.75" hidden="false" customHeight="false" outlineLevel="0" collapsed="false">
      <c r="A77" s="11" t="s">
        <v>8</v>
      </c>
      <c r="B77" s="9" t="s">
        <v>9</v>
      </c>
      <c r="C77" s="9" t="s">
        <v>10</v>
      </c>
      <c r="D77" s="9" t="s">
        <v>11</v>
      </c>
      <c r="E77" s="9" t="s">
        <v>9</v>
      </c>
      <c r="F77" s="9" t="s">
        <v>10</v>
      </c>
      <c r="G77" s="9" t="s">
        <v>11</v>
      </c>
      <c r="H77" s="8"/>
      <c r="I77" s="9" t="s">
        <v>4</v>
      </c>
      <c r="J77" s="9"/>
      <c r="K77" s="9" t="n">
        <f aca="false">AVERAGE(D78:D83)</f>
        <v>0</v>
      </c>
      <c r="L77" s="9" t="n">
        <f aca="false">STDEV(D78:D83)/SQRT(4)</f>
        <v>0</v>
      </c>
      <c r="O77" s="3"/>
      <c r="P77" s="3"/>
    </row>
    <row r="78" customFormat="false" ht="9.75" hidden="false" customHeight="false" outlineLevel="0" collapsed="false">
      <c r="A78" s="9" t="n">
        <v>1</v>
      </c>
      <c r="B78" s="9" t="n">
        <v>0</v>
      </c>
      <c r="C78" s="9" t="n">
        <v>10</v>
      </c>
      <c r="D78" s="9" t="n">
        <f aca="false">B78/C78</f>
        <v>0</v>
      </c>
      <c r="E78" s="9" t="n">
        <v>0</v>
      </c>
      <c r="F78" s="9" t="n">
        <v>10</v>
      </c>
      <c r="G78" s="9" t="n">
        <f aca="false">E78/F78</f>
        <v>0</v>
      </c>
      <c r="H78" s="8"/>
      <c r="I78" s="9" t="s">
        <v>5</v>
      </c>
      <c r="J78" s="9"/>
      <c r="K78" s="9" t="n">
        <f aca="false">AVERAGE(G78:G83)</f>
        <v>0</v>
      </c>
      <c r="L78" s="9" t="n">
        <f aca="false">STDEV(G78:G83)/SQRT(4)</f>
        <v>0</v>
      </c>
      <c r="O78" s="23"/>
      <c r="P78" s="23"/>
      <c r="Q78" s="23"/>
    </row>
    <row r="79" customFormat="false" ht="9.75" hidden="false" customHeight="false" outlineLevel="0" collapsed="false">
      <c r="A79" s="9" t="n">
        <v>2</v>
      </c>
      <c r="B79" s="9" t="n">
        <v>0</v>
      </c>
      <c r="C79" s="9" t="n">
        <v>10</v>
      </c>
      <c r="D79" s="9" t="n">
        <f aca="false">B79/C79</f>
        <v>0</v>
      </c>
      <c r="E79" s="9" t="n">
        <v>0</v>
      </c>
      <c r="F79" s="9" t="n">
        <v>10</v>
      </c>
      <c r="G79" s="9" t="n">
        <f aca="false">E79/F79</f>
        <v>0</v>
      </c>
      <c r="H79" s="8"/>
    </row>
    <row r="80" customFormat="false" ht="9.75" hidden="false" customHeight="false" outlineLevel="0" collapsed="false">
      <c r="A80" s="9" t="n">
        <v>3</v>
      </c>
      <c r="B80" s="9" t="n">
        <v>0</v>
      </c>
      <c r="C80" s="9" t="n">
        <v>10</v>
      </c>
      <c r="D80" s="9" t="n">
        <f aca="false">B80/C80</f>
        <v>0</v>
      </c>
      <c r="E80" s="9" t="n">
        <v>0</v>
      </c>
      <c r="F80" s="9" t="n">
        <v>10</v>
      </c>
      <c r="G80" s="9" t="n">
        <f aca="false">E80/F80</f>
        <v>0</v>
      </c>
      <c r="H80" s="8"/>
      <c r="I80" s="8"/>
    </row>
    <row r="81" customFormat="false" ht="9.75" hidden="false" customHeight="false" outlineLevel="0" collapsed="false">
      <c r="A81" s="9" t="n">
        <v>4</v>
      </c>
      <c r="B81" s="9" t="n">
        <v>0</v>
      </c>
      <c r="C81" s="9" t="n">
        <v>10</v>
      </c>
      <c r="D81" s="9" t="n">
        <f aca="false">B81/C81</f>
        <v>0</v>
      </c>
      <c r="E81" s="9" t="n">
        <v>0</v>
      </c>
      <c r="F81" s="9" t="n">
        <v>10</v>
      </c>
      <c r="G81" s="9" t="n">
        <f aca="false">E81/F81</f>
        <v>0</v>
      </c>
      <c r="H81" s="8"/>
      <c r="I81" s="8"/>
    </row>
    <row r="82" customFormat="false" ht="9.75" hidden="false" customHeight="false" outlineLevel="0" collapsed="false">
      <c r="A82" s="9" t="n">
        <v>5</v>
      </c>
      <c r="B82" s="9"/>
      <c r="C82" s="9"/>
      <c r="D82" s="9"/>
      <c r="E82" s="9"/>
      <c r="F82" s="9"/>
      <c r="G82" s="9"/>
      <c r="H82" s="8"/>
      <c r="I82" s="8"/>
      <c r="J82" s="8"/>
      <c r="K82" s="8"/>
      <c r="L82" s="8"/>
    </row>
    <row r="83" customFormat="false" ht="9.75" hidden="false" customHeight="false" outlineLevel="0" collapsed="false">
      <c r="A83" s="9" t="n">
        <v>6</v>
      </c>
      <c r="B83" s="9"/>
      <c r="C83" s="9"/>
      <c r="D83" s="9"/>
      <c r="E83" s="9"/>
      <c r="F83" s="9"/>
      <c r="G83" s="9"/>
      <c r="H83" s="8"/>
      <c r="I83" s="8"/>
      <c r="J83" s="8"/>
      <c r="K83" s="8"/>
      <c r="L83" s="8"/>
    </row>
    <row r="84" customFormat="false" ht="9.7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customFormat="false" ht="13.8" hidden="false" customHeight="false" outlineLevel="0" collapsed="false">
      <c r="A85" s="4" t="n">
        <v>9</v>
      </c>
      <c r="B85" s="6" t="s">
        <v>17</v>
      </c>
      <c r="C85" s="18"/>
      <c r="D85" s="8"/>
      <c r="E85" s="8"/>
      <c r="F85" s="8"/>
      <c r="G85" s="8"/>
      <c r="H85" s="8"/>
      <c r="I85" s="8"/>
      <c r="J85" s="8"/>
      <c r="K85" s="8"/>
      <c r="L85" s="8"/>
    </row>
    <row r="86" customFormat="false" ht="9.75" hidden="false" customHeight="false" outlineLevel="0" collapsed="false">
      <c r="A86" s="8"/>
      <c r="B86" s="9" t="s">
        <v>4</v>
      </c>
      <c r="C86" s="9"/>
      <c r="D86" s="9"/>
      <c r="E86" s="9" t="s">
        <v>5</v>
      </c>
      <c r="F86" s="9"/>
      <c r="G86" s="9"/>
      <c r="H86" s="8"/>
      <c r="I86" s="8"/>
      <c r="J86" s="8"/>
      <c r="K86" s="9" t="s">
        <v>6</v>
      </c>
      <c r="L86" s="10" t="s">
        <v>7</v>
      </c>
    </row>
    <row r="87" customFormat="false" ht="9.75" hidden="false" customHeight="false" outlineLevel="0" collapsed="false">
      <c r="A87" s="11" t="s">
        <v>8</v>
      </c>
      <c r="B87" s="9" t="s">
        <v>9</v>
      </c>
      <c r="C87" s="9" t="s">
        <v>10</v>
      </c>
      <c r="D87" s="9" t="s">
        <v>11</v>
      </c>
      <c r="E87" s="9" t="s">
        <v>9</v>
      </c>
      <c r="F87" s="9" t="s">
        <v>10</v>
      </c>
      <c r="G87" s="9" t="s">
        <v>11</v>
      </c>
      <c r="H87" s="8"/>
      <c r="I87" s="9" t="s">
        <v>4</v>
      </c>
      <c r="J87" s="9"/>
      <c r="K87" s="9" t="n">
        <f aca="false">AVERAGE(D88:D93)</f>
        <v>0</v>
      </c>
      <c r="L87" s="9" t="n">
        <f aca="false">STDEV(D88:D93)/SQRT(4)</f>
        <v>0</v>
      </c>
    </row>
    <row r="88" customFormat="false" ht="9.75" hidden="false" customHeight="false" outlineLevel="0" collapsed="false">
      <c r="A88" s="9" t="n">
        <v>1</v>
      </c>
      <c r="B88" s="9" t="n">
        <v>0</v>
      </c>
      <c r="C88" s="9" t="n">
        <v>10</v>
      </c>
      <c r="D88" s="9" t="n">
        <f aca="false">B88/C88</f>
        <v>0</v>
      </c>
      <c r="E88" s="9" t="n">
        <v>0</v>
      </c>
      <c r="F88" s="9" t="n">
        <v>10</v>
      </c>
      <c r="G88" s="9" t="n">
        <f aca="false">E88/F88</f>
        <v>0</v>
      </c>
      <c r="H88" s="8"/>
      <c r="I88" s="9" t="s">
        <v>5</v>
      </c>
      <c r="J88" s="9"/>
      <c r="K88" s="9" t="n">
        <f aca="false">AVERAGE(G88:G93)</f>
        <v>0</v>
      </c>
      <c r="L88" s="9" t="n">
        <f aca="false">STDEV(G88:G93)/SQRT(4)</f>
        <v>0</v>
      </c>
    </row>
    <row r="89" customFormat="false" ht="9.75" hidden="false" customHeight="false" outlineLevel="0" collapsed="false">
      <c r="A89" s="9" t="n">
        <v>2</v>
      </c>
      <c r="B89" s="9" t="n">
        <v>0</v>
      </c>
      <c r="C89" s="9" t="n">
        <v>10</v>
      </c>
      <c r="D89" s="9" t="n">
        <f aca="false">B89/C89</f>
        <v>0</v>
      </c>
      <c r="E89" s="9" t="n">
        <v>0</v>
      </c>
      <c r="F89" s="9" t="n">
        <v>10</v>
      </c>
      <c r="G89" s="9" t="n">
        <f aca="false">E89/F89</f>
        <v>0</v>
      </c>
      <c r="H89" s="8"/>
    </row>
    <row r="90" customFormat="false" ht="9.75" hidden="false" customHeight="false" outlineLevel="0" collapsed="false">
      <c r="A90" s="9" t="n">
        <v>3</v>
      </c>
      <c r="B90" s="9" t="n">
        <v>0</v>
      </c>
      <c r="C90" s="9" t="n">
        <v>10</v>
      </c>
      <c r="D90" s="9" t="n">
        <f aca="false">B90/C90</f>
        <v>0</v>
      </c>
      <c r="E90" s="9" t="n">
        <v>0</v>
      </c>
      <c r="F90" s="9" t="n">
        <v>10</v>
      </c>
      <c r="G90" s="9" t="n">
        <f aca="false">E90/F90</f>
        <v>0</v>
      </c>
      <c r="H90" s="8"/>
      <c r="I90" s="8"/>
    </row>
    <row r="91" customFormat="false" ht="9.75" hidden="false" customHeight="false" outlineLevel="0" collapsed="false">
      <c r="A91" s="9" t="n">
        <v>4</v>
      </c>
      <c r="B91" s="9" t="n">
        <v>0</v>
      </c>
      <c r="C91" s="9" t="n">
        <v>10</v>
      </c>
      <c r="D91" s="9" t="n">
        <f aca="false">B91/C91</f>
        <v>0</v>
      </c>
      <c r="E91" s="9" t="n">
        <v>0</v>
      </c>
      <c r="F91" s="9" t="n">
        <v>10</v>
      </c>
      <c r="G91" s="9" t="n">
        <f aca="false">E91/F91</f>
        <v>0</v>
      </c>
      <c r="H91" s="8"/>
      <c r="I91" s="8"/>
    </row>
    <row r="92" customFormat="false" ht="9.75" hidden="false" customHeight="false" outlineLevel="0" collapsed="false">
      <c r="A92" s="9" t="n">
        <v>5</v>
      </c>
      <c r="B92" s="9"/>
      <c r="C92" s="9"/>
      <c r="D92" s="9"/>
      <c r="E92" s="9"/>
      <c r="F92" s="9"/>
      <c r="G92" s="9"/>
      <c r="H92" s="8"/>
      <c r="I92" s="8"/>
    </row>
    <row r="93" customFormat="false" ht="9.75" hidden="false" customHeight="false" outlineLevel="0" collapsed="false">
      <c r="A93" s="9" t="n">
        <v>6</v>
      </c>
      <c r="B93" s="9"/>
      <c r="C93" s="9"/>
      <c r="D93" s="9"/>
      <c r="E93" s="9"/>
      <c r="F93" s="9"/>
      <c r="G93" s="9"/>
      <c r="H93" s="8"/>
      <c r="I93" s="8"/>
    </row>
    <row r="95" customFormat="false" ht="13.8" hidden="false" customHeight="false" outlineLevel="0" collapsed="false">
      <c r="A95" s="4" t="n">
        <v>10</v>
      </c>
      <c r="B95" s="6" t="s">
        <v>17</v>
      </c>
      <c r="C95" s="18"/>
      <c r="D95" s="8"/>
      <c r="E95" s="8"/>
      <c r="F95" s="8"/>
      <c r="G95" s="8"/>
    </row>
    <row r="96" customFormat="false" ht="9.75" hidden="false" customHeight="false" outlineLevel="0" collapsed="false">
      <c r="A96" s="8"/>
      <c r="B96" s="9" t="s">
        <v>4</v>
      </c>
      <c r="C96" s="9"/>
      <c r="D96" s="9"/>
      <c r="E96" s="9" t="s">
        <v>5</v>
      </c>
      <c r="F96" s="9"/>
      <c r="G96" s="9"/>
      <c r="I96" s="8"/>
      <c r="J96" s="8"/>
      <c r="K96" s="9" t="s">
        <v>6</v>
      </c>
      <c r="L96" s="10" t="s">
        <v>7</v>
      </c>
    </row>
    <row r="97" customFormat="false" ht="9.75" hidden="false" customHeight="false" outlineLevel="0" collapsed="false">
      <c r="A97" s="11" t="s">
        <v>8</v>
      </c>
      <c r="B97" s="9" t="s">
        <v>9</v>
      </c>
      <c r="C97" s="9" t="s">
        <v>10</v>
      </c>
      <c r="D97" s="9" t="s">
        <v>11</v>
      </c>
      <c r="E97" s="9" t="s">
        <v>9</v>
      </c>
      <c r="F97" s="9" t="s">
        <v>10</v>
      </c>
      <c r="G97" s="9" t="s">
        <v>11</v>
      </c>
      <c r="I97" s="9" t="s">
        <v>4</v>
      </c>
      <c r="J97" s="9"/>
      <c r="K97" s="9" t="n">
        <f aca="false">AVERAGE(D98:D103)</f>
        <v>0</v>
      </c>
      <c r="L97" s="9" t="n">
        <f aca="false">STDEV(D98:D103)/SQRT(4)</f>
        <v>0</v>
      </c>
    </row>
    <row r="98" customFormat="false" ht="9.75" hidden="false" customHeight="false" outlineLevel="0" collapsed="false">
      <c r="A98" s="9" t="n">
        <v>1</v>
      </c>
      <c r="B98" s="9" t="n">
        <v>0</v>
      </c>
      <c r="C98" s="9" t="n">
        <v>10</v>
      </c>
      <c r="D98" s="9" t="n">
        <f aca="false">B98/C98</f>
        <v>0</v>
      </c>
      <c r="E98" s="9" t="n">
        <v>0</v>
      </c>
      <c r="F98" s="9" t="n">
        <v>10</v>
      </c>
      <c r="G98" s="9" t="n">
        <f aca="false">E98/F98</f>
        <v>0</v>
      </c>
      <c r="I98" s="9" t="s">
        <v>5</v>
      </c>
      <c r="J98" s="9"/>
      <c r="K98" s="9" t="n">
        <f aca="false">AVERAGE(G98:G103)</f>
        <v>0</v>
      </c>
      <c r="L98" s="9" t="n">
        <f aca="false">STDEV(G98:G103)/SQRT(4)</f>
        <v>0</v>
      </c>
    </row>
    <row r="99" customFormat="false" ht="9.75" hidden="false" customHeight="false" outlineLevel="0" collapsed="false">
      <c r="A99" s="9" t="n">
        <v>2</v>
      </c>
      <c r="B99" s="9" t="n">
        <v>0</v>
      </c>
      <c r="C99" s="9" t="n">
        <v>10</v>
      </c>
      <c r="D99" s="9" t="n">
        <f aca="false">B99/C99</f>
        <v>0</v>
      </c>
      <c r="E99" s="9" t="n">
        <v>0</v>
      </c>
      <c r="F99" s="9" t="n">
        <v>10</v>
      </c>
      <c r="G99" s="9" t="n">
        <f aca="false">E99/F99</f>
        <v>0</v>
      </c>
    </row>
    <row r="100" customFormat="false" ht="9.75" hidden="false" customHeight="false" outlineLevel="0" collapsed="false">
      <c r="A100" s="9" t="n">
        <v>3</v>
      </c>
      <c r="B100" s="9" t="n">
        <v>0</v>
      </c>
      <c r="C100" s="9" t="n">
        <v>10</v>
      </c>
      <c r="D100" s="9" t="n">
        <f aca="false">B100/C100</f>
        <v>0</v>
      </c>
      <c r="E100" s="9" t="n">
        <v>0</v>
      </c>
      <c r="F100" s="9" t="n">
        <v>10</v>
      </c>
      <c r="G100" s="9" t="n">
        <f aca="false">E100/F100</f>
        <v>0</v>
      </c>
    </row>
    <row r="101" customFormat="false" ht="9.75" hidden="false" customHeight="false" outlineLevel="0" collapsed="false">
      <c r="A101" s="9" t="n">
        <v>4</v>
      </c>
      <c r="B101" s="9" t="n">
        <v>0</v>
      </c>
      <c r="C101" s="9" t="n">
        <v>10</v>
      </c>
      <c r="D101" s="9" t="n">
        <f aca="false">B101/C101</f>
        <v>0</v>
      </c>
      <c r="E101" s="9" t="n">
        <v>0</v>
      </c>
      <c r="F101" s="9" t="n">
        <v>10</v>
      </c>
      <c r="G101" s="9" t="n">
        <f aca="false">E101/F101</f>
        <v>0</v>
      </c>
    </row>
    <row r="102" customFormat="false" ht="9.75" hidden="false" customHeight="false" outlineLevel="0" collapsed="false">
      <c r="A102" s="9" t="n">
        <v>5</v>
      </c>
      <c r="B102" s="9"/>
      <c r="C102" s="9"/>
      <c r="D102" s="9"/>
      <c r="E102" s="9"/>
      <c r="F102" s="9"/>
      <c r="G102" s="9"/>
    </row>
    <row r="103" customFormat="false" ht="9.75" hidden="false" customHeight="false" outlineLevel="0" collapsed="false">
      <c r="A103" s="9" t="n">
        <v>6</v>
      </c>
      <c r="B103" s="9"/>
      <c r="C103" s="9"/>
      <c r="D103" s="9"/>
      <c r="E103" s="9"/>
      <c r="F103" s="9"/>
      <c r="G103" s="9"/>
    </row>
  </sheetData>
  <mergeCells count="40">
    <mergeCell ref="B6:D6"/>
    <mergeCell ref="E6:G6"/>
    <mergeCell ref="I7:J7"/>
    <mergeCell ref="I8:J8"/>
    <mergeCell ref="B16:D16"/>
    <mergeCell ref="E16:G16"/>
    <mergeCell ref="I17:J17"/>
    <mergeCell ref="I18:J18"/>
    <mergeCell ref="B26:D26"/>
    <mergeCell ref="E26:G26"/>
    <mergeCell ref="I27:J27"/>
    <mergeCell ref="I28:J28"/>
    <mergeCell ref="B36:D36"/>
    <mergeCell ref="E36:G36"/>
    <mergeCell ref="I37:J37"/>
    <mergeCell ref="I38:J38"/>
    <mergeCell ref="B46:D46"/>
    <mergeCell ref="E46:G46"/>
    <mergeCell ref="I47:J47"/>
    <mergeCell ref="I48:J48"/>
    <mergeCell ref="B56:D56"/>
    <mergeCell ref="E56:G56"/>
    <mergeCell ref="I57:J57"/>
    <mergeCell ref="I58:J58"/>
    <mergeCell ref="B66:D66"/>
    <mergeCell ref="E66:G66"/>
    <mergeCell ref="I67:J67"/>
    <mergeCell ref="I68:J68"/>
    <mergeCell ref="B76:D76"/>
    <mergeCell ref="E76:G76"/>
    <mergeCell ref="I77:J77"/>
    <mergeCell ref="I78:J78"/>
    <mergeCell ref="B86:D86"/>
    <mergeCell ref="E86:G86"/>
    <mergeCell ref="I87:J87"/>
    <mergeCell ref="I88:J88"/>
    <mergeCell ref="B96:D96"/>
    <mergeCell ref="E96:G96"/>
    <mergeCell ref="I97:J97"/>
    <mergeCell ref="I98:J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3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1" activeCellId="0" sqref="A1"/>
    </sheetView>
  </sheetViews>
  <sheetFormatPr defaultColWidth="9.00390625" defaultRowHeight="9.75" customHeight="false" zeroHeight="false" outlineLevelRow="0" outlineLevelCol="0"/>
  <cols>
    <col collapsed="false" customWidth="false" hidden="false" outlineLevel="0" max="16384" min="1" style="1" width="9"/>
  </cols>
  <sheetData>
    <row r="1" s="3" customFormat="true" ht="14.25" hidden="false" customHeight="true" outlineLevel="0" collapsed="false">
      <c r="A1" s="2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="3" customFormat="tru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="3" customFormat="true" ht="14.25" hidden="false" customHeight="true" outlineLevel="0" collapsed="false">
      <c r="A3" s="2" t="s">
        <v>1</v>
      </c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9.75" hidden="false" customHeight="false" outlineLevel="0" collapsed="false">
      <c r="A4" s="4"/>
      <c r="N4" s="5"/>
      <c r="O4" s="5"/>
      <c r="P4" s="5"/>
    </row>
    <row r="5" customFormat="false" ht="13.8" hidden="false" customHeight="false" outlineLevel="0" collapsed="false">
      <c r="A5" s="4" t="n">
        <v>1</v>
      </c>
      <c r="B5" s="6" t="s">
        <v>20</v>
      </c>
      <c r="C5" s="7"/>
      <c r="D5" s="8"/>
      <c r="E5" s="8"/>
      <c r="F5" s="8"/>
      <c r="G5" s="8"/>
      <c r="N5" s="5"/>
      <c r="O5" s="5"/>
      <c r="P5" s="5"/>
      <c r="Q5" s="5"/>
    </row>
    <row r="6" customFormat="false" ht="9.75" hidden="false" customHeight="false" outlineLevel="0" collapsed="false">
      <c r="A6" s="8"/>
      <c r="B6" s="9" t="s">
        <v>4</v>
      </c>
      <c r="C6" s="9"/>
      <c r="D6" s="9"/>
      <c r="E6" s="9" t="s">
        <v>5</v>
      </c>
      <c r="F6" s="9"/>
      <c r="G6" s="9"/>
      <c r="I6" s="8"/>
      <c r="J6" s="8"/>
      <c r="K6" s="9" t="s">
        <v>6</v>
      </c>
      <c r="L6" s="10" t="s">
        <v>7</v>
      </c>
      <c r="N6" s="5"/>
      <c r="O6" s="5"/>
      <c r="P6" s="5"/>
    </row>
    <row r="7" customFormat="false" ht="9.75" hidden="false" customHeight="false" outlineLevel="0" collapsed="false">
      <c r="A7" s="11" t="s">
        <v>8</v>
      </c>
      <c r="B7" s="9" t="s">
        <v>9</v>
      </c>
      <c r="C7" s="9" t="s">
        <v>10</v>
      </c>
      <c r="D7" s="9" t="s">
        <v>11</v>
      </c>
      <c r="E7" s="9" t="s">
        <v>9</v>
      </c>
      <c r="F7" s="9" t="s">
        <v>10</v>
      </c>
      <c r="G7" s="9" t="s">
        <v>11</v>
      </c>
      <c r="I7" s="9" t="s">
        <v>4</v>
      </c>
      <c r="J7" s="9"/>
      <c r="K7" s="9" t="n">
        <f aca="false">AVERAGE(D8:D13)</f>
        <v>0.616666666666667</v>
      </c>
      <c r="L7" s="9" t="n">
        <f aca="false">STDEV(D8:D13)/SQRT(6)</f>
        <v>0.0792324288266981</v>
      </c>
      <c r="N7" s="5"/>
      <c r="O7" s="5"/>
      <c r="P7" s="5"/>
    </row>
    <row r="8" customFormat="false" ht="9.75" hidden="false" customHeight="false" outlineLevel="0" collapsed="false">
      <c r="A8" s="9" t="n">
        <v>1</v>
      </c>
      <c r="B8" s="9" t="n">
        <v>9</v>
      </c>
      <c r="C8" s="9" t="n">
        <v>10</v>
      </c>
      <c r="D8" s="9" t="n">
        <f aca="false">B8/C8</f>
        <v>0.9</v>
      </c>
      <c r="E8" s="9" t="n">
        <v>4</v>
      </c>
      <c r="F8" s="9" t="n">
        <v>10</v>
      </c>
      <c r="G8" s="9" t="n">
        <f aca="false">E8/F8</f>
        <v>0.4</v>
      </c>
      <c r="I8" s="9" t="s">
        <v>5</v>
      </c>
      <c r="J8" s="9"/>
      <c r="K8" s="9" t="n">
        <f aca="false">AVERAGE(G8:G13)</f>
        <v>0.366666666666667</v>
      </c>
      <c r="L8" s="9" t="n">
        <f aca="false">STDEV(G8:G13)/SQRT(6)</f>
        <v>0.0614636297152859</v>
      </c>
      <c r="N8" s="5"/>
      <c r="O8" s="5"/>
      <c r="P8" s="5"/>
      <c r="Q8" s="5"/>
    </row>
    <row r="9" customFormat="false" ht="9.75" hidden="false" customHeight="false" outlineLevel="0" collapsed="false">
      <c r="A9" s="9" t="n">
        <v>2</v>
      </c>
      <c r="B9" s="9" t="n">
        <v>8</v>
      </c>
      <c r="C9" s="9" t="n">
        <v>10</v>
      </c>
      <c r="D9" s="9" t="n">
        <f aca="false">B9/C9</f>
        <v>0.8</v>
      </c>
      <c r="E9" s="9" t="n">
        <v>5</v>
      </c>
      <c r="F9" s="9" t="n">
        <v>10</v>
      </c>
      <c r="G9" s="9" t="n">
        <f aca="false">E9/F9</f>
        <v>0.5</v>
      </c>
    </row>
    <row r="10" customFormat="false" ht="9.75" hidden="false" customHeight="false" outlineLevel="0" collapsed="false">
      <c r="A10" s="9" t="n">
        <v>3</v>
      </c>
      <c r="B10" s="9" t="n">
        <v>4</v>
      </c>
      <c r="C10" s="9" t="n">
        <v>10</v>
      </c>
      <c r="D10" s="9" t="n">
        <f aca="false">B10/C10</f>
        <v>0.4</v>
      </c>
      <c r="E10" s="9" t="n">
        <v>4</v>
      </c>
      <c r="F10" s="9" t="n">
        <v>10</v>
      </c>
      <c r="G10" s="9" t="n">
        <f aca="false">E10/F10</f>
        <v>0.4</v>
      </c>
      <c r="N10" s="4" t="s">
        <v>12</v>
      </c>
      <c r="O10" s="12" t="n">
        <v>1</v>
      </c>
      <c r="P10" s="12" t="n">
        <v>2</v>
      </c>
      <c r="Q10" s="12" t="n">
        <v>3</v>
      </c>
      <c r="R10" s="12" t="n">
        <v>4</v>
      </c>
      <c r="S10" s="12" t="n">
        <v>5</v>
      </c>
      <c r="T10" s="12" t="n">
        <v>6</v>
      </c>
      <c r="U10" s="12" t="n">
        <v>7</v>
      </c>
      <c r="V10" s="12" t="n">
        <v>8</v>
      </c>
      <c r="W10" s="12" t="n">
        <v>9</v>
      </c>
      <c r="X10" s="12" t="n">
        <v>10</v>
      </c>
    </row>
    <row r="11" customFormat="false" ht="9.75" hidden="false" customHeight="false" outlineLevel="0" collapsed="false">
      <c r="A11" s="9" t="n">
        <v>4</v>
      </c>
      <c r="B11" s="9" t="n">
        <v>5</v>
      </c>
      <c r="C11" s="9" t="n">
        <v>10</v>
      </c>
      <c r="D11" s="9" t="n">
        <f aca="false">B11/C11</f>
        <v>0.5</v>
      </c>
      <c r="E11" s="9" t="n">
        <v>1</v>
      </c>
      <c r="F11" s="9" t="n">
        <v>10</v>
      </c>
      <c r="G11" s="9" t="n">
        <f aca="false">E11/F11</f>
        <v>0.1</v>
      </c>
      <c r="P11" s="5"/>
      <c r="Q11" s="13"/>
      <c r="U11" s="3"/>
      <c r="V11" s="3"/>
      <c r="W11" s="3"/>
    </row>
    <row r="12" customFormat="false" ht="9.75" hidden="false" customHeight="false" outlineLevel="0" collapsed="false">
      <c r="A12" s="9" t="n">
        <v>5</v>
      </c>
      <c r="B12" s="9" t="n">
        <v>5</v>
      </c>
      <c r="C12" s="9" t="n">
        <v>10</v>
      </c>
      <c r="D12" s="9" t="n">
        <f aca="false">B12/C12</f>
        <v>0.5</v>
      </c>
      <c r="E12" s="9" t="n">
        <v>3</v>
      </c>
      <c r="F12" s="9" t="n">
        <v>10</v>
      </c>
      <c r="G12" s="9" t="n">
        <f aca="false">E12/F12</f>
        <v>0.3</v>
      </c>
      <c r="N12" s="14"/>
      <c r="O12" s="15" t="str">
        <f aca="false">B5</f>
        <v>R30A08&gt;GtACR1 whole body </v>
      </c>
      <c r="P12" s="15" t="str">
        <f aca="false">B15</f>
        <v>R30A08&gt;GtACR1 head</v>
      </c>
      <c r="Q12" s="15" t="str">
        <f aca="false">B25</f>
        <v>R30A08&gt;GtACR1 lower body</v>
      </c>
      <c r="R12" s="15" t="str">
        <f aca="false">B35</f>
        <v>**</v>
      </c>
      <c r="S12" s="15" t="str">
        <f aca="false">B45</f>
        <v>**</v>
      </c>
      <c r="T12" s="15" t="str">
        <f aca="false">B55</f>
        <v>**</v>
      </c>
      <c r="U12" s="15" t="str">
        <f aca="false">B65</f>
        <v>**</v>
      </c>
      <c r="V12" s="15" t="str">
        <f aca="false">B75</f>
        <v>**</v>
      </c>
      <c r="W12" s="15" t="str">
        <f aca="false">B85</f>
        <v>**</v>
      </c>
      <c r="X12" s="15" t="str">
        <f aca="false">B95</f>
        <v>**</v>
      </c>
    </row>
    <row r="13" customFormat="false" ht="9.75" hidden="false" customHeight="false" outlineLevel="0" collapsed="false">
      <c r="A13" s="9" t="n">
        <v>6</v>
      </c>
      <c r="B13" s="9" t="n">
        <v>6</v>
      </c>
      <c r="C13" s="9" t="n">
        <v>10</v>
      </c>
      <c r="D13" s="9" t="n">
        <f aca="false">B13/C13</f>
        <v>0.6</v>
      </c>
      <c r="E13" s="9" t="n">
        <v>5</v>
      </c>
      <c r="F13" s="9" t="n">
        <v>10</v>
      </c>
      <c r="G13" s="9" t="n">
        <f aca="false">E13/F13</f>
        <v>0.5</v>
      </c>
      <c r="N13" s="14" t="s">
        <v>4</v>
      </c>
      <c r="O13" s="16" t="n">
        <f aca="false">K7</f>
        <v>0.616666666666667</v>
      </c>
      <c r="P13" s="16" t="n">
        <f aca="false">K17</f>
        <v>0.65</v>
      </c>
      <c r="Q13" s="16" t="n">
        <f aca="false">K27</f>
        <v>0.633333333333333</v>
      </c>
      <c r="R13" s="16" t="n">
        <f aca="false">K37</f>
        <v>0</v>
      </c>
      <c r="S13" s="16" t="n">
        <f aca="false">K47</f>
        <v>0</v>
      </c>
      <c r="T13" s="16" t="n">
        <f aca="false">K57</f>
        <v>0</v>
      </c>
      <c r="U13" s="16" t="n">
        <f aca="false">K67</f>
        <v>0</v>
      </c>
      <c r="V13" s="16" t="n">
        <f aca="false">K77</f>
        <v>0</v>
      </c>
      <c r="W13" s="16" t="n">
        <f aca="false">K87</f>
        <v>0</v>
      </c>
      <c r="X13" s="16" t="n">
        <f aca="false">K97</f>
        <v>0</v>
      </c>
    </row>
    <row r="14" customFormat="false" ht="9.75" hidden="false" customHeight="false" outlineLevel="0" collapsed="false">
      <c r="N14" s="14" t="s">
        <v>5</v>
      </c>
      <c r="O14" s="16" t="n">
        <f aca="false">K8</f>
        <v>0.366666666666667</v>
      </c>
      <c r="P14" s="16" t="n">
        <f aca="false">K18</f>
        <v>0.633333333333333</v>
      </c>
      <c r="Q14" s="16" t="n">
        <f aca="false">K28</f>
        <v>0.383333333333333</v>
      </c>
      <c r="R14" s="16" t="n">
        <f aca="false">K38</f>
        <v>0</v>
      </c>
      <c r="S14" s="16" t="n">
        <f aca="false">K48</f>
        <v>0</v>
      </c>
      <c r="T14" s="16" t="n">
        <f aca="false">K58</f>
        <v>0</v>
      </c>
      <c r="U14" s="16" t="n">
        <f aca="false">K68</f>
        <v>0</v>
      </c>
      <c r="V14" s="16" t="n">
        <f aca="false">K78</f>
        <v>0</v>
      </c>
      <c r="W14" s="16" t="n">
        <f aca="false">K88</f>
        <v>0</v>
      </c>
      <c r="X14" s="16" t="n">
        <f aca="false">K98</f>
        <v>0</v>
      </c>
    </row>
    <row r="15" customFormat="false" ht="13.8" hidden="false" customHeight="false" outlineLevel="0" collapsed="false">
      <c r="A15" s="4" t="n">
        <v>2</v>
      </c>
      <c r="B15" s="6" t="s">
        <v>21</v>
      </c>
      <c r="C15" s="17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9.75" hidden="false" customHeight="false" outlineLevel="0" collapsed="false">
      <c r="A16" s="8"/>
      <c r="B16" s="9" t="s">
        <v>4</v>
      </c>
      <c r="C16" s="9"/>
      <c r="D16" s="9"/>
      <c r="E16" s="9" t="s">
        <v>5</v>
      </c>
      <c r="F16" s="9"/>
      <c r="G16" s="9"/>
      <c r="H16" s="8"/>
      <c r="I16" s="8"/>
      <c r="J16" s="8"/>
      <c r="K16" s="9" t="s">
        <v>6</v>
      </c>
      <c r="L16" s="10" t="s">
        <v>7</v>
      </c>
      <c r="N16" s="1" t="s">
        <v>14</v>
      </c>
      <c r="O16" s="1" t="n">
        <f aca="false">L7</f>
        <v>0.0792324288266981</v>
      </c>
      <c r="P16" s="1" t="n">
        <f aca="false">L17</f>
        <v>0.0763762615825975</v>
      </c>
      <c r="Q16" s="1" t="n">
        <f aca="false">L27</f>
        <v>0.0666666666666666</v>
      </c>
      <c r="R16" s="1" t="n">
        <f aca="false">L37</f>
        <v>0</v>
      </c>
      <c r="S16" s="1" t="n">
        <f aca="false">L47</f>
        <v>0</v>
      </c>
      <c r="T16" s="1" t="n">
        <f aca="false">L57</f>
        <v>0</v>
      </c>
      <c r="U16" s="1" t="n">
        <f aca="false">L67</f>
        <v>0</v>
      </c>
      <c r="V16" s="1" t="n">
        <f aca="false">L77</f>
        <v>0</v>
      </c>
      <c r="W16" s="1" t="n">
        <f aca="false">L87</f>
        <v>0</v>
      </c>
      <c r="X16" s="1" t="n">
        <f aca="false">L97</f>
        <v>0</v>
      </c>
    </row>
    <row r="17" customFormat="false" ht="9.75" hidden="false" customHeight="false" outlineLevel="0" collapsed="false">
      <c r="A17" s="11" t="s">
        <v>8</v>
      </c>
      <c r="B17" s="9" t="s">
        <v>9</v>
      </c>
      <c r="C17" s="9" t="s">
        <v>10</v>
      </c>
      <c r="D17" s="9" t="s">
        <v>11</v>
      </c>
      <c r="E17" s="9" t="s">
        <v>9</v>
      </c>
      <c r="F17" s="9" t="s">
        <v>10</v>
      </c>
      <c r="G17" s="9" t="s">
        <v>11</v>
      </c>
      <c r="H17" s="8"/>
      <c r="I17" s="9" t="s">
        <v>4</v>
      </c>
      <c r="J17" s="9"/>
      <c r="K17" s="9" t="n">
        <f aca="false">AVERAGE(D18:D23)</f>
        <v>0.65</v>
      </c>
      <c r="L17" s="9" t="n">
        <f aca="false">STDEV(D18:D23)/SQRT(6)</f>
        <v>0.0763762615825975</v>
      </c>
      <c r="N17" s="1" t="s">
        <v>15</v>
      </c>
      <c r="O17" s="1" t="n">
        <f aca="false">L8</f>
        <v>0.0614636297152859</v>
      </c>
      <c r="P17" s="1" t="n">
        <f aca="false">L18</f>
        <v>0.0494413232473044</v>
      </c>
      <c r="Q17" s="1" t="n">
        <f aca="false">L28</f>
        <v>0.0833333333333334</v>
      </c>
      <c r="R17" s="1" t="n">
        <f aca="false">L38</f>
        <v>0</v>
      </c>
      <c r="S17" s="1" t="n">
        <f aca="false">L48</f>
        <v>0</v>
      </c>
      <c r="T17" s="1" t="n">
        <f aca="false">L58</f>
        <v>0</v>
      </c>
      <c r="U17" s="1" t="n">
        <f aca="false">L68</f>
        <v>0</v>
      </c>
      <c r="V17" s="1" t="n">
        <f aca="false">L78</f>
        <v>0</v>
      </c>
      <c r="W17" s="1" t="n">
        <f aca="false">L88</f>
        <v>0</v>
      </c>
      <c r="X17" s="1" t="n">
        <f aca="false">L98</f>
        <v>0</v>
      </c>
    </row>
    <row r="18" customFormat="false" ht="9.75" hidden="false" customHeight="false" outlineLevel="0" collapsed="false">
      <c r="A18" s="9" t="n">
        <v>1</v>
      </c>
      <c r="B18" s="9" t="n">
        <v>7</v>
      </c>
      <c r="C18" s="9" t="n">
        <v>10</v>
      </c>
      <c r="D18" s="9" t="n">
        <f aca="false">B18/C18</f>
        <v>0.7</v>
      </c>
      <c r="E18" s="9" t="n">
        <v>8</v>
      </c>
      <c r="F18" s="9" t="n">
        <v>10</v>
      </c>
      <c r="G18" s="9" t="n">
        <f aca="false">E18/F18</f>
        <v>0.8</v>
      </c>
      <c r="H18" s="8"/>
      <c r="I18" s="9" t="s">
        <v>5</v>
      </c>
      <c r="J18" s="9"/>
      <c r="K18" s="9" t="n">
        <f aca="false">AVERAGE(G18:G23)</f>
        <v>0.633333333333333</v>
      </c>
      <c r="L18" s="9" t="n">
        <f aca="false">STDEV(G18:G23)/SQRT(6)</f>
        <v>0.0494413232473044</v>
      </c>
    </row>
    <row r="19" customFormat="false" ht="9.75" hidden="false" customHeight="false" outlineLevel="0" collapsed="false">
      <c r="A19" s="9" t="n">
        <v>2</v>
      </c>
      <c r="B19" s="9" t="n">
        <v>9</v>
      </c>
      <c r="C19" s="9" t="n">
        <v>10</v>
      </c>
      <c r="D19" s="9" t="n">
        <f aca="false">B19/C19</f>
        <v>0.9</v>
      </c>
      <c r="E19" s="9" t="n">
        <v>7</v>
      </c>
      <c r="F19" s="9" t="n">
        <v>10</v>
      </c>
      <c r="G19" s="9" t="n">
        <f aca="false">E19/F19</f>
        <v>0.7</v>
      </c>
      <c r="H19" s="8"/>
    </row>
    <row r="20" customFormat="false" ht="9.75" hidden="false" customHeight="false" outlineLevel="0" collapsed="false">
      <c r="A20" s="9" t="n">
        <v>3</v>
      </c>
      <c r="B20" s="9" t="n">
        <v>5</v>
      </c>
      <c r="C20" s="9" t="n">
        <v>10</v>
      </c>
      <c r="D20" s="9" t="n">
        <f aca="false">B20/C20</f>
        <v>0.5</v>
      </c>
      <c r="E20" s="9" t="n">
        <v>6</v>
      </c>
      <c r="F20" s="9" t="n">
        <v>10</v>
      </c>
      <c r="G20" s="9" t="n">
        <f aca="false">E20/F20</f>
        <v>0.6</v>
      </c>
      <c r="H20" s="8"/>
      <c r="I20" s="8"/>
    </row>
    <row r="21" customFormat="false" ht="9.75" hidden="false" customHeight="false" outlineLevel="0" collapsed="false">
      <c r="A21" s="9" t="n">
        <v>4</v>
      </c>
      <c r="B21" s="9" t="n">
        <v>6</v>
      </c>
      <c r="C21" s="9" t="n">
        <v>10</v>
      </c>
      <c r="D21" s="9" t="n">
        <f aca="false">B21/C21</f>
        <v>0.6</v>
      </c>
      <c r="E21" s="9" t="n">
        <v>5</v>
      </c>
      <c r="F21" s="9" t="n">
        <v>10</v>
      </c>
      <c r="G21" s="9" t="n">
        <f aca="false">E21/F21</f>
        <v>0.5</v>
      </c>
      <c r="H21" s="8"/>
      <c r="I21" s="8"/>
    </row>
    <row r="22" customFormat="false" ht="9.75" hidden="false" customHeight="false" outlineLevel="0" collapsed="false">
      <c r="A22" s="9" t="n">
        <v>5</v>
      </c>
      <c r="B22" s="9" t="n">
        <v>8</v>
      </c>
      <c r="C22" s="9" t="n">
        <v>10</v>
      </c>
      <c r="D22" s="9" t="n">
        <f aca="false">B22/C22</f>
        <v>0.8</v>
      </c>
      <c r="E22" s="9" t="n">
        <v>7</v>
      </c>
      <c r="F22" s="9" t="n">
        <v>10</v>
      </c>
      <c r="G22" s="9" t="n">
        <f aca="false">E22/F22</f>
        <v>0.7</v>
      </c>
      <c r="H22" s="8"/>
      <c r="I22" s="8"/>
    </row>
    <row r="23" customFormat="false" ht="9.75" hidden="false" customHeight="false" outlineLevel="0" collapsed="false">
      <c r="A23" s="9" t="n">
        <v>6</v>
      </c>
      <c r="B23" s="9" t="n">
        <v>4</v>
      </c>
      <c r="C23" s="9" t="n">
        <v>10</v>
      </c>
      <c r="D23" s="9" t="n">
        <f aca="false">B23/C23</f>
        <v>0.4</v>
      </c>
      <c r="E23" s="9" t="n">
        <v>5</v>
      </c>
      <c r="F23" s="9" t="n">
        <v>10</v>
      </c>
      <c r="G23" s="9" t="n">
        <f aca="false">E23/F23</f>
        <v>0.5</v>
      </c>
      <c r="H23" s="8"/>
      <c r="I23" s="8"/>
      <c r="J23" s="8"/>
      <c r="K23" s="8"/>
      <c r="L23" s="8"/>
    </row>
    <row r="24" customFormat="false" ht="9.7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3.8" hidden="false" customHeight="false" outlineLevel="0" collapsed="false">
      <c r="A25" s="4" t="n">
        <v>3</v>
      </c>
      <c r="B25" s="6" t="s">
        <v>22</v>
      </c>
      <c r="C25" s="18"/>
      <c r="D25" s="8"/>
      <c r="E25" s="8"/>
      <c r="F25" s="8"/>
      <c r="G25" s="8"/>
      <c r="H25" s="8"/>
      <c r="I25" s="8"/>
      <c r="J25" s="8"/>
      <c r="K25" s="8"/>
      <c r="L25" s="8"/>
    </row>
    <row r="26" customFormat="false" ht="9.75" hidden="false" customHeight="false" outlineLevel="0" collapsed="false">
      <c r="A26" s="8"/>
      <c r="B26" s="9" t="s">
        <v>4</v>
      </c>
      <c r="C26" s="9"/>
      <c r="D26" s="9"/>
      <c r="E26" s="9" t="s">
        <v>5</v>
      </c>
      <c r="F26" s="9"/>
      <c r="G26" s="9"/>
      <c r="H26" s="8"/>
      <c r="I26" s="8"/>
      <c r="J26" s="8"/>
      <c r="K26" s="9" t="s">
        <v>6</v>
      </c>
      <c r="L26" s="10" t="s">
        <v>7</v>
      </c>
    </row>
    <row r="27" customFormat="false" ht="9.75" hidden="false" customHeight="false" outlineLevel="0" collapsed="false">
      <c r="A27" s="11" t="s">
        <v>8</v>
      </c>
      <c r="B27" s="9" t="s">
        <v>9</v>
      </c>
      <c r="C27" s="9" t="s">
        <v>10</v>
      </c>
      <c r="D27" s="9" t="s">
        <v>11</v>
      </c>
      <c r="E27" s="9" t="s">
        <v>9</v>
      </c>
      <c r="F27" s="9" t="s">
        <v>10</v>
      </c>
      <c r="G27" s="9" t="s">
        <v>11</v>
      </c>
      <c r="H27" s="8"/>
      <c r="I27" s="9" t="s">
        <v>4</v>
      </c>
      <c r="J27" s="9"/>
      <c r="K27" s="9" t="n">
        <f aca="false">AVERAGE(D28:D33)</f>
        <v>0.633333333333333</v>
      </c>
      <c r="L27" s="9" t="n">
        <f aca="false">STDEV(D28:D33)/SQRT(6)</f>
        <v>0.0666666666666666</v>
      </c>
    </row>
    <row r="28" customFormat="false" ht="9.75" hidden="false" customHeight="false" outlineLevel="0" collapsed="false">
      <c r="A28" s="9" t="n">
        <v>1</v>
      </c>
      <c r="B28" s="9" t="n">
        <v>5</v>
      </c>
      <c r="C28" s="9" t="n">
        <v>10</v>
      </c>
      <c r="D28" s="9" t="n">
        <f aca="false">B28/C28</f>
        <v>0.5</v>
      </c>
      <c r="E28" s="9" t="n">
        <v>1</v>
      </c>
      <c r="F28" s="9" t="n">
        <v>10</v>
      </c>
      <c r="G28" s="9" t="n">
        <f aca="false">E28/F28</f>
        <v>0.1</v>
      </c>
      <c r="H28" s="8"/>
      <c r="I28" s="9" t="s">
        <v>5</v>
      </c>
      <c r="J28" s="9"/>
      <c r="K28" s="9" t="n">
        <f aca="false">AVERAGE(G28:G33)</f>
        <v>0.383333333333333</v>
      </c>
      <c r="L28" s="9" t="n">
        <f aca="false">STDEV(G28:G33)/SQRT(6)</f>
        <v>0.0833333333333334</v>
      </c>
    </row>
    <row r="29" customFormat="false" ht="9.75" hidden="false" customHeight="false" outlineLevel="0" collapsed="false">
      <c r="A29" s="9" t="n">
        <v>2</v>
      </c>
      <c r="B29" s="9" t="n">
        <v>5</v>
      </c>
      <c r="C29" s="9" t="n">
        <v>10</v>
      </c>
      <c r="D29" s="9" t="n">
        <f aca="false">B29/C29</f>
        <v>0.5</v>
      </c>
      <c r="E29" s="9" t="n">
        <v>4</v>
      </c>
      <c r="F29" s="9" t="n">
        <v>10</v>
      </c>
      <c r="G29" s="9" t="n">
        <f aca="false">E29/F29</f>
        <v>0.4</v>
      </c>
      <c r="H29" s="8"/>
    </row>
    <row r="30" customFormat="false" ht="9.75" hidden="false" customHeight="false" outlineLevel="0" collapsed="false">
      <c r="A30" s="9" t="n">
        <v>3</v>
      </c>
      <c r="B30" s="9" t="n">
        <v>9</v>
      </c>
      <c r="C30" s="9" t="n">
        <v>10</v>
      </c>
      <c r="D30" s="9" t="n">
        <f aca="false">B30/C30</f>
        <v>0.9</v>
      </c>
      <c r="E30" s="9" t="n">
        <v>6</v>
      </c>
      <c r="F30" s="9" t="n">
        <v>10</v>
      </c>
      <c r="G30" s="9" t="n">
        <f aca="false">E30/F30</f>
        <v>0.6</v>
      </c>
      <c r="H30" s="8"/>
      <c r="I30" s="8"/>
    </row>
    <row r="31" customFormat="false" ht="9.75" hidden="false" customHeight="false" outlineLevel="0" collapsed="false">
      <c r="A31" s="9" t="n">
        <v>4</v>
      </c>
      <c r="B31" s="9" t="n">
        <v>7</v>
      </c>
      <c r="C31" s="9" t="n">
        <v>10</v>
      </c>
      <c r="D31" s="9" t="n">
        <f aca="false">B31/C31</f>
        <v>0.7</v>
      </c>
      <c r="E31" s="9" t="n">
        <v>4</v>
      </c>
      <c r="F31" s="9" t="n">
        <v>10</v>
      </c>
      <c r="G31" s="9" t="n">
        <f aca="false">E31/F31</f>
        <v>0.4</v>
      </c>
      <c r="H31" s="8"/>
      <c r="I31" s="8"/>
    </row>
    <row r="32" customFormat="false" ht="9.75" hidden="false" customHeight="false" outlineLevel="0" collapsed="false">
      <c r="A32" s="9" t="n">
        <v>5</v>
      </c>
      <c r="B32" s="9" t="n">
        <v>5</v>
      </c>
      <c r="C32" s="9" t="n">
        <v>10</v>
      </c>
      <c r="D32" s="9" t="n">
        <f aca="false">B32/C32</f>
        <v>0.5</v>
      </c>
      <c r="E32" s="9" t="n">
        <v>2</v>
      </c>
      <c r="F32" s="9" t="n">
        <v>10</v>
      </c>
      <c r="G32" s="9" t="n">
        <f aca="false">E32/F32</f>
        <v>0.2</v>
      </c>
      <c r="H32" s="8"/>
      <c r="I32" s="8"/>
    </row>
    <row r="33" customFormat="false" ht="9.75" hidden="false" customHeight="false" outlineLevel="0" collapsed="false">
      <c r="A33" s="9" t="n">
        <v>6</v>
      </c>
      <c r="B33" s="9" t="n">
        <v>7</v>
      </c>
      <c r="C33" s="9" t="n">
        <v>10</v>
      </c>
      <c r="D33" s="9" t="n">
        <f aca="false">B33/C33</f>
        <v>0.7</v>
      </c>
      <c r="E33" s="9" t="n">
        <v>6</v>
      </c>
      <c r="F33" s="9" t="n">
        <v>10</v>
      </c>
      <c r="G33" s="9" t="n">
        <f aca="false">E33/F33</f>
        <v>0.6</v>
      </c>
      <c r="H33" s="8"/>
      <c r="I33" s="8"/>
      <c r="J33" s="8"/>
      <c r="K33" s="8"/>
      <c r="L33" s="8"/>
    </row>
    <row r="34" customFormat="false" ht="9.7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3.8" hidden="false" customHeight="false" outlineLevel="0" collapsed="false">
      <c r="A35" s="4" t="n">
        <v>4</v>
      </c>
      <c r="B35" s="6" t="s">
        <v>17</v>
      </c>
      <c r="C35" s="1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9.75" hidden="false" customHeight="false" outlineLevel="0" collapsed="false">
      <c r="A36" s="8"/>
      <c r="B36" s="9" t="s">
        <v>4</v>
      </c>
      <c r="C36" s="9"/>
      <c r="D36" s="9"/>
      <c r="E36" s="9" t="s">
        <v>5</v>
      </c>
      <c r="F36" s="9"/>
      <c r="G36" s="9"/>
      <c r="H36" s="8"/>
      <c r="I36" s="8"/>
      <c r="J36" s="8"/>
      <c r="K36" s="9" t="s">
        <v>6</v>
      </c>
      <c r="L36" s="10" t="s">
        <v>7</v>
      </c>
    </row>
    <row r="37" customFormat="false" ht="12.65" hidden="false" customHeight="false" outlineLevel="0" collapsed="false">
      <c r="A37" s="11" t="s">
        <v>8</v>
      </c>
      <c r="B37" s="9" t="s">
        <v>9</v>
      </c>
      <c r="C37" s="9" t="s">
        <v>10</v>
      </c>
      <c r="D37" s="9" t="s">
        <v>11</v>
      </c>
      <c r="E37" s="9" t="s">
        <v>9</v>
      </c>
      <c r="F37" s="9" t="s">
        <v>10</v>
      </c>
      <c r="G37" s="9" t="s">
        <v>11</v>
      </c>
      <c r="H37" s="8"/>
      <c r="I37" s="9" t="s">
        <v>4</v>
      </c>
      <c r="J37" s="9"/>
      <c r="K37" s="9" t="n">
        <f aca="false">AVERAGE(D38:D43)</f>
        <v>0</v>
      </c>
      <c r="L37" s="9" t="n">
        <f aca="false">STDEV(D38:D43)/SQRT(6)</f>
        <v>0</v>
      </c>
      <c r="P37" s="1" t="s">
        <v>18</v>
      </c>
      <c r="T37" s="20"/>
      <c r="U37" s="20"/>
      <c r="V37" s="20"/>
    </row>
    <row r="38" customFormat="false" ht="12.65" hidden="false" customHeight="false" outlineLevel="0" collapsed="false">
      <c r="A38" s="9" t="n">
        <v>1</v>
      </c>
      <c r="B38" s="9" t="n">
        <v>0</v>
      </c>
      <c r="C38" s="9" t="n">
        <v>10</v>
      </c>
      <c r="D38" s="9" t="n">
        <f aca="false">B38/C38</f>
        <v>0</v>
      </c>
      <c r="E38" s="9" t="n">
        <v>0</v>
      </c>
      <c r="F38" s="9" t="n">
        <v>10</v>
      </c>
      <c r="G38" s="9" t="n">
        <f aca="false">E38/F38</f>
        <v>0</v>
      </c>
      <c r="H38" s="8"/>
      <c r="I38" s="9" t="s">
        <v>5</v>
      </c>
      <c r="J38" s="9"/>
      <c r="K38" s="9" t="n">
        <f aca="false">AVERAGE(G38:G43)</f>
        <v>0</v>
      </c>
      <c r="L38" s="9" t="n">
        <f aca="false">STDEV(G38:G43)/SQRT(6)</f>
        <v>0</v>
      </c>
      <c r="T38" s="21"/>
      <c r="U38" s="21"/>
      <c r="V38" s="21"/>
    </row>
    <row r="39" customFormat="false" ht="12.65" hidden="false" customHeight="false" outlineLevel="0" collapsed="false">
      <c r="A39" s="9" t="n">
        <v>2</v>
      </c>
      <c r="B39" s="9" t="n">
        <v>0</v>
      </c>
      <c r="C39" s="9" t="n">
        <v>10</v>
      </c>
      <c r="D39" s="9" t="n">
        <f aca="false">B39/C39</f>
        <v>0</v>
      </c>
      <c r="E39" s="9" t="n">
        <v>0</v>
      </c>
      <c r="F39" s="9" t="n">
        <v>10</v>
      </c>
      <c r="G39" s="9" t="n">
        <f aca="false">E39/F39</f>
        <v>0</v>
      </c>
      <c r="H39" s="8"/>
      <c r="T39" s="22"/>
      <c r="U39" s="22"/>
      <c r="V39" s="22"/>
    </row>
    <row r="40" customFormat="false" ht="9.75" hidden="false" customHeight="false" outlineLevel="0" collapsed="false">
      <c r="A40" s="9" t="n">
        <v>3</v>
      </c>
      <c r="B40" s="9" t="n">
        <v>0</v>
      </c>
      <c r="C40" s="9" t="n">
        <v>10</v>
      </c>
      <c r="D40" s="9" t="n">
        <f aca="false">B40/C40</f>
        <v>0</v>
      </c>
      <c r="E40" s="9" t="n">
        <v>0</v>
      </c>
      <c r="F40" s="9" t="n">
        <v>10</v>
      </c>
      <c r="G40" s="9"/>
      <c r="H40" s="8"/>
    </row>
    <row r="41" customFormat="false" ht="9.75" hidden="false" customHeight="false" outlineLevel="0" collapsed="false">
      <c r="A41" s="9" t="n">
        <v>4</v>
      </c>
      <c r="B41" s="9" t="n">
        <v>0</v>
      </c>
      <c r="C41" s="9" t="n">
        <v>10</v>
      </c>
      <c r="D41" s="9" t="n">
        <f aca="false">B41/C41</f>
        <v>0</v>
      </c>
      <c r="E41" s="9" t="n">
        <v>0</v>
      </c>
      <c r="F41" s="9" t="n">
        <v>10</v>
      </c>
      <c r="G41" s="9"/>
      <c r="H41" s="8"/>
    </row>
    <row r="42" customFormat="false" ht="9.75" hidden="false" customHeight="false" outlineLevel="0" collapsed="false">
      <c r="A42" s="9" t="n">
        <v>5</v>
      </c>
      <c r="B42" s="9"/>
      <c r="C42" s="9"/>
      <c r="D42" s="9"/>
      <c r="E42" s="9"/>
      <c r="F42" s="9"/>
      <c r="G42" s="9"/>
      <c r="H42" s="8"/>
    </row>
    <row r="43" customFormat="false" ht="9.75" hidden="false" customHeight="false" outlineLevel="0" collapsed="false">
      <c r="A43" s="9" t="n">
        <v>6</v>
      </c>
      <c r="B43" s="9"/>
      <c r="C43" s="9"/>
      <c r="D43" s="9"/>
      <c r="E43" s="9"/>
      <c r="F43" s="9"/>
      <c r="G43" s="9"/>
      <c r="H43" s="8"/>
    </row>
    <row r="45" customFormat="false" ht="13.8" hidden="false" customHeight="false" outlineLevel="0" collapsed="false">
      <c r="A45" s="4" t="n">
        <v>5</v>
      </c>
      <c r="B45" s="6" t="s">
        <v>17</v>
      </c>
      <c r="C45" s="18"/>
      <c r="D45" s="8"/>
      <c r="E45" s="8"/>
      <c r="F45" s="8"/>
      <c r="G45" s="8"/>
    </row>
    <row r="46" customFormat="false" ht="9.75" hidden="false" customHeight="false" outlineLevel="0" collapsed="false">
      <c r="A46" s="8"/>
      <c r="B46" s="9" t="s">
        <v>4</v>
      </c>
      <c r="C46" s="9"/>
      <c r="D46" s="9"/>
      <c r="E46" s="9" t="s">
        <v>5</v>
      </c>
      <c r="F46" s="9"/>
      <c r="G46" s="9"/>
      <c r="I46" s="8"/>
      <c r="J46" s="8"/>
      <c r="K46" s="9" t="s">
        <v>6</v>
      </c>
      <c r="L46" s="10" t="s">
        <v>7</v>
      </c>
    </row>
    <row r="47" customFormat="false" ht="9.75" hidden="false" customHeight="false" outlineLevel="0" collapsed="false">
      <c r="A47" s="11" t="s">
        <v>8</v>
      </c>
      <c r="B47" s="9" t="s">
        <v>9</v>
      </c>
      <c r="C47" s="9" t="s">
        <v>10</v>
      </c>
      <c r="D47" s="9" t="s">
        <v>11</v>
      </c>
      <c r="E47" s="9" t="s">
        <v>9</v>
      </c>
      <c r="F47" s="9" t="s">
        <v>10</v>
      </c>
      <c r="G47" s="9" t="s">
        <v>11</v>
      </c>
      <c r="I47" s="9" t="s">
        <v>4</v>
      </c>
      <c r="J47" s="9"/>
      <c r="K47" s="9" t="n">
        <f aca="false">AVERAGE(D48:D53)</f>
        <v>0</v>
      </c>
      <c r="L47" s="9" t="n">
        <f aca="false">STDEV(D48:D53)/SQRT(4)</f>
        <v>0</v>
      </c>
    </row>
    <row r="48" customFormat="false" ht="9.75" hidden="false" customHeight="false" outlineLevel="0" collapsed="false">
      <c r="A48" s="9" t="n">
        <v>1</v>
      </c>
      <c r="B48" s="9" t="n">
        <v>0</v>
      </c>
      <c r="C48" s="9" t="n">
        <v>10</v>
      </c>
      <c r="D48" s="9" t="n">
        <f aca="false">B48/C48</f>
        <v>0</v>
      </c>
      <c r="E48" s="9" t="n">
        <v>0</v>
      </c>
      <c r="F48" s="9" t="n">
        <v>10</v>
      </c>
      <c r="G48" s="9" t="n">
        <f aca="false">E48/F48</f>
        <v>0</v>
      </c>
      <c r="I48" s="9" t="s">
        <v>5</v>
      </c>
      <c r="J48" s="9"/>
      <c r="K48" s="9" t="n">
        <f aca="false">AVERAGE(G48:G53)</f>
        <v>0</v>
      </c>
      <c r="L48" s="9" t="n">
        <f aca="false">STDEV(G48:G53)/SQRT(4)</f>
        <v>0</v>
      </c>
    </row>
    <row r="49" customFormat="false" ht="9.75" hidden="false" customHeight="false" outlineLevel="0" collapsed="false">
      <c r="A49" s="9" t="n">
        <v>2</v>
      </c>
      <c r="B49" s="9" t="n">
        <v>0</v>
      </c>
      <c r="C49" s="9" t="n">
        <v>10</v>
      </c>
      <c r="D49" s="9" t="n">
        <f aca="false">B49/C49</f>
        <v>0</v>
      </c>
      <c r="E49" s="9" t="n">
        <v>0</v>
      </c>
      <c r="F49" s="9" t="n">
        <v>10</v>
      </c>
      <c r="G49" s="9" t="n">
        <f aca="false">E49/F49</f>
        <v>0</v>
      </c>
    </row>
    <row r="50" customFormat="false" ht="9.75" hidden="false" customHeight="false" outlineLevel="0" collapsed="false">
      <c r="A50" s="9" t="n">
        <v>3</v>
      </c>
      <c r="B50" s="9" t="n">
        <v>0</v>
      </c>
      <c r="C50" s="9" t="n">
        <v>10</v>
      </c>
      <c r="D50" s="9" t="n">
        <f aca="false">B50/C50</f>
        <v>0</v>
      </c>
      <c r="E50" s="9" t="n">
        <v>0</v>
      </c>
      <c r="F50" s="9" t="n">
        <v>10</v>
      </c>
      <c r="G50" s="9"/>
    </row>
    <row r="51" customFormat="false" ht="9.75" hidden="false" customHeight="false" outlineLevel="0" collapsed="false">
      <c r="A51" s="9" t="n">
        <v>4</v>
      </c>
      <c r="B51" s="9" t="n">
        <v>0</v>
      </c>
      <c r="C51" s="9" t="n">
        <v>10</v>
      </c>
      <c r="D51" s="9" t="n">
        <f aca="false">B51/C51</f>
        <v>0</v>
      </c>
      <c r="E51" s="9" t="n">
        <v>0</v>
      </c>
      <c r="F51" s="9" t="n">
        <v>10</v>
      </c>
      <c r="G51" s="9"/>
    </row>
    <row r="52" customFormat="false" ht="9.75" hidden="false" customHeight="false" outlineLevel="0" collapsed="false">
      <c r="A52" s="9" t="n">
        <v>5</v>
      </c>
      <c r="B52" s="9"/>
      <c r="C52" s="9"/>
      <c r="D52" s="9"/>
      <c r="E52" s="9"/>
      <c r="F52" s="9"/>
      <c r="G52" s="9"/>
    </row>
    <row r="53" customFormat="false" ht="9.75" hidden="false" customHeight="false" outlineLevel="0" collapsed="false">
      <c r="A53" s="9" t="n">
        <v>6</v>
      </c>
      <c r="B53" s="9"/>
      <c r="C53" s="9"/>
      <c r="D53" s="9"/>
      <c r="E53" s="9"/>
      <c r="F53" s="9"/>
      <c r="G53" s="9"/>
    </row>
    <row r="55" customFormat="false" ht="13.8" hidden="false" customHeight="false" outlineLevel="0" collapsed="false">
      <c r="A55" s="4" t="n">
        <v>6</v>
      </c>
      <c r="B55" s="6" t="s">
        <v>17</v>
      </c>
      <c r="C55" s="18"/>
      <c r="D55" s="8"/>
      <c r="E55" s="8"/>
      <c r="F55" s="8"/>
      <c r="G55" s="8"/>
    </row>
    <row r="56" customFormat="false" ht="9.75" hidden="false" customHeight="false" outlineLevel="0" collapsed="false">
      <c r="A56" s="8"/>
      <c r="B56" s="9" t="s">
        <v>4</v>
      </c>
      <c r="C56" s="9"/>
      <c r="D56" s="9"/>
      <c r="E56" s="9" t="s">
        <v>5</v>
      </c>
      <c r="F56" s="9"/>
      <c r="G56" s="9"/>
      <c r="I56" s="8"/>
      <c r="J56" s="8"/>
      <c r="K56" s="9" t="s">
        <v>6</v>
      </c>
      <c r="L56" s="10" t="s">
        <v>7</v>
      </c>
    </row>
    <row r="57" customFormat="false" ht="9.75" hidden="false" customHeight="false" outlineLevel="0" collapsed="false">
      <c r="A57" s="11" t="s">
        <v>8</v>
      </c>
      <c r="B57" s="9" t="s">
        <v>9</v>
      </c>
      <c r="C57" s="9" t="s">
        <v>10</v>
      </c>
      <c r="D57" s="9" t="s">
        <v>11</v>
      </c>
      <c r="E57" s="9" t="s">
        <v>9</v>
      </c>
      <c r="F57" s="9" t="s">
        <v>10</v>
      </c>
      <c r="G57" s="9" t="s">
        <v>11</v>
      </c>
      <c r="I57" s="9" t="s">
        <v>4</v>
      </c>
      <c r="J57" s="9"/>
      <c r="K57" s="9" t="n">
        <f aca="false">AVERAGE(D58:D63)</f>
        <v>0</v>
      </c>
      <c r="L57" s="9" t="n">
        <f aca="false">STDEV(D58:D63)/SQRT(4)</f>
        <v>0</v>
      </c>
    </row>
    <row r="58" customFormat="false" ht="9.75" hidden="false" customHeight="false" outlineLevel="0" collapsed="false">
      <c r="A58" s="9" t="n">
        <v>1</v>
      </c>
      <c r="B58" s="9" t="n">
        <v>0</v>
      </c>
      <c r="C58" s="9" t="n">
        <v>10</v>
      </c>
      <c r="D58" s="9" t="n">
        <f aca="false">B58/C58</f>
        <v>0</v>
      </c>
      <c r="E58" s="9" t="n">
        <v>0</v>
      </c>
      <c r="F58" s="9" t="n">
        <v>10</v>
      </c>
      <c r="G58" s="9" t="n">
        <f aca="false">E58/F58</f>
        <v>0</v>
      </c>
      <c r="I58" s="9" t="s">
        <v>5</v>
      </c>
      <c r="J58" s="9"/>
      <c r="K58" s="9" t="n">
        <f aca="false">AVERAGE(G58:G63)</f>
        <v>0</v>
      </c>
      <c r="L58" s="9" t="n">
        <f aca="false">STDEV(G58:G63)/SQRT(4)</f>
        <v>0</v>
      </c>
    </row>
    <row r="59" customFormat="false" ht="9.75" hidden="false" customHeight="false" outlineLevel="0" collapsed="false">
      <c r="A59" s="9" t="n">
        <v>2</v>
      </c>
      <c r="B59" s="9" t="n">
        <v>0</v>
      </c>
      <c r="C59" s="9" t="n">
        <v>10</v>
      </c>
      <c r="D59" s="9" t="n">
        <f aca="false">B59/C59</f>
        <v>0</v>
      </c>
      <c r="E59" s="9" t="n">
        <v>0</v>
      </c>
      <c r="F59" s="9" t="n">
        <v>10</v>
      </c>
      <c r="G59" s="9" t="n">
        <f aca="false">E59/F59</f>
        <v>0</v>
      </c>
    </row>
    <row r="60" customFormat="false" ht="9.75" hidden="false" customHeight="false" outlineLevel="0" collapsed="false">
      <c r="A60" s="9" t="n">
        <v>3</v>
      </c>
      <c r="B60" s="9" t="n">
        <v>0</v>
      </c>
      <c r="C60" s="9" t="n">
        <v>10</v>
      </c>
      <c r="D60" s="9" t="n">
        <f aca="false">B60/C60</f>
        <v>0</v>
      </c>
      <c r="E60" s="9" t="n">
        <v>0</v>
      </c>
      <c r="F60" s="9" t="n">
        <v>10</v>
      </c>
      <c r="G60" s="9"/>
    </row>
    <row r="61" customFormat="false" ht="9.75" hidden="false" customHeight="false" outlineLevel="0" collapsed="false">
      <c r="A61" s="9" t="n">
        <v>4</v>
      </c>
      <c r="B61" s="9" t="n">
        <v>0</v>
      </c>
      <c r="C61" s="9" t="n">
        <v>10</v>
      </c>
      <c r="D61" s="9" t="n">
        <f aca="false">B61/C61</f>
        <v>0</v>
      </c>
      <c r="E61" s="9" t="n">
        <v>0</v>
      </c>
      <c r="F61" s="9" t="n">
        <v>10</v>
      </c>
      <c r="G61" s="9"/>
    </row>
    <row r="62" customFormat="false" ht="9.75" hidden="false" customHeight="false" outlineLevel="0" collapsed="false">
      <c r="A62" s="9" t="n">
        <v>5</v>
      </c>
      <c r="B62" s="9"/>
      <c r="C62" s="9"/>
      <c r="D62" s="9"/>
      <c r="E62" s="9"/>
      <c r="F62" s="9"/>
      <c r="G62" s="9"/>
    </row>
    <row r="63" customFormat="false" ht="9.75" hidden="false" customHeight="false" outlineLevel="0" collapsed="false">
      <c r="A63" s="9" t="n">
        <v>6</v>
      </c>
      <c r="B63" s="9"/>
      <c r="C63" s="9"/>
      <c r="D63" s="9"/>
      <c r="E63" s="9"/>
      <c r="F63" s="9"/>
      <c r="G63" s="9"/>
    </row>
    <row r="65" customFormat="false" ht="13.8" hidden="false" customHeight="false" outlineLevel="0" collapsed="false">
      <c r="A65" s="4" t="n">
        <v>7</v>
      </c>
      <c r="B65" s="6" t="s">
        <v>17</v>
      </c>
      <c r="C65" s="18"/>
      <c r="D65" s="8"/>
      <c r="E65" s="8"/>
      <c r="F65" s="8"/>
      <c r="G65" s="8"/>
    </row>
    <row r="66" customFormat="false" ht="9.75" hidden="false" customHeight="false" outlineLevel="0" collapsed="false">
      <c r="A66" s="8"/>
      <c r="B66" s="9" t="s">
        <v>4</v>
      </c>
      <c r="C66" s="9"/>
      <c r="D66" s="9"/>
      <c r="E66" s="9" t="s">
        <v>5</v>
      </c>
      <c r="F66" s="9"/>
      <c r="G66" s="9"/>
      <c r="I66" s="8"/>
      <c r="J66" s="8"/>
      <c r="K66" s="9" t="s">
        <v>6</v>
      </c>
      <c r="L66" s="10" t="s">
        <v>7</v>
      </c>
    </row>
    <row r="67" customFormat="false" ht="9.75" hidden="false" customHeight="false" outlineLevel="0" collapsed="false">
      <c r="A67" s="11" t="s">
        <v>8</v>
      </c>
      <c r="B67" s="9" t="s">
        <v>9</v>
      </c>
      <c r="C67" s="9" t="s">
        <v>10</v>
      </c>
      <c r="D67" s="9" t="s">
        <v>11</v>
      </c>
      <c r="E67" s="9" t="s">
        <v>9</v>
      </c>
      <c r="F67" s="9" t="s">
        <v>10</v>
      </c>
      <c r="G67" s="9" t="s">
        <v>11</v>
      </c>
      <c r="I67" s="9" t="s">
        <v>4</v>
      </c>
      <c r="J67" s="9"/>
      <c r="K67" s="9" t="n">
        <f aca="false">AVERAGE(D68:D73)</f>
        <v>0</v>
      </c>
      <c r="L67" s="9" t="n">
        <f aca="false">STDEV(D68:D73)/SQRT(4)</f>
        <v>0</v>
      </c>
    </row>
    <row r="68" customFormat="false" ht="9.75" hidden="false" customHeight="false" outlineLevel="0" collapsed="false">
      <c r="A68" s="9" t="n">
        <v>1</v>
      </c>
      <c r="B68" s="9" t="n">
        <v>0</v>
      </c>
      <c r="C68" s="9" t="n">
        <v>10</v>
      </c>
      <c r="D68" s="9" t="n">
        <f aca="false">B68/C68</f>
        <v>0</v>
      </c>
      <c r="E68" s="9" t="n">
        <v>0</v>
      </c>
      <c r="F68" s="9" t="n">
        <v>10</v>
      </c>
      <c r="G68" s="9" t="n">
        <f aca="false">E68/F68</f>
        <v>0</v>
      </c>
      <c r="I68" s="9" t="s">
        <v>5</v>
      </c>
      <c r="J68" s="9"/>
      <c r="K68" s="9" t="n">
        <f aca="false">AVERAGE(G68:G73)</f>
        <v>0</v>
      </c>
      <c r="L68" s="9" t="n">
        <f aca="false">STDEV(G68:G73)/SQRT(4)</f>
        <v>0</v>
      </c>
    </row>
    <row r="69" customFormat="false" ht="9.75" hidden="false" customHeight="false" outlineLevel="0" collapsed="false">
      <c r="A69" s="9" t="n">
        <v>2</v>
      </c>
      <c r="B69" s="9" t="n">
        <v>0</v>
      </c>
      <c r="C69" s="9" t="n">
        <v>10</v>
      </c>
      <c r="D69" s="9" t="n">
        <f aca="false">B69/C69</f>
        <v>0</v>
      </c>
      <c r="E69" s="9" t="n">
        <v>0</v>
      </c>
      <c r="F69" s="9" t="n">
        <v>10</v>
      </c>
      <c r="G69" s="9" t="n">
        <f aca="false">E69/F69</f>
        <v>0</v>
      </c>
    </row>
    <row r="70" customFormat="false" ht="9.75" hidden="false" customHeight="false" outlineLevel="0" collapsed="false">
      <c r="A70" s="9" t="n">
        <v>3</v>
      </c>
      <c r="B70" s="9" t="n">
        <v>0</v>
      </c>
      <c r="C70" s="9" t="n">
        <v>10</v>
      </c>
      <c r="D70" s="9" t="n">
        <f aca="false">B70/C70</f>
        <v>0</v>
      </c>
      <c r="E70" s="9" t="n">
        <v>0</v>
      </c>
      <c r="F70" s="9" t="n">
        <v>10</v>
      </c>
      <c r="G70" s="9" t="n">
        <f aca="false">E70/F70</f>
        <v>0</v>
      </c>
    </row>
    <row r="71" customFormat="false" ht="9.75" hidden="false" customHeight="false" outlineLevel="0" collapsed="false">
      <c r="A71" s="9" t="n">
        <v>4</v>
      </c>
      <c r="B71" s="9" t="n">
        <v>0</v>
      </c>
      <c r="C71" s="9" t="n">
        <v>10</v>
      </c>
      <c r="D71" s="9" t="n">
        <f aca="false">B71/C71</f>
        <v>0</v>
      </c>
      <c r="E71" s="9" t="n">
        <v>0</v>
      </c>
      <c r="F71" s="9" t="n">
        <v>10</v>
      </c>
      <c r="G71" s="9" t="n">
        <f aca="false">E71/F71</f>
        <v>0</v>
      </c>
    </row>
    <row r="72" customFormat="false" ht="9.75" hidden="false" customHeight="false" outlineLevel="0" collapsed="false">
      <c r="A72" s="9" t="n">
        <v>5</v>
      </c>
      <c r="B72" s="9"/>
      <c r="C72" s="9"/>
      <c r="D72" s="9"/>
      <c r="E72" s="9"/>
      <c r="F72" s="9"/>
      <c r="G72" s="9"/>
    </row>
    <row r="73" customFormat="false" ht="9.75" hidden="false" customHeight="false" outlineLevel="0" collapsed="false">
      <c r="A73" s="9" t="n">
        <v>6</v>
      </c>
      <c r="B73" s="9"/>
      <c r="C73" s="9"/>
      <c r="D73" s="9"/>
      <c r="E73" s="9"/>
      <c r="F73" s="9"/>
      <c r="G73" s="9"/>
    </row>
    <row r="75" customFormat="false" ht="13.8" hidden="false" customHeight="false" outlineLevel="0" collapsed="false">
      <c r="A75" s="4" t="n">
        <v>8</v>
      </c>
      <c r="B75" s="6" t="s">
        <v>17</v>
      </c>
      <c r="C75" s="1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9.75" hidden="false" customHeight="false" outlineLevel="0" collapsed="false">
      <c r="A76" s="8"/>
      <c r="B76" s="9" t="s">
        <v>4</v>
      </c>
      <c r="C76" s="9"/>
      <c r="D76" s="9"/>
      <c r="E76" s="9" t="s">
        <v>5</v>
      </c>
      <c r="F76" s="9"/>
      <c r="G76" s="9"/>
      <c r="H76" s="8"/>
      <c r="I76" s="8"/>
      <c r="J76" s="8"/>
      <c r="K76" s="9" t="s">
        <v>6</v>
      </c>
      <c r="L76" s="10" t="s">
        <v>7</v>
      </c>
      <c r="O76" s="12"/>
      <c r="P76" s="12"/>
      <c r="Q76" s="12"/>
    </row>
    <row r="77" customFormat="false" ht="9.75" hidden="false" customHeight="false" outlineLevel="0" collapsed="false">
      <c r="A77" s="11" t="s">
        <v>8</v>
      </c>
      <c r="B77" s="9" t="s">
        <v>9</v>
      </c>
      <c r="C77" s="9" t="s">
        <v>10</v>
      </c>
      <c r="D77" s="9" t="s">
        <v>11</v>
      </c>
      <c r="E77" s="9" t="s">
        <v>9</v>
      </c>
      <c r="F77" s="9" t="s">
        <v>10</v>
      </c>
      <c r="G77" s="9" t="s">
        <v>11</v>
      </c>
      <c r="H77" s="8"/>
      <c r="I77" s="9" t="s">
        <v>4</v>
      </c>
      <c r="J77" s="9"/>
      <c r="K77" s="9" t="n">
        <f aca="false">AVERAGE(D78:D83)</f>
        <v>0</v>
      </c>
      <c r="L77" s="9" t="n">
        <f aca="false">STDEV(D78:D83)/SQRT(4)</f>
        <v>0</v>
      </c>
      <c r="O77" s="3"/>
      <c r="P77" s="3"/>
    </row>
    <row r="78" customFormat="false" ht="9.75" hidden="false" customHeight="false" outlineLevel="0" collapsed="false">
      <c r="A78" s="9" t="n">
        <v>1</v>
      </c>
      <c r="B78" s="9" t="n">
        <v>0</v>
      </c>
      <c r="C78" s="9" t="n">
        <v>10</v>
      </c>
      <c r="D78" s="9" t="n">
        <f aca="false">B78/C78</f>
        <v>0</v>
      </c>
      <c r="E78" s="9" t="n">
        <v>0</v>
      </c>
      <c r="F78" s="9" t="n">
        <v>10</v>
      </c>
      <c r="G78" s="9" t="n">
        <f aca="false">E78/F78</f>
        <v>0</v>
      </c>
      <c r="H78" s="8"/>
      <c r="I78" s="9" t="s">
        <v>5</v>
      </c>
      <c r="J78" s="9"/>
      <c r="K78" s="9" t="n">
        <f aca="false">AVERAGE(G78:G83)</f>
        <v>0</v>
      </c>
      <c r="L78" s="9" t="n">
        <f aca="false">STDEV(G78:G83)/SQRT(4)</f>
        <v>0</v>
      </c>
      <c r="O78" s="23"/>
      <c r="P78" s="23"/>
      <c r="Q78" s="23"/>
    </row>
    <row r="79" customFormat="false" ht="9.75" hidden="false" customHeight="false" outlineLevel="0" collapsed="false">
      <c r="A79" s="9" t="n">
        <v>2</v>
      </c>
      <c r="B79" s="9" t="n">
        <v>0</v>
      </c>
      <c r="C79" s="9" t="n">
        <v>10</v>
      </c>
      <c r="D79" s="9" t="n">
        <f aca="false">B79/C79</f>
        <v>0</v>
      </c>
      <c r="E79" s="9" t="n">
        <v>0</v>
      </c>
      <c r="F79" s="9" t="n">
        <v>10</v>
      </c>
      <c r="G79" s="9" t="n">
        <f aca="false">E79/F79</f>
        <v>0</v>
      </c>
      <c r="H79" s="8"/>
    </row>
    <row r="80" customFormat="false" ht="9.75" hidden="false" customHeight="false" outlineLevel="0" collapsed="false">
      <c r="A80" s="9" t="n">
        <v>3</v>
      </c>
      <c r="B80" s="9" t="n">
        <v>0</v>
      </c>
      <c r="C80" s="9" t="n">
        <v>10</v>
      </c>
      <c r="D80" s="9" t="n">
        <f aca="false">B80/C80</f>
        <v>0</v>
      </c>
      <c r="E80" s="9" t="n">
        <v>0</v>
      </c>
      <c r="F80" s="9" t="n">
        <v>10</v>
      </c>
      <c r="G80" s="9" t="n">
        <f aca="false">E80/F80</f>
        <v>0</v>
      </c>
      <c r="H80" s="8"/>
      <c r="I80" s="8"/>
    </row>
    <row r="81" customFormat="false" ht="9.75" hidden="false" customHeight="false" outlineLevel="0" collapsed="false">
      <c r="A81" s="9" t="n">
        <v>4</v>
      </c>
      <c r="B81" s="9" t="n">
        <v>0</v>
      </c>
      <c r="C81" s="9" t="n">
        <v>10</v>
      </c>
      <c r="D81" s="9" t="n">
        <f aca="false">B81/C81</f>
        <v>0</v>
      </c>
      <c r="E81" s="9" t="n">
        <v>0</v>
      </c>
      <c r="F81" s="9" t="n">
        <v>10</v>
      </c>
      <c r="G81" s="9" t="n">
        <f aca="false">E81/F81</f>
        <v>0</v>
      </c>
      <c r="H81" s="8"/>
      <c r="I81" s="8"/>
    </row>
    <row r="82" customFormat="false" ht="9.75" hidden="false" customHeight="false" outlineLevel="0" collapsed="false">
      <c r="A82" s="9" t="n">
        <v>5</v>
      </c>
      <c r="B82" s="9"/>
      <c r="C82" s="9"/>
      <c r="D82" s="9"/>
      <c r="E82" s="9"/>
      <c r="F82" s="9"/>
      <c r="G82" s="9"/>
      <c r="H82" s="8"/>
      <c r="I82" s="8"/>
      <c r="J82" s="8"/>
      <c r="K82" s="8"/>
      <c r="L82" s="8"/>
    </row>
    <row r="83" customFormat="false" ht="9.75" hidden="false" customHeight="false" outlineLevel="0" collapsed="false">
      <c r="A83" s="9" t="n">
        <v>6</v>
      </c>
      <c r="B83" s="9"/>
      <c r="C83" s="9"/>
      <c r="D83" s="9"/>
      <c r="E83" s="9"/>
      <c r="F83" s="9"/>
      <c r="G83" s="9"/>
      <c r="H83" s="8"/>
      <c r="I83" s="8"/>
      <c r="J83" s="8"/>
      <c r="K83" s="8"/>
      <c r="L83" s="8"/>
    </row>
    <row r="84" customFormat="false" ht="9.7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customFormat="false" ht="13.8" hidden="false" customHeight="false" outlineLevel="0" collapsed="false">
      <c r="A85" s="4" t="n">
        <v>9</v>
      </c>
      <c r="B85" s="6" t="s">
        <v>17</v>
      </c>
      <c r="C85" s="18"/>
      <c r="D85" s="8"/>
      <c r="E85" s="8"/>
      <c r="F85" s="8"/>
      <c r="G85" s="8"/>
      <c r="H85" s="8"/>
      <c r="I85" s="8"/>
      <c r="J85" s="8"/>
      <c r="K85" s="8"/>
      <c r="L85" s="8"/>
    </row>
    <row r="86" customFormat="false" ht="9.75" hidden="false" customHeight="false" outlineLevel="0" collapsed="false">
      <c r="A86" s="8"/>
      <c r="B86" s="9" t="s">
        <v>4</v>
      </c>
      <c r="C86" s="9"/>
      <c r="D86" s="9"/>
      <c r="E86" s="9" t="s">
        <v>5</v>
      </c>
      <c r="F86" s="9"/>
      <c r="G86" s="9"/>
      <c r="H86" s="8"/>
      <c r="I86" s="8"/>
      <c r="J86" s="8"/>
      <c r="K86" s="9" t="s">
        <v>6</v>
      </c>
      <c r="L86" s="10" t="s">
        <v>7</v>
      </c>
    </row>
    <row r="87" customFormat="false" ht="9.75" hidden="false" customHeight="false" outlineLevel="0" collapsed="false">
      <c r="A87" s="11" t="s">
        <v>8</v>
      </c>
      <c r="B87" s="9" t="s">
        <v>9</v>
      </c>
      <c r="C87" s="9" t="s">
        <v>10</v>
      </c>
      <c r="D87" s="9" t="s">
        <v>11</v>
      </c>
      <c r="E87" s="9" t="s">
        <v>9</v>
      </c>
      <c r="F87" s="9" t="s">
        <v>10</v>
      </c>
      <c r="G87" s="9" t="s">
        <v>11</v>
      </c>
      <c r="H87" s="8"/>
      <c r="I87" s="9" t="s">
        <v>4</v>
      </c>
      <c r="J87" s="9"/>
      <c r="K87" s="9" t="n">
        <f aca="false">AVERAGE(D88:D93)</f>
        <v>0</v>
      </c>
      <c r="L87" s="9" t="n">
        <f aca="false">STDEV(D88:D93)/SQRT(4)</f>
        <v>0</v>
      </c>
    </row>
    <row r="88" customFormat="false" ht="9.75" hidden="false" customHeight="false" outlineLevel="0" collapsed="false">
      <c r="A88" s="9" t="n">
        <v>1</v>
      </c>
      <c r="B88" s="9" t="n">
        <v>0</v>
      </c>
      <c r="C88" s="9" t="n">
        <v>10</v>
      </c>
      <c r="D88" s="9" t="n">
        <f aca="false">B88/C88</f>
        <v>0</v>
      </c>
      <c r="E88" s="9" t="n">
        <v>0</v>
      </c>
      <c r="F88" s="9" t="n">
        <v>10</v>
      </c>
      <c r="G88" s="9" t="n">
        <f aca="false">E88/F88</f>
        <v>0</v>
      </c>
      <c r="H88" s="8"/>
      <c r="I88" s="9" t="s">
        <v>5</v>
      </c>
      <c r="J88" s="9"/>
      <c r="K88" s="9" t="n">
        <f aca="false">AVERAGE(G88:G93)</f>
        <v>0</v>
      </c>
      <c r="L88" s="9" t="n">
        <f aca="false">STDEV(G88:G93)/SQRT(4)</f>
        <v>0</v>
      </c>
    </row>
    <row r="89" customFormat="false" ht="9.75" hidden="false" customHeight="false" outlineLevel="0" collapsed="false">
      <c r="A89" s="9" t="n">
        <v>2</v>
      </c>
      <c r="B89" s="9" t="n">
        <v>0</v>
      </c>
      <c r="C89" s="9" t="n">
        <v>10</v>
      </c>
      <c r="D89" s="9" t="n">
        <f aca="false">B89/C89</f>
        <v>0</v>
      </c>
      <c r="E89" s="9" t="n">
        <v>0</v>
      </c>
      <c r="F89" s="9" t="n">
        <v>10</v>
      </c>
      <c r="G89" s="9" t="n">
        <f aca="false">E89/F89</f>
        <v>0</v>
      </c>
      <c r="H89" s="8"/>
    </row>
    <row r="90" customFormat="false" ht="9.75" hidden="false" customHeight="false" outlineLevel="0" collapsed="false">
      <c r="A90" s="9" t="n">
        <v>3</v>
      </c>
      <c r="B90" s="9" t="n">
        <v>0</v>
      </c>
      <c r="C90" s="9" t="n">
        <v>10</v>
      </c>
      <c r="D90" s="9" t="n">
        <f aca="false">B90/C90</f>
        <v>0</v>
      </c>
      <c r="E90" s="9" t="n">
        <v>0</v>
      </c>
      <c r="F90" s="9" t="n">
        <v>10</v>
      </c>
      <c r="G90" s="9" t="n">
        <f aca="false">E90/F90</f>
        <v>0</v>
      </c>
      <c r="H90" s="8"/>
      <c r="I90" s="8"/>
    </row>
    <row r="91" customFormat="false" ht="9.75" hidden="false" customHeight="false" outlineLevel="0" collapsed="false">
      <c r="A91" s="9" t="n">
        <v>4</v>
      </c>
      <c r="B91" s="9" t="n">
        <v>0</v>
      </c>
      <c r="C91" s="9" t="n">
        <v>10</v>
      </c>
      <c r="D91" s="9" t="n">
        <f aca="false">B91/C91</f>
        <v>0</v>
      </c>
      <c r="E91" s="9" t="n">
        <v>0</v>
      </c>
      <c r="F91" s="9" t="n">
        <v>10</v>
      </c>
      <c r="G91" s="9" t="n">
        <f aca="false">E91/F91</f>
        <v>0</v>
      </c>
      <c r="H91" s="8"/>
      <c r="I91" s="8"/>
    </row>
    <row r="92" customFormat="false" ht="9.75" hidden="false" customHeight="false" outlineLevel="0" collapsed="false">
      <c r="A92" s="9" t="n">
        <v>5</v>
      </c>
      <c r="B92" s="9"/>
      <c r="C92" s="9"/>
      <c r="D92" s="9"/>
      <c r="E92" s="9"/>
      <c r="F92" s="9"/>
      <c r="G92" s="9"/>
      <c r="H92" s="8"/>
      <c r="I92" s="8"/>
    </row>
    <row r="93" customFormat="false" ht="9.75" hidden="false" customHeight="false" outlineLevel="0" collapsed="false">
      <c r="A93" s="9" t="n">
        <v>6</v>
      </c>
      <c r="B93" s="9"/>
      <c r="C93" s="9"/>
      <c r="D93" s="9"/>
      <c r="E93" s="9"/>
      <c r="F93" s="9"/>
      <c r="G93" s="9"/>
      <c r="H93" s="8"/>
      <c r="I93" s="8"/>
    </row>
    <row r="95" customFormat="false" ht="13.8" hidden="false" customHeight="false" outlineLevel="0" collapsed="false">
      <c r="A95" s="4" t="n">
        <v>10</v>
      </c>
      <c r="B95" s="6" t="s">
        <v>17</v>
      </c>
      <c r="C95" s="18"/>
      <c r="D95" s="8"/>
      <c r="E95" s="8"/>
      <c r="F95" s="8"/>
      <c r="G95" s="8"/>
    </row>
    <row r="96" customFormat="false" ht="9.75" hidden="false" customHeight="false" outlineLevel="0" collapsed="false">
      <c r="A96" s="8"/>
      <c r="B96" s="9" t="s">
        <v>4</v>
      </c>
      <c r="C96" s="9"/>
      <c r="D96" s="9"/>
      <c r="E96" s="9" t="s">
        <v>5</v>
      </c>
      <c r="F96" s="9"/>
      <c r="G96" s="9"/>
      <c r="I96" s="8"/>
      <c r="J96" s="8"/>
      <c r="K96" s="9" t="s">
        <v>6</v>
      </c>
      <c r="L96" s="10" t="s">
        <v>7</v>
      </c>
    </row>
    <row r="97" customFormat="false" ht="9.75" hidden="false" customHeight="false" outlineLevel="0" collapsed="false">
      <c r="A97" s="11" t="s">
        <v>8</v>
      </c>
      <c r="B97" s="9" t="s">
        <v>9</v>
      </c>
      <c r="C97" s="9" t="s">
        <v>10</v>
      </c>
      <c r="D97" s="9" t="s">
        <v>11</v>
      </c>
      <c r="E97" s="9" t="s">
        <v>9</v>
      </c>
      <c r="F97" s="9" t="s">
        <v>10</v>
      </c>
      <c r="G97" s="9" t="s">
        <v>11</v>
      </c>
      <c r="I97" s="9" t="s">
        <v>4</v>
      </c>
      <c r="J97" s="9"/>
      <c r="K97" s="9" t="n">
        <f aca="false">AVERAGE(D98:D103)</f>
        <v>0</v>
      </c>
      <c r="L97" s="9" t="n">
        <f aca="false">STDEV(D98:D103)/SQRT(4)</f>
        <v>0</v>
      </c>
    </row>
    <row r="98" customFormat="false" ht="9.75" hidden="false" customHeight="false" outlineLevel="0" collapsed="false">
      <c r="A98" s="9" t="n">
        <v>1</v>
      </c>
      <c r="B98" s="9" t="n">
        <v>0</v>
      </c>
      <c r="C98" s="9" t="n">
        <v>10</v>
      </c>
      <c r="D98" s="9" t="n">
        <f aca="false">B98/C98</f>
        <v>0</v>
      </c>
      <c r="E98" s="9" t="n">
        <v>0</v>
      </c>
      <c r="F98" s="9" t="n">
        <v>10</v>
      </c>
      <c r="G98" s="9" t="n">
        <f aca="false">E98/F98</f>
        <v>0</v>
      </c>
      <c r="I98" s="9" t="s">
        <v>5</v>
      </c>
      <c r="J98" s="9"/>
      <c r="K98" s="9" t="n">
        <f aca="false">AVERAGE(G98:G103)</f>
        <v>0</v>
      </c>
      <c r="L98" s="9" t="n">
        <f aca="false">STDEV(G98:G103)/SQRT(4)</f>
        <v>0</v>
      </c>
    </row>
    <row r="99" customFormat="false" ht="9.75" hidden="false" customHeight="false" outlineLevel="0" collapsed="false">
      <c r="A99" s="9" t="n">
        <v>2</v>
      </c>
      <c r="B99" s="9" t="n">
        <v>0</v>
      </c>
      <c r="C99" s="9" t="n">
        <v>10</v>
      </c>
      <c r="D99" s="9" t="n">
        <f aca="false">B99/C99</f>
        <v>0</v>
      </c>
      <c r="E99" s="9" t="n">
        <v>0</v>
      </c>
      <c r="F99" s="9" t="n">
        <v>10</v>
      </c>
      <c r="G99" s="9" t="n">
        <f aca="false">E99/F99</f>
        <v>0</v>
      </c>
    </row>
    <row r="100" customFormat="false" ht="9.75" hidden="false" customHeight="false" outlineLevel="0" collapsed="false">
      <c r="A100" s="9" t="n">
        <v>3</v>
      </c>
      <c r="B100" s="9" t="n">
        <v>0</v>
      </c>
      <c r="C100" s="9" t="n">
        <v>10</v>
      </c>
      <c r="D100" s="9" t="n">
        <f aca="false">B100/C100</f>
        <v>0</v>
      </c>
      <c r="E100" s="9" t="n">
        <v>0</v>
      </c>
      <c r="F100" s="9" t="n">
        <v>10</v>
      </c>
      <c r="G100" s="9" t="n">
        <f aca="false">E100/F100</f>
        <v>0</v>
      </c>
    </row>
    <row r="101" customFormat="false" ht="9.75" hidden="false" customHeight="false" outlineLevel="0" collapsed="false">
      <c r="A101" s="9" t="n">
        <v>4</v>
      </c>
      <c r="B101" s="9" t="n">
        <v>0</v>
      </c>
      <c r="C101" s="9" t="n">
        <v>10</v>
      </c>
      <c r="D101" s="9" t="n">
        <f aca="false">B101/C101</f>
        <v>0</v>
      </c>
      <c r="E101" s="9" t="n">
        <v>0</v>
      </c>
      <c r="F101" s="9" t="n">
        <v>10</v>
      </c>
      <c r="G101" s="9" t="n">
        <f aca="false">E101/F101</f>
        <v>0</v>
      </c>
    </row>
    <row r="102" customFormat="false" ht="9.75" hidden="false" customHeight="false" outlineLevel="0" collapsed="false">
      <c r="A102" s="9" t="n">
        <v>5</v>
      </c>
      <c r="B102" s="9"/>
      <c r="C102" s="9"/>
      <c r="D102" s="9"/>
      <c r="E102" s="9"/>
      <c r="F102" s="9"/>
      <c r="G102" s="9"/>
    </row>
    <row r="103" customFormat="false" ht="9.75" hidden="false" customHeight="false" outlineLevel="0" collapsed="false">
      <c r="A103" s="9" t="n">
        <v>6</v>
      </c>
      <c r="B103" s="9"/>
      <c r="C103" s="9"/>
      <c r="D103" s="9"/>
      <c r="E103" s="9"/>
      <c r="F103" s="9"/>
      <c r="G103" s="9"/>
    </row>
  </sheetData>
  <mergeCells count="40">
    <mergeCell ref="B6:D6"/>
    <mergeCell ref="E6:G6"/>
    <mergeCell ref="I7:J7"/>
    <mergeCell ref="I8:J8"/>
    <mergeCell ref="B16:D16"/>
    <mergeCell ref="E16:G16"/>
    <mergeCell ref="I17:J17"/>
    <mergeCell ref="I18:J18"/>
    <mergeCell ref="B26:D26"/>
    <mergeCell ref="E26:G26"/>
    <mergeCell ref="I27:J27"/>
    <mergeCell ref="I28:J28"/>
    <mergeCell ref="B36:D36"/>
    <mergeCell ref="E36:G36"/>
    <mergeCell ref="I37:J37"/>
    <mergeCell ref="I38:J38"/>
    <mergeCell ref="B46:D46"/>
    <mergeCell ref="E46:G46"/>
    <mergeCell ref="I47:J47"/>
    <mergeCell ref="I48:J48"/>
    <mergeCell ref="B56:D56"/>
    <mergeCell ref="E56:G56"/>
    <mergeCell ref="I57:J57"/>
    <mergeCell ref="I58:J58"/>
    <mergeCell ref="B66:D66"/>
    <mergeCell ref="E66:G66"/>
    <mergeCell ref="I67:J67"/>
    <mergeCell ref="I68:J68"/>
    <mergeCell ref="B76:D76"/>
    <mergeCell ref="E76:G76"/>
    <mergeCell ref="I77:J77"/>
    <mergeCell ref="I78:J78"/>
    <mergeCell ref="B86:D86"/>
    <mergeCell ref="E86:G86"/>
    <mergeCell ref="I87:J87"/>
    <mergeCell ref="I88:J88"/>
    <mergeCell ref="B96:D96"/>
    <mergeCell ref="E96:G96"/>
    <mergeCell ref="I97:J97"/>
    <mergeCell ref="I98:J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  <Company>YONSEI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2022-02-16T08:52:50Z</dcterms:created>
  <dc:creator>데실바(구강생물학교실)</dc:creator>
  <dc:description/>
  <dc:language>en-US</dc:language>
  <cp:lastModifiedBy/>
  <dcterms:modified xsi:type="dcterms:W3CDTF">2026-08-26T12:23:39Z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