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FDE4905D-8129-4AF1-9AE5-D7E6993A3B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 MB247&gt;TNT" sheetId="9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9" l="1"/>
  <c r="G10" i="9"/>
  <c r="G24" i="9"/>
  <c r="D24" i="9"/>
  <c r="D23" i="9"/>
  <c r="G23" i="9"/>
  <c r="D5" i="9" l="1"/>
  <c r="G5" i="9"/>
  <c r="D6" i="9"/>
  <c r="G6" i="9"/>
  <c r="D7" i="9"/>
  <c r="G7" i="9"/>
  <c r="D8" i="9"/>
  <c r="G8" i="9"/>
  <c r="L5" i="9" s="1"/>
  <c r="R11" i="9" s="1"/>
  <c r="D9" i="9"/>
  <c r="G9" i="9"/>
  <c r="D19" i="9"/>
  <c r="L18" i="9" s="1"/>
  <c r="G19" i="9"/>
  <c r="D20" i="9"/>
  <c r="G20" i="9"/>
  <c r="D21" i="9"/>
  <c r="G21" i="9"/>
  <c r="D22" i="9"/>
  <c r="G22" i="9"/>
  <c r="L19" i="9" l="1"/>
  <c r="L4" i="9"/>
  <c r="R10" i="9" s="1"/>
  <c r="K5" i="9"/>
  <c r="O11" i="9" s="1"/>
  <c r="K4" i="9"/>
  <c r="K18" i="9"/>
  <c r="P10" i="9" s="1"/>
  <c r="K19" i="9"/>
  <c r="S11" i="9"/>
  <c r="S10" i="9"/>
  <c r="O10" i="9"/>
  <c r="P11" i="9"/>
</calcChain>
</file>

<file path=xl/sharedStrings.xml><?xml version="1.0" encoding="utf-8"?>
<sst xmlns="http://schemas.openxmlformats.org/spreadsheetml/2006/main" count="36" uniqueCount="17">
  <si>
    <t>10mM Suc.</t>
  </si>
  <si>
    <t>PER (average)</t>
  </si>
  <si>
    <t>SEM</t>
  </si>
  <si>
    <t>Response</t>
  </si>
  <si>
    <t>Total</t>
  </si>
  <si>
    <t>Response Rate</t>
  </si>
  <si>
    <t>100mM Suc.</t>
  </si>
  <si>
    <t xml:space="preserve">Fed - Modified Tarsal PER </t>
  </si>
  <si>
    <t>Plate #</t>
    <phoneticPr fontId="7" type="noConversion"/>
  </si>
  <si>
    <t>PER (average)</t>
    <phoneticPr fontId="7" type="noConversion"/>
  </si>
  <si>
    <t>MB247&gt;TNT(inactive)</t>
  </si>
  <si>
    <t>SEM L</t>
  </si>
  <si>
    <t>SEM T</t>
  </si>
  <si>
    <t>MB247&gt;TNT(active)</t>
  </si>
  <si>
    <t>100mM Suc. &amp; 1% Geo.</t>
  </si>
  <si>
    <t>MB247&gt;TNTa</t>
  </si>
  <si>
    <t>MB247&gt;TNTi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</si>
</sst>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>
      <alignment vertical="center"/>
    </xf>
    <xf numFmtId="0" fontId="7" fillId="0" borderId="0"/>
    <xf numFmtId="0" fontId="7" fillId="0" borderId="0"/>
  </cellStyleXfs>
  <cellXfs count="15">
    <xf numFmtId="0" fontId="0" fillId="0" borderId="0" xfId="0"/>
    <xf numFmtId="0" fontId="6" fillId="0" borderId="0" xfId="2" applyFont="1" applyAlignment="1"/>
    <xf numFmtId="0" fontId="3" fillId="0" borderId="0" xfId="2" applyFont="1">
      <alignment vertical="center"/>
    </xf>
    <xf numFmtId="0" fontId="3" fillId="0" borderId="0" xfId="2" applyFont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3" fillId="0" borderId="4" xfId="2" applyFont="1" applyBorder="1" applyAlignment="1">
      <alignment horizontal="left" vertical="center"/>
    </xf>
    <xf numFmtId="0" fontId="2" fillId="0" borderId="0" xfId="2" applyFont="1">
      <alignment vertical="center"/>
    </xf>
    <xf numFmtId="0" fontId="2" fillId="0" borderId="0" xfId="2" applyFont="1" applyAlignment="1">
      <alignment horizontal="left" vertical="center"/>
    </xf>
    <xf numFmtId="0" fontId="3" fillId="0" borderId="0" xfId="2" applyFont="1" applyAlignment="1"/>
    <xf numFmtId="0" fontId="3" fillId="0" borderId="1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0" fontId="3" fillId="0" borderId="6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3" xfId="4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 MB247&gt;TNT'!$N$10</c:f>
              <c:strCache>
                <c:ptCount val="1"/>
                <c:pt idx="0">
                  <c:v>100mM Suc.</c:v>
                </c:pt>
              </c:strCache>
            </c:strRef>
          </c:tx>
          <c:spPr>
            <a:solidFill>
              <a:schemeClr val="tx1"/>
            </a:solidFill>
            <a:ln w="19050">
              <a:solidFill>
                <a:schemeClr val="bg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'J MB247&gt;TNT'!$R$10:$R$11</c:f>
                <c:numCache>
                  <c:formatCode>General</c:formatCode>
                  <c:ptCount val="2"/>
                  <c:pt idx="0">
                    <c:v>5.3791435363991842E-2</c:v>
                  </c:pt>
                  <c:pt idx="1">
                    <c:v>3.3013512011124277E-2</c:v>
                  </c:pt>
                </c:numCache>
              </c:numRef>
            </c:plus>
            <c:minus>
              <c:numRef>
                <c:f>'J MB247&gt;TNT'!$R$10:$R$11</c:f>
                <c:numCache>
                  <c:formatCode>General</c:formatCode>
                  <c:ptCount val="2"/>
                  <c:pt idx="0">
                    <c:v>5.3791435363991842E-2</c:v>
                  </c:pt>
                  <c:pt idx="1">
                    <c:v>3.3013512011124277E-2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'J MB247&gt;TNT'!$O$9:$P$9</c:f>
              <c:strCache>
                <c:ptCount val="2"/>
                <c:pt idx="0">
                  <c:v>MB247&gt;TNTa</c:v>
                </c:pt>
                <c:pt idx="1">
                  <c:v>MB247&gt;TNTi</c:v>
                </c:pt>
              </c:strCache>
            </c:strRef>
          </c:cat>
          <c:val>
            <c:numRef>
              <c:f>'J MB247&gt;TNT'!$O$10:$P$10</c:f>
              <c:numCache>
                <c:formatCode>General</c:formatCode>
                <c:ptCount val="2"/>
                <c:pt idx="0">
                  <c:v>0.62500000000000011</c:v>
                </c:pt>
                <c:pt idx="1">
                  <c:v>0.63194444444444453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E-427B-B290-7D04957FD05E}"/>
            </c:ext>
          </c:extLst>
        </c:ser>
        <c:ser>
          <c:idx val="2"/>
          <c:order val="1"/>
          <c:tx>
            <c:strRef>
              <c:f>'J MB247&gt;TNT'!$N$11</c:f>
              <c:strCache>
                <c:ptCount val="1"/>
                <c:pt idx="0">
                  <c:v>100mM Suc. &amp; 1% Geo.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'J MB247&gt;TNT'!$S$10:$S$11</c:f>
                <c:numCache>
                  <c:formatCode>General</c:formatCode>
                  <c:ptCount val="2"/>
                  <c:pt idx="0">
                    <c:v>6.2190592158994626E-2</c:v>
                  </c:pt>
                  <c:pt idx="1">
                    <c:v>3.3013512011124228E-2</c:v>
                  </c:pt>
                </c:numCache>
              </c:numRef>
            </c:plus>
            <c:minus>
              <c:numRef>
                <c:f>'J MB247&gt;TNT'!$S$10:$S$11</c:f>
                <c:numCache>
                  <c:formatCode>General</c:formatCode>
                  <c:ptCount val="2"/>
                  <c:pt idx="0">
                    <c:v>6.2190592158994626E-2</c:v>
                  </c:pt>
                  <c:pt idx="1">
                    <c:v>3.3013512011124228E-2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'J MB247&gt;TNT'!$O$9:$P$9</c:f>
              <c:strCache>
                <c:ptCount val="2"/>
                <c:pt idx="0">
                  <c:v>MB247&gt;TNTa</c:v>
                </c:pt>
                <c:pt idx="1">
                  <c:v>MB247&gt;TNTi</c:v>
                </c:pt>
              </c:strCache>
            </c:strRef>
          </c:cat>
          <c:val>
            <c:numRef>
              <c:f>'J MB247&gt;TNT'!$O$11:$P$11</c:f>
              <c:numCache>
                <c:formatCode>General</c:formatCode>
                <c:ptCount val="2"/>
                <c:pt idx="0">
                  <c:v>0.2986111111111111</c:v>
                </c:pt>
                <c:pt idx="1">
                  <c:v>0.2986111111111111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E-427B-B290-7D04957FD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 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13</xdr:row>
      <xdr:rowOff>11112</xdr:rowOff>
    </xdr:from>
    <xdr:to>
      <xdr:col>16</xdr:col>
      <xdr:colOff>390525</xdr:colOff>
      <xdr:row>29</xdr:row>
      <xdr:rowOff>133350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8023860" y="1740852"/>
          <a:ext cx="2242185" cy="2187258"/>
          <a:chOff x="7800975" y="1906587"/>
          <a:chExt cx="2190750" cy="2408238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490A4556-925C-44AB-B4B2-76393459BF52}"/>
              </a:ext>
            </a:extLst>
          </xdr:cNvPr>
          <xdr:cNvGraphicFramePr>
            <a:graphicFrameLocks/>
          </xdr:cNvGraphicFramePr>
        </xdr:nvGraphicFramePr>
        <xdr:xfrm>
          <a:off x="7800975" y="1906587"/>
          <a:ext cx="2190750" cy="24082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95B70C80-8219-413F-A456-2360757D989C}"/>
              </a:ext>
            </a:extLst>
          </xdr:cNvPr>
          <xdr:cNvSpPr txBox="1"/>
        </xdr:nvSpPr>
        <xdr:spPr>
          <a:xfrm>
            <a:off x="8588772" y="1988911"/>
            <a:ext cx="983283" cy="2102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condition</a:t>
            </a:r>
            <a:endParaRPr lang="ko-KR" altLang="ko-KR" sz="8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zoomScaleNormal="100" workbookViewId="0">
      <selection activeCell="I19" sqref="I19:J19"/>
    </sheetView>
  </sheetViews>
  <sheetFormatPr defaultColWidth="9" defaultRowHeight="10.199999999999999"/>
  <cols>
    <col min="1" max="16384" width="9" style="2"/>
  </cols>
  <sheetData>
    <row r="1" spans="1:19" s="9" customFormat="1" ht="14.25" customHeight="1">
      <c r="A1" s="7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9">
      <c r="A2" s="2" t="s">
        <v>13</v>
      </c>
      <c r="B2" s="3"/>
      <c r="C2" s="3"/>
      <c r="D2" s="3"/>
      <c r="E2" s="3"/>
      <c r="F2" s="3"/>
      <c r="G2" s="3"/>
      <c r="N2" s="1"/>
      <c r="O2" s="1"/>
      <c r="P2" s="1"/>
    </row>
    <row r="3" spans="1:19">
      <c r="A3" s="3"/>
      <c r="B3" s="11" t="s">
        <v>6</v>
      </c>
      <c r="C3" s="13"/>
      <c r="D3" s="12"/>
      <c r="E3" s="14" t="s">
        <v>14</v>
      </c>
      <c r="F3" s="14"/>
      <c r="G3" s="14"/>
      <c r="I3" s="3"/>
      <c r="J3" s="3"/>
      <c r="K3" s="4" t="s">
        <v>1</v>
      </c>
      <c r="L3" s="6" t="s">
        <v>2</v>
      </c>
      <c r="N3" s="1"/>
      <c r="O3" s="1"/>
      <c r="P3" s="1"/>
    </row>
    <row r="4" spans="1:19">
      <c r="A4" s="5" t="s">
        <v>8</v>
      </c>
      <c r="B4" s="4" t="s">
        <v>3</v>
      </c>
      <c r="C4" s="4" t="s">
        <v>4</v>
      </c>
      <c r="D4" s="4" t="s">
        <v>5</v>
      </c>
      <c r="E4" s="4" t="s">
        <v>3</v>
      </c>
      <c r="F4" s="4" t="s">
        <v>4</v>
      </c>
      <c r="G4" s="4" t="s">
        <v>5</v>
      </c>
      <c r="I4" s="11" t="s">
        <v>0</v>
      </c>
      <c r="J4" s="12"/>
      <c r="K4" s="4">
        <f>AVERAGE(D5:D14)</f>
        <v>0.62500000000000011</v>
      </c>
      <c r="L4" s="4">
        <f>STDEV(D5:D14)/SQRT(6)</f>
        <v>5.3791435363991842E-2</v>
      </c>
      <c r="N4" s="1"/>
      <c r="O4" s="1"/>
      <c r="P4" s="1"/>
    </row>
    <row r="5" spans="1:19">
      <c r="A5" s="4">
        <v>1</v>
      </c>
      <c r="B5" s="10">
        <v>20</v>
      </c>
      <c r="C5" s="10">
        <v>24</v>
      </c>
      <c r="D5" s="10">
        <f t="shared" ref="D5:D10" si="0">B5/C5</f>
        <v>0.83333333333333337</v>
      </c>
      <c r="E5" s="10">
        <v>7</v>
      </c>
      <c r="F5" s="10">
        <v>24</v>
      </c>
      <c r="G5" s="10">
        <f t="shared" ref="G5:G10" si="1">E5/F5</f>
        <v>0.29166666666666669</v>
      </c>
      <c r="I5" s="11" t="s">
        <v>14</v>
      </c>
      <c r="J5" s="12"/>
      <c r="K5" s="4">
        <f>AVERAGE(G5:G14)</f>
        <v>0.2986111111111111</v>
      </c>
      <c r="L5" s="4">
        <f>STDEV(G5:G14)/SQRT(6)</f>
        <v>3.3013512011124277E-2</v>
      </c>
      <c r="N5" s="1"/>
      <c r="O5" s="1"/>
      <c r="P5" s="1"/>
    </row>
    <row r="6" spans="1:19">
      <c r="A6" s="4">
        <v>2</v>
      </c>
      <c r="B6" s="10">
        <v>17</v>
      </c>
      <c r="C6" s="10">
        <v>24</v>
      </c>
      <c r="D6" s="10">
        <f t="shared" si="0"/>
        <v>0.70833333333333337</v>
      </c>
      <c r="E6" s="10">
        <v>10</v>
      </c>
      <c r="F6" s="10">
        <v>24</v>
      </c>
      <c r="G6" s="10">
        <f t="shared" si="1"/>
        <v>0.41666666666666669</v>
      </c>
    </row>
    <row r="7" spans="1:19">
      <c r="A7" s="4">
        <v>3</v>
      </c>
      <c r="B7" s="10">
        <v>13</v>
      </c>
      <c r="C7" s="10">
        <v>24</v>
      </c>
      <c r="D7" s="10">
        <f t="shared" si="0"/>
        <v>0.54166666666666663</v>
      </c>
      <c r="E7" s="10">
        <v>5</v>
      </c>
      <c r="F7" s="10">
        <v>24</v>
      </c>
      <c r="G7" s="10">
        <f t="shared" si="1"/>
        <v>0.20833333333333334</v>
      </c>
    </row>
    <row r="8" spans="1:19">
      <c r="A8" s="4">
        <v>4</v>
      </c>
      <c r="B8" s="10">
        <v>11</v>
      </c>
      <c r="C8" s="10">
        <v>24</v>
      </c>
      <c r="D8" s="10">
        <f t="shared" si="0"/>
        <v>0.45833333333333331</v>
      </c>
      <c r="E8" s="10">
        <v>5</v>
      </c>
      <c r="F8" s="10">
        <v>24</v>
      </c>
      <c r="G8" s="10">
        <f t="shared" si="1"/>
        <v>0.20833333333333334</v>
      </c>
      <c r="P8" s="8" t="s">
        <v>9</v>
      </c>
    </row>
    <row r="9" spans="1:19">
      <c r="A9" s="4">
        <v>5</v>
      </c>
      <c r="B9" s="10">
        <v>14</v>
      </c>
      <c r="C9" s="10">
        <v>24</v>
      </c>
      <c r="D9" s="10">
        <f t="shared" si="0"/>
        <v>0.58333333333333337</v>
      </c>
      <c r="E9" s="10">
        <v>8</v>
      </c>
      <c r="F9" s="10">
        <v>24</v>
      </c>
      <c r="G9" s="10">
        <f t="shared" si="1"/>
        <v>0.33333333333333331</v>
      </c>
      <c r="N9" s="7"/>
      <c r="O9" s="2" t="s">
        <v>15</v>
      </c>
      <c r="P9" s="2" t="s">
        <v>16</v>
      </c>
      <c r="R9" s="2" t="s">
        <v>12</v>
      </c>
      <c r="S9" s="2" t="s">
        <v>11</v>
      </c>
    </row>
    <row r="10" spans="1:19">
      <c r="A10" s="4">
        <v>6</v>
      </c>
      <c r="B10" s="10">
        <v>15</v>
      </c>
      <c r="C10" s="10">
        <v>24</v>
      </c>
      <c r="D10" s="10">
        <f t="shared" si="0"/>
        <v>0.625</v>
      </c>
      <c r="E10" s="10">
        <v>8</v>
      </c>
      <c r="F10" s="10">
        <v>24</v>
      </c>
      <c r="G10" s="10">
        <f t="shared" si="1"/>
        <v>0.33333333333333331</v>
      </c>
      <c r="N10" s="7" t="s">
        <v>6</v>
      </c>
      <c r="O10" s="2">
        <f>K4</f>
        <v>0.62500000000000011</v>
      </c>
      <c r="P10" s="2">
        <f>K18</f>
        <v>0.63194444444444453</v>
      </c>
      <c r="R10" s="2">
        <f>L4</f>
        <v>5.3791435363991842E-2</v>
      </c>
      <c r="S10" s="2">
        <f>L18</f>
        <v>6.2190592158994626E-2</v>
      </c>
    </row>
    <row r="11" spans="1:19">
      <c r="A11" s="4">
        <v>7</v>
      </c>
      <c r="B11" s="10"/>
      <c r="C11" s="10"/>
      <c r="D11" s="10"/>
      <c r="E11" s="10"/>
      <c r="F11" s="10"/>
      <c r="G11" s="10"/>
      <c r="N11" s="7" t="s">
        <v>14</v>
      </c>
      <c r="O11" s="2">
        <f>K5</f>
        <v>0.2986111111111111</v>
      </c>
      <c r="P11" s="2">
        <f>K19</f>
        <v>0.2986111111111111</v>
      </c>
      <c r="R11" s="2">
        <f>L5</f>
        <v>3.3013512011124277E-2</v>
      </c>
      <c r="S11" s="2">
        <f>L19</f>
        <v>3.3013512011124228E-2</v>
      </c>
    </row>
    <row r="12" spans="1:19">
      <c r="A12" s="4">
        <v>8</v>
      </c>
      <c r="B12" s="10"/>
      <c r="C12" s="10"/>
      <c r="D12" s="10"/>
      <c r="E12" s="10"/>
      <c r="F12" s="10"/>
      <c r="G12" s="10"/>
    </row>
    <row r="13" spans="1:19">
      <c r="A13" s="4">
        <v>9</v>
      </c>
      <c r="B13" s="4"/>
      <c r="C13" s="4"/>
      <c r="D13" s="4"/>
      <c r="E13" s="4"/>
      <c r="F13" s="4"/>
      <c r="G13" s="4"/>
    </row>
    <row r="14" spans="1:19">
      <c r="A14" s="4">
        <v>10</v>
      </c>
      <c r="B14" s="4"/>
      <c r="C14" s="4"/>
      <c r="D14" s="4"/>
      <c r="E14" s="4"/>
      <c r="F14" s="4"/>
      <c r="G14" s="4"/>
    </row>
    <row r="16" spans="1:19">
      <c r="A16" s="2" t="s">
        <v>10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11" t="s">
        <v>6</v>
      </c>
      <c r="C17" s="13"/>
      <c r="D17" s="12"/>
      <c r="E17" s="14" t="s">
        <v>14</v>
      </c>
      <c r="F17" s="14"/>
      <c r="G17" s="14"/>
      <c r="H17" s="3"/>
      <c r="I17" s="3"/>
      <c r="J17" s="3"/>
      <c r="K17" s="4" t="s">
        <v>9</v>
      </c>
      <c r="L17" s="6" t="s">
        <v>2</v>
      </c>
    </row>
    <row r="18" spans="1:12">
      <c r="A18" s="5" t="s">
        <v>8</v>
      </c>
      <c r="B18" s="4" t="s">
        <v>3</v>
      </c>
      <c r="C18" s="4" t="s">
        <v>4</v>
      </c>
      <c r="D18" s="4" t="s">
        <v>5</v>
      </c>
      <c r="E18" s="4" t="s">
        <v>3</v>
      </c>
      <c r="F18" s="4" t="s">
        <v>4</v>
      </c>
      <c r="G18" s="4" t="s">
        <v>5</v>
      </c>
      <c r="H18" s="3"/>
      <c r="I18" s="11" t="s">
        <v>0</v>
      </c>
      <c r="J18" s="12"/>
      <c r="K18" s="4">
        <f>AVERAGE(D19:D28)</f>
        <v>0.63194444444444453</v>
      </c>
      <c r="L18" s="4">
        <f>STDEV(D19:D28)/SQRT(6)</f>
        <v>6.2190592158994626E-2</v>
      </c>
    </row>
    <row r="19" spans="1:12">
      <c r="A19" s="4">
        <v>1</v>
      </c>
      <c r="B19" s="10">
        <v>15</v>
      </c>
      <c r="C19" s="10">
        <v>24</v>
      </c>
      <c r="D19" s="10">
        <f t="shared" ref="D19:D24" si="2">B19/C19</f>
        <v>0.625</v>
      </c>
      <c r="E19" s="10">
        <v>7</v>
      </c>
      <c r="F19" s="10">
        <v>24</v>
      </c>
      <c r="G19" s="10">
        <f t="shared" ref="G19:G24" si="3">E19/F19</f>
        <v>0.29166666666666669</v>
      </c>
      <c r="H19" s="3"/>
      <c r="I19" s="11" t="s">
        <v>14</v>
      </c>
      <c r="J19" s="12"/>
      <c r="K19" s="4">
        <f>AVERAGE(G19:G28)</f>
        <v>0.2986111111111111</v>
      </c>
      <c r="L19" s="4">
        <f>STDEV(G19:G28)/SQRT(6)</f>
        <v>3.3013512011124228E-2</v>
      </c>
    </row>
    <row r="20" spans="1:12">
      <c r="A20" s="4">
        <v>2</v>
      </c>
      <c r="B20" s="10">
        <v>17</v>
      </c>
      <c r="C20" s="10">
        <v>24</v>
      </c>
      <c r="D20" s="10">
        <f t="shared" si="2"/>
        <v>0.70833333333333337</v>
      </c>
      <c r="E20" s="10">
        <v>9</v>
      </c>
      <c r="F20" s="10">
        <v>24</v>
      </c>
      <c r="G20" s="10">
        <f t="shared" si="3"/>
        <v>0.375</v>
      </c>
      <c r="H20" s="3"/>
    </row>
    <row r="21" spans="1:12">
      <c r="A21" s="4">
        <v>3</v>
      </c>
      <c r="B21" s="10">
        <v>14</v>
      </c>
      <c r="C21" s="10">
        <v>24</v>
      </c>
      <c r="D21" s="10">
        <f t="shared" si="2"/>
        <v>0.58333333333333337</v>
      </c>
      <c r="E21" s="10">
        <v>6</v>
      </c>
      <c r="F21" s="10">
        <v>24</v>
      </c>
      <c r="G21" s="10">
        <f t="shared" si="3"/>
        <v>0.25</v>
      </c>
      <c r="H21" s="3"/>
      <c r="I21" s="3"/>
      <c r="J21" s="3"/>
      <c r="K21" s="3"/>
      <c r="L21" s="3"/>
    </row>
    <row r="22" spans="1:12">
      <c r="A22" s="4">
        <v>4</v>
      </c>
      <c r="B22" s="10">
        <v>10</v>
      </c>
      <c r="C22" s="10">
        <v>24</v>
      </c>
      <c r="D22" s="10">
        <f t="shared" si="2"/>
        <v>0.41666666666666669</v>
      </c>
      <c r="E22" s="10">
        <v>4</v>
      </c>
      <c r="F22" s="10">
        <v>24</v>
      </c>
      <c r="G22" s="10">
        <f t="shared" si="3"/>
        <v>0.16666666666666666</v>
      </c>
      <c r="H22" s="3"/>
      <c r="I22" s="3"/>
      <c r="J22" s="3"/>
      <c r="K22" s="3"/>
      <c r="L22" s="3"/>
    </row>
    <row r="23" spans="1:12">
      <c r="A23" s="4">
        <v>5</v>
      </c>
      <c r="B23" s="10">
        <v>21</v>
      </c>
      <c r="C23" s="10">
        <v>24</v>
      </c>
      <c r="D23" s="10">
        <f t="shared" si="2"/>
        <v>0.875</v>
      </c>
      <c r="E23" s="10">
        <v>9</v>
      </c>
      <c r="F23" s="10">
        <v>24</v>
      </c>
      <c r="G23" s="10">
        <f t="shared" si="3"/>
        <v>0.375</v>
      </c>
      <c r="H23" s="3"/>
      <c r="I23" s="3"/>
      <c r="J23" s="3"/>
      <c r="K23" s="3"/>
      <c r="L23" s="3"/>
    </row>
    <row r="24" spans="1:12">
      <c r="A24" s="4">
        <v>6</v>
      </c>
      <c r="B24" s="10">
        <v>14</v>
      </c>
      <c r="C24" s="10">
        <v>24</v>
      </c>
      <c r="D24" s="10">
        <f t="shared" si="2"/>
        <v>0.58333333333333337</v>
      </c>
      <c r="E24" s="10">
        <v>8</v>
      </c>
      <c r="F24" s="10">
        <v>24</v>
      </c>
      <c r="G24" s="10">
        <f t="shared" si="3"/>
        <v>0.33333333333333331</v>
      </c>
      <c r="H24" s="3"/>
      <c r="I24" s="3"/>
      <c r="J24" s="3"/>
      <c r="K24" s="3"/>
      <c r="L24" s="3"/>
    </row>
    <row r="25" spans="1:12">
      <c r="A25" s="4">
        <v>7</v>
      </c>
      <c r="B25" s="10"/>
      <c r="C25" s="10"/>
      <c r="D25" s="10"/>
      <c r="E25" s="10"/>
      <c r="F25" s="10"/>
      <c r="G25" s="10"/>
      <c r="H25" s="3"/>
      <c r="I25" s="3"/>
      <c r="J25" s="3"/>
      <c r="K25" s="3"/>
      <c r="L25" s="3"/>
    </row>
    <row r="26" spans="1:12">
      <c r="A26" s="4">
        <v>8</v>
      </c>
      <c r="B26" s="10"/>
      <c r="C26" s="10"/>
      <c r="D26" s="10"/>
      <c r="E26" s="10"/>
      <c r="F26" s="10"/>
      <c r="G26" s="10"/>
      <c r="H26" s="3"/>
      <c r="I26" s="3"/>
      <c r="J26" s="3"/>
      <c r="K26" s="3"/>
      <c r="L26" s="3"/>
    </row>
    <row r="27" spans="1:12">
      <c r="A27" s="4">
        <v>9</v>
      </c>
      <c r="B27" s="4"/>
      <c r="C27" s="4"/>
      <c r="D27" s="4"/>
      <c r="E27" s="4"/>
      <c r="F27" s="4"/>
      <c r="G27" s="4"/>
      <c r="H27" s="3"/>
      <c r="I27" s="3"/>
      <c r="J27" s="3"/>
      <c r="K27" s="3"/>
      <c r="L27" s="3"/>
    </row>
    <row r="28" spans="1:12">
      <c r="A28" s="4">
        <v>10</v>
      </c>
      <c r="B28" s="4"/>
      <c r="C28" s="4"/>
      <c r="D28" s="4"/>
      <c r="E28" s="4"/>
      <c r="F28" s="4"/>
      <c r="G28" s="4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</sheetData>
  <mergeCells count="8">
    <mergeCell ref="I18:J18"/>
    <mergeCell ref="I19:J19"/>
    <mergeCell ref="B3:D3"/>
    <mergeCell ref="E3:G3"/>
    <mergeCell ref="I4:J4"/>
    <mergeCell ref="I5:J5"/>
    <mergeCell ref="B17:D17"/>
    <mergeCell ref="E17:G17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 MB247&gt;TNT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2025-10-06T09:37:41Z</dcterms:modified>
</cp:coreProperties>
</file>