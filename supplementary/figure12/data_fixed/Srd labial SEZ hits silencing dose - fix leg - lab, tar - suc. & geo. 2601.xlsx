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dilan\My Drive (dilandesilvakr@gmail.com)\Yonsei - GMAIL\1. Geo_2025 - FLY RESEARCH\3. THIS WEEK REPORTs\x_THIS WEEK REPORT - 26.01.04\"/>
    </mc:Choice>
  </mc:AlternateContent>
  <xr:revisionPtr revIDLastSave="0" documentId="13_ncr:1_{C7B01DE7-E744-4B88-BD58-C1A8869A09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T Kir2.1" sheetId="20" r:id="rId1"/>
    <sheet name="SS48944 FMIn" sheetId="17" r:id="rId2"/>
    <sheet name="SS47080 G2N-1" sheetId="14" r:id="rId3"/>
    <sheet name="SSS46885 TH-VUM" sheetId="15" r:id="rId4"/>
    <sheet name="SS31386 bract" sheetId="16" r:id="rId5"/>
    <sheet name="SS48947 clavicle" sheetId="19" r:id="rId6"/>
    <sheet name="SS50091 rattle" sheetId="18" r:id="rId7"/>
    <sheet name="SS47744 roundup" sheetId="6" r:id="rId8"/>
    <sheet name="SS37122 usnea" sheetId="10" r:id="rId9"/>
    <sheet name="SS35420 meteor" sheetId="11" r:id="rId10"/>
    <sheet name="Sheet2" sheetId="4" r:id="rId11"/>
  </sheets>
  <externalReferences>
    <externalReference r:id="rId12"/>
    <externalReference r:id="rId1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2" i="20" l="1"/>
  <c r="J52" i="20"/>
  <c r="G52" i="20"/>
  <c r="D52" i="20"/>
  <c r="M51" i="20"/>
  <c r="J51" i="20"/>
  <c r="G51" i="20"/>
  <c r="D51" i="20"/>
  <c r="M50" i="20"/>
  <c r="J50" i="20"/>
  <c r="G50" i="20"/>
  <c r="D50" i="20"/>
  <c r="M49" i="20"/>
  <c r="J49" i="20"/>
  <c r="G49" i="20"/>
  <c r="D49" i="20"/>
  <c r="M48" i="20"/>
  <c r="J48" i="20"/>
  <c r="Q48" i="20" s="1"/>
  <c r="X11" i="20" s="1"/>
  <c r="G48" i="20"/>
  <c r="D48" i="20"/>
  <c r="R47" i="20" s="1"/>
  <c r="AC10" i="20" s="1"/>
  <c r="M47" i="20"/>
  <c r="R49" i="20" s="1"/>
  <c r="AC12" i="20" s="1"/>
  <c r="J47" i="20"/>
  <c r="G47" i="20"/>
  <c r="Q47" i="20" s="1"/>
  <c r="X10" i="20" s="1"/>
  <c r="D47" i="20"/>
  <c r="M36" i="20"/>
  <c r="J36" i="20"/>
  <c r="G36" i="20"/>
  <c r="D36" i="20"/>
  <c r="M35" i="20"/>
  <c r="J35" i="20"/>
  <c r="G35" i="20"/>
  <c r="D35" i="20"/>
  <c r="M34" i="20"/>
  <c r="Q35" i="20" s="1"/>
  <c r="W12" i="20" s="1"/>
  <c r="J34" i="20"/>
  <c r="R34" i="20" s="1"/>
  <c r="AB11" i="20" s="1"/>
  <c r="G34" i="20"/>
  <c r="D34" i="20"/>
  <c r="R33" i="20" s="1"/>
  <c r="AB10" i="20" s="1"/>
  <c r="M33" i="20"/>
  <c r="R35" i="20" s="1"/>
  <c r="AB12" i="20" s="1"/>
  <c r="J33" i="20"/>
  <c r="G33" i="20"/>
  <c r="Q33" i="20" s="1"/>
  <c r="W10" i="20" s="1"/>
  <c r="D33" i="20"/>
  <c r="M22" i="20"/>
  <c r="J22" i="20"/>
  <c r="G22" i="20"/>
  <c r="D22" i="20"/>
  <c r="M21" i="20"/>
  <c r="J21" i="20"/>
  <c r="G21" i="20"/>
  <c r="D21" i="20"/>
  <c r="M20" i="20"/>
  <c r="Q21" i="20" s="1"/>
  <c r="V12" i="20" s="1"/>
  <c r="J20" i="20"/>
  <c r="Q20" i="20" s="1"/>
  <c r="V11" i="20" s="1"/>
  <c r="G20" i="20"/>
  <c r="D20" i="20"/>
  <c r="R19" i="20" s="1"/>
  <c r="AA10" i="20" s="1"/>
  <c r="M19" i="20"/>
  <c r="R21" i="20" s="1"/>
  <c r="AA12" i="20" s="1"/>
  <c r="J19" i="20"/>
  <c r="G19" i="20"/>
  <c r="Q19" i="20" s="1"/>
  <c r="V10" i="20" s="1"/>
  <c r="D19" i="20"/>
  <c r="M8" i="20"/>
  <c r="J8" i="20"/>
  <c r="G8" i="20"/>
  <c r="D8" i="20"/>
  <c r="M7" i="20"/>
  <c r="J7" i="20"/>
  <c r="G7" i="20"/>
  <c r="D7" i="20"/>
  <c r="M6" i="20"/>
  <c r="J6" i="20"/>
  <c r="G6" i="20"/>
  <c r="D6" i="20"/>
  <c r="R4" i="20" s="1"/>
  <c r="Z9" i="20" s="1"/>
  <c r="R5" i="20"/>
  <c r="Z10" i="20" s="1"/>
  <c r="Q5" i="20"/>
  <c r="U10" i="20" s="1"/>
  <c r="M5" i="20"/>
  <c r="R7" i="20" s="1"/>
  <c r="Z12" i="20" s="1"/>
  <c r="J5" i="20"/>
  <c r="R6" i="20" s="1"/>
  <c r="Z11" i="20" s="1"/>
  <c r="G5" i="20"/>
  <c r="D5" i="20"/>
  <c r="Q4" i="20" s="1"/>
  <c r="U9" i="20" s="1"/>
  <c r="M52" i="19"/>
  <c r="J52" i="19"/>
  <c r="G52" i="19"/>
  <c r="D52" i="19"/>
  <c r="M51" i="19"/>
  <c r="J51" i="19"/>
  <c r="G51" i="19"/>
  <c r="D51" i="19"/>
  <c r="M50" i="19"/>
  <c r="J50" i="19"/>
  <c r="G50" i="19"/>
  <c r="D50" i="19"/>
  <c r="M49" i="19"/>
  <c r="J49" i="19"/>
  <c r="G49" i="19"/>
  <c r="D49" i="19"/>
  <c r="M48" i="19"/>
  <c r="J48" i="19"/>
  <c r="R48" i="19" s="1"/>
  <c r="AC11" i="19" s="1"/>
  <c r="G48" i="19"/>
  <c r="D48" i="19"/>
  <c r="R47" i="19" s="1"/>
  <c r="AC10" i="19" s="1"/>
  <c r="M47" i="19"/>
  <c r="R49" i="19" s="1"/>
  <c r="AC12" i="19" s="1"/>
  <c r="J47" i="19"/>
  <c r="G47" i="19"/>
  <c r="Q47" i="19" s="1"/>
  <c r="X10" i="19" s="1"/>
  <c r="D47" i="19"/>
  <c r="M36" i="19"/>
  <c r="J36" i="19"/>
  <c r="G36" i="19"/>
  <c r="D36" i="19"/>
  <c r="M35" i="19"/>
  <c r="J35" i="19"/>
  <c r="G35" i="19"/>
  <c r="D35" i="19"/>
  <c r="M34" i="19"/>
  <c r="J34" i="19"/>
  <c r="R34" i="19" s="1"/>
  <c r="AB11" i="19" s="1"/>
  <c r="G34" i="19"/>
  <c r="D34" i="19"/>
  <c r="R33" i="19" s="1"/>
  <c r="AB10" i="19" s="1"/>
  <c r="M33" i="19"/>
  <c r="R35" i="19" s="1"/>
  <c r="AB12" i="19" s="1"/>
  <c r="J33" i="19"/>
  <c r="G33" i="19"/>
  <c r="Q33" i="19" s="1"/>
  <c r="W10" i="19" s="1"/>
  <c r="D33" i="19"/>
  <c r="M22" i="19"/>
  <c r="J22" i="19"/>
  <c r="G22" i="19"/>
  <c r="D22" i="19"/>
  <c r="M21" i="19"/>
  <c r="J21" i="19"/>
  <c r="G21" i="19"/>
  <c r="D21" i="19"/>
  <c r="M20" i="19"/>
  <c r="J20" i="19"/>
  <c r="R20" i="19" s="1"/>
  <c r="AA11" i="19" s="1"/>
  <c r="G20" i="19"/>
  <c r="D20" i="19"/>
  <c r="R19" i="19" s="1"/>
  <c r="AA10" i="19" s="1"/>
  <c r="M19" i="19"/>
  <c r="R21" i="19" s="1"/>
  <c r="AA12" i="19" s="1"/>
  <c r="J19" i="19"/>
  <c r="G19" i="19"/>
  <c r="Q19" i="19" s="1"/>
  <c r="V10" i="19" s="1"/>
  <c r="D19" i="19"/>
  <c r="M8" i="19"/>
  <c r="J8" i="19"/>
  <c r="G8" i="19"/>
  <c r="D8" i="19"/>
  <c r="M7" i="19"/>
  <c r="J7" i="19"/>
  <c r="G7" i="19"/>
  <c r="D7" i="19"/>
  <c r="M6" i="19"/>
  <c r="J6" i="19"/>
  <c r="G6" i="19"/>
  <c r="D6" i="19"/>
  <c r="R4" i="19" s="1"/>
  <c r="Z9" i="19" s="1"/>
  <c r="R5" i="19"/>
  <c r="Z10" i="19" s="1"/>
  <c r="Q5" i="19"/>
  <c r="U10" i="19" s="1"/>
  <c r="M5" i="19"/>
  <c r="R7" i="19" s="1"/>
  <c r="Z12" i="19" s="1"/>
  <c r="J5" i="19"/>
  <c r="R6" i="19" s="1"/>
  <c r="Z11" i="19" s="1"/>
  <c r="G5" i="19"/>
  <c r="D5" i="19"/>
  <c r="M52" i="18"/>
  <c r="J52" i="18"/>
  <c r="G52" i="18"/>
  <c r="D52" i="18"/>
  <c r="M51" i="18"/>
  <c r="J51" i="18"/>
  <c r="G51" i="18"/>
  <c r="D51" i="18"/>
  <c r="M50" i="18"/>
  <c r="J50" i="18"/>
  <c r="G50" i="18"/>
  <c r="D50" i="18"/>
  <c r="M49" i="18"/>
  <c r="J49" i="18"/>
  <c r="G49" i="18"/>
  <c r="D49" i="18"/>
  <c r="M48" i="18"/>
  <c r="R49" i="18" s="1"/>
  <c r="AC12" i="18" s="1"/>
  <c r="J48" i="18"/>
  <c r="Q48" i="18" s="1"/>
  <c r="X11" i="18" s="1"/>
  <c r="G48" i="18"/>
  <c r="D48" i="18"/>
  <c r="R47" i="18" s="1"/>
  <c r="AC10" i="18" s="1"/>
  <c r="M47" i="18"/>
  <c r="Q49" i="18" s="1"/>
  <c r="X12" i="18" s="1"/>
  <c r="J47" i="18"/>
  <c r="G47" i="18"/>
  <c r="Q47" i="18" s="1"/>
  <c r="X10" i="18" s="1"/>
  <c r="D47" i="18"/>
  <c r="M36" i="18"/>
  <c r="J36" i="18"/>
  <c r="G36" i="18"/>
  <c r="D36" i="18"/>
  <c r="M35" i="18"/>
  <c r="J35" i="18"/>
  <c r="G35" i="18"/>
  <c r="D35" i="18"/>
  <c r="M34" i="18"/>
  <c r="R35" i="18" s="1"/>
  <c r="AB12" i="18" s="1"/>
  <c r="J34" i="18"/>
  <c r="Q34" i="18" s="1"/>
  <c r="W11" i="18" s="1"/>
  <c r="G34" i="18"/>
  <c r="D34" i="18"/>
  <c r="R33" i="18" s="1"/>
  <c r="AB10" i="18" s="1"/>
  <c r="M33" i="18"/>
  <c r="J33" i="18"/>
  <c r="G33" i="18"/>
  <c r="Q33" i="18" s="1"/>
  <c r="W10" i="18" s="1"/>
  <c r="D33" i="18"/>
  <c r="M22" i="18"/>
  <c r="J22" i="18"/>
  <c r="G22" i="18"/>
  <c r="D22" i="18"/>
  <c r="M21" i="18"/>
  <c r="J21" i="18"/>
  <c r="G21" i="18"/>
  <c r="D21" i="18"/>
  <c r="M20" i="18"/>
  <c r="R21" i="18" s="1"/>
  <c r="AA12" i="18" s="1"/>
  <c r="J20" i="18"/>
  <c r="Q20" i="18" s="1"/>
  <c r="V11" i="18" s="1"/>
  <c r="G20" i="18"/>
  <c r="D20" i="18"/>
  <c r="R19" i="18" s="1"/>
  <c r="AA10" i="18" s="1"/>
  <c r="M19" i="18"/>
  <c r="J19" i="18"/>
  <c r="G19" i="18"/>
  <c r="Q19" i="18" s="1"/>
  <c r="V10" i="18" s="1"/>
  <c r="D19" i="18"/>
  <c r="M8" i="18"/>
  <c r="J8" i="18"/>
  <c r="G8" i="18"/>
  <c r="D8" i="18"/>
  <c r="M7" i="18"/>
  <c r="J7" i="18"/>
  <c r="G7" i="18"/>
  <c r="D7" i="18"/>
  <c r="M6" i="18"/>
  <c r="J6" i="18"/>
  <c r="G6" i="18"/>
  <c r="D6" i="18"/>
  <c r="Q4" i="18" s="1"/>
  <c r="U9" i="18" s="1"/>
  <c r="R5" i="18"/>
  <c r="Z10" i="18" s="1"/>
  <c r="Q5" i="18"/>
  <c r="U10" i="18" s="1"/>
  <c r="M5" i="18"/>
  <c r="R7" i="18" s="1"/>
  <c r="Z12" i="18" s="1"/>
  <c r="J5" i="18"/>
  <c r="R6" i="18" s="1"/>
  <c r="Z11" i="18" s="1"/>
  <c r="G5" i="18"/>
  <c r="D5" i="18"/>
  <c r="R4" i="18" s="1"/>
  <c r="Z9" i="18" s="1"/>
  <c r="M52" i="17"/>
  <c r="J52" i="17"/>
  <c r="G52" i="17"/>
  <c r="D52" i="17"/>
  <c r="M51" i="17"/>
  <c r="J51" i="17"/>
  <c r="G51" i="17"/>
  <c r="D51" i="17"/>
  <c r="M50" i="17"/>
  <c r="J50" i="17"/>
  <c r="G50" i="17"/>
  <c r="D50" i="17"/>
  <c r="M49" i="17"/>
  <c r="J49" i="17"/>
  <c r="G49" i="17"/>
  <c r="D49" i="17"/>
  <c r="M48" i="17"/>
  <c r="Q49" i="17" s="1"/>
  <c r="X12" i="17" s="1"/>
  <c r="J48" i="17"/>
  <c r="R48" i="17" s="1"/>
  <c r="AC11" i="17" s="1"/>
  <c r="G48" i="17"/>
  <c r="D48" i="17"/>
  <c r="R47" i="17" s="1"/>
  <c r="AC10" i="17" s="1"/>
  <c r="M47" i="17"/>
  <c r="R49" i="17" s="1"/>
  <c r="AC12" i="17" s="1"/>
  <c r="J47" i="17"/>
  <c r="G47" i="17"/>
  <c r="Q47" i="17" s="1"/>
  <c r="X10" i="17" s="1"/>
  <c r="D47" i="17"/>
  <c r="M36" i="17"/>
  <c r="J36" i="17"/>
  <c r="G36" i="17"/>
  <c r="D36" i="17"/>
  <c r="M35" i="17"/>
  <c r="J35" i="17"/>
  <c r="G35" i="17"/>
  <c r="D35" i="17"/>
  <c r="M34" i="17"/>
  <c r="Q35" i="17" s="1"/>
  <c r="W12" i="17" s="1"/>
  <c r="J34" i="17"/>
  <c r="R34" i="17" s="1"/>
  <c r="AB11" i="17" s="1"/>
  <c r="G34" i="17"/>
  <c r="D34" i="17"/>
  <c r="R33" i="17" s="1"/>
  <c r="AB10" i="17" s="1"/>
  <c r="M33" i="17"/>
  <c r="R35" i="17" s="1"/>
  <c r="AB12" i="17" s="1"/>
  <c r="J33" i="17"/>
  <c r="G33" i="17"/>
  <c r="Q33" i="17" s="1"/>
  <c r="W10" i="17" s="1"/>
  <c r="D33" i="17"/>
  <c r="M22" i="17"/>
  <c r="J22" i="17"/>
  <c r="G22" i="17"/>
  <c r="D22" i="17"/>
  <c r="M21" i="17"/>
  <c r="J21" i="17"/>
  <c r="G21" i="17"/>
  <c r="D21" i="17"/>
  <c r="M20" i="17"/>
  <c r="Q21" i="17" s="1"/>
  <c r="V12" i="17" s="1"/>
  <c r="J20" i="17"/>
  <c r="R20" i="17" s="1"/>
  <c r="AA11" i="17" s="1"/>
  <c r="G20" i="17"/>
  <c r="D20" i="17"/>
  <c r="R19" i="17" s="1"/>
  <c r="AA10" i="17" s="1"/>
  <c r="M19" i="17"/>
  <c r="R21" i="17" s="1"/>
  <c r="AA12" i="17" s="1"/>
  <c r="J19" i="17"/>
  <c r="G19" i="17"/>
  <c r="Q19" i="17" s="1"/>
  <c r="V10" i="17" s="1"/>
  <c r="D19" i="17"/>
  <c r="M8" i="17"/>
  <c r="J8" i="17"/>
  <c r="G8" i="17"/>
  <c r="D8" i="17"/>
  <c r="M7" i="17"/>
  <c r="J7" i="17"/>
  <c r="G7" i="17"/>
  <c r="D7" i="17"/>
  <c r="M6" i="17"/>
  <c r="J6" i="17"/>
  <c r="G6" i="17"/>
  <c r="D6" i="17"/>
  <c r="Q4" i="17" s="1"/>
  <c r="U9" i="17" s="1"/>
  <c r="R5" i="17"/>
  <c r="Z10" i="17" s="1"/>
  <c r="Q5" i="17"/>
  <c r="U10" i="17" s="1"/>
  <c r="M5" i="17"/>
  <c r="Q7" i="17" s="1"/>
  <c r="U12" i="17" s="1"/>
  <c r="J5" i="17"/>
  <c r="R6" i="17" s="1"/>
  <c r="Z11" i="17" s="1"/>
  <c r="G5" i="17"/>
  <c r="D5" i="17"/>
  <c r="R4" i="17" s="1"/>
  <c r="Z9" i="17" s="1"/>
  <c r="R20" i="20" l="1"/>
  <c r="AA11" i="20" s="1"/>
  <c r="Q18" i="20"/>
  <c r="V9" i="20" s="1"/>
  <c r="Q34" i="20"/>
  <c r="W11" i="20" s="1"/>
  <c r="R48" i="20"/>
  <c r="AC11" i="20" s="1"/>
  <c r="Q7" i="20"/>
  <c r="U12" i="20" s="1"/>
  <c r="Q32" i="20"/>
  <c r="W9" i="20" s="1"/>
  <c r="Q6" i="20"/>
  <c r="U11" i="20" s="1"/>
  <c r="Q46" i="20"/>
  <c r="X9" i="20" s="1"/>
  <c r="R32" i="20"/>
  <c r="AB9" i="20" s="1"/>
  <c r="R46" i="20"/>
  <c r="AC9" i="20" s="1"/>
  <c r="Q49" i="20"/>
  <c r="X12" i="20" s="1"/>
  <c r="R18" i="20"/>
  <c r="AA9" i="20" s="1"/>
  <c r="Q18" i="19"/>
  <c r="V9" i="19" s="1"/>
  <c r="Q20" i="19"/>
  <c r="V11" i="19" s="1"/>
  <c r="Q32" i="19"/>
  <c r="W9" i="19" s="1"/>
  <c r="Q34" i="19"/>
  <c r="W11" i="19" s="1"/>
  <c r="Q46" i="19"/>
  <c r="X9" i="19" s="1"/>
  <c r="Q48" i="19"/>
  <c r="X11" i="19" s="1"/>
  <c r="R32" i="19"/>
  <c r="AB9" i="19" s="1"/>
  <c r="R18" i="19"/>
  <c r="AA9" i="19" s="1"/>
  <c r="Q4" i="19"/>
  <c r="U9" i="19" s="1"/>
  <c r="Q6" i="19"/>
  <c r="U11" i="19" s="1"/>
  <c r="Q7" i="19"/>
  <c r="U12" i="19" s="1"/>
  <c r="R46" i="19"/>
  <c r="AC9" i="19" s="1"/>
  <c r="Q21" i="19"/>
  <c r="V12" i="19" s="1"/>
  <c r="Q35" i="19"/>
  <c r="W12" i="19" s="1"/>
  <c r="Q49" i="19"/>
  <c r="X12" i="19" s="1"/>
  <c r="Q46" i="18"/>
  <c r="X9" i="18" s="1"/>
  <c r="R18" i="18"/>
  <c r="AA9" i="18" s="1"/>
  <c r="R20" i="18"/>
  <c r="AA11" i="18" s="1"/>
  <c r="R32" i="18"/>
  <c r="AB9" i="18" s="1"/>
  <c r="R34" i="18"/>
  <c r="AB11" i="18" s="1"/>
  <c r="R46" i="18"/>
  <c r="AC9" i="18" s="1"/>
  <c r="R48" i="18"/>
  <c r="AC11" i="18" s="1"/>
  <c r="Q7" i="18"/>
  <c r="U12" i="18" s="1"/>
  <c r="Q6" i="18"/>
  <c r="U11" i="18" s="1"/>
  <c r="Q18" i="18"/>
  <c r="V9" i="18" s="1"/>
  <c r="Q32" i="18"/>
  <c r="W9" i="18" s="1"/>
  <c r="Q21" i="18"/>
  <c r="V12" i="18" s="1"/>
  <c r="Q35" i="18"/>
  <c r="W12" i="18" s="1"/>
  <c r="Q18" i="17"/>
  <c r="V9" i="17" s="1"/>
  <c r="Q34" i="17"/>
  <c r="W11" i="17" s="1"/>
  <c r="R32" i="17"/>
  <c r="AB9" i="17" s="1"/>
  <c r="R7" i="17"/>
  <c r="Z12" i="17" s="1"/>
  <c r="Q48" i="17"/>
  <c r="X11" i="17" s="1"/>
  <c r="Q6" i="17"/>
  <c r="U11" i="17" s="1"/>
  <c r="Q32" i="17"/>
  <c r="W9" i="17" s="1"/>
  <c r="R18" i="17"/>
  <c r="AA9" i="17" s="1"/>
  <c r="Q20" i="17"/>
  <c r="V11" i="17" s="1"/>
  <c r="R46" i="17"/>
  <c r="AC9" i="17" s="1"/>
  <c r="Q46" i="17"/>
  <c r="X9" i="17" s="1"/>
  <c r="M52" i="16" l="1"/>
  <c r="J52" i="16"/>
  <c r="G52" i="16"/>
  <c r="D52" i="16"/>
  <c r="M51" i="16"/>
  <c r="J51" i="16"/>
  <c r="G51" i="16"/>
  <c r="D51" i="16"/>
  <c r="M50" i="16"/>
  <c r="J50" i="16"/>
  <c r="G50" i="16"/>
  <c r="D50" i="16"/>
  <c r="M49" i="16"/>
  <c r="J49" i="16"/>
  <c r="G49" i="16"/>
  <c r="D49" i="16"/>
  <c r="M48" i="16"/>
  <c r="J48" i="16"/>
  <c r="R48" i="16" s="1"/>
  <c r="AC11" i="16" s="1"/>
  <c r="G48" i="16"/>
  <c r="D48" i="16"/>
  <c r="R47" i="16" s="1"/>
  <c r="AC10" i="16" s="1"/>
  <c r="M47" i="16"/>
  <c r="R49" i="16" s="1"/>
  <c r="AC12" i="16" s="1"/>
  <c r="J47" i="16"/>
  <c r="G47" i="16"/>
  <c r="Q47" i="16" s="1"/>
  <c r="X10" i="16" s="1"/>
  <c r="D47" i="16"/>
  <c r="R46" i="16" s="1"/>
  <c r="AC9" i="16" s="1"/>
  <c r="M36" i="16"/>
  <c r="J36" i="16"/>
  <c r="G36" i="16"/>
  <c r="D36" i="16"/>
  <c r="M35" i="16"/>
  <c r="J35" i="16"/>
  <c r="G35" i="16"/>
  <c r="D35" i="16"/>
  <c r="M34" i="16"/>
  <c r="J34" i="16"/>
  <c r="R34" i="16" s="1"/>
  <c r="AB11" i="16" s="1"/>
  <c r="G34" i="16"/>
  <c r="D34" i="16"/>
  <c r="R33" i="16" s="1"/>
  <c r="AB10" i="16" s="1"/>
  <c r="M33" i="16"/>
  <c r="R35" i="16" s="1"/>
  <c r="AB12" i="16" s="1"/>
  <c r="J33" i="16"/>
  <c r="G33" i="16"/>
  <c r="Q33" i="16" s="1"/>
  <c r="W10" i="16" s="1"/>
  <c r="D33" i="16"/>
  <c r="R32" i="16" s="1"/>
  <c r="AB9" i="16" s="1"/>
  <c r="M22" i="16"/>
  <c r="J22" i="16"/>
  <c r="G22" i="16"/>
  <c r="D22" i="16"/>
  <c r="M21" i="16"/>
  <c r="J21" i="16"/>
  <c r="G21" i="16"/>
  <c r="D21" i="16"/>
  <c r="M20" i="16"/>
  <c r="J20" i="16"/>
  <c r="Q20" i="16" s="1"/>
  <c r="V11" i="16" s="1"/>
  <c r="G20" i="16"/>
  <c r="D20" i="16"/>
  <c r="R19" i="16" s="1"/>
  <c r="AA10" i="16" s="1"/>
  <c r="M19" i="16"/>
  <c r="R21" i="16" s="1"/>
  <c r="AA12" i="16" s="1"/>
  <c r="J19" i="16"/>
  <c r="G19" i="16"/>
  <c r="Q19" i="16" s="1"/>
  <c r="V10" i="16" s="1"/>
  <c r="D19" i="16"/>
  <c r="R18" i="16" s="1"/>
  <c r="AA9" i="16" s="1"/>
  <c r="M8" i="16"/>
  <c r="J8" i="16"/>
  <c r="G8" i="16"/>
  <c r="D8" i="16"/>
  <c r="M7" i="16"/>
  <c r="J7" i="16"/>
  <c r="G7" i="16"/>
  <c r="D7" i="16"/>
  <c r="M6" i="16"/>
  <c r="J6" i="16"/>
  <c r="G6" i="16"/>
  <c r="D6" i="16"/>
  <c r="R4" i="16" s="1"/>
  <c r="Z9" i="16" s="1"/>
  <c r="R5" i="16"/>
  <c r="Z10" i="16" s="1"/>
  <c r="Q5" i="16"/>
  <c r="U10" i="16" s="1"/>
  <c r="M5" i="16"/>
  <c r="Q7" i="16" s="1"/>
  <c r="U12" i="16" s="1"/>
  <c r="J5" i="16"/>
  <c r="R6" i="16" s="1"/>
  <c r="Z11" i="16" s="1"/>
  <c r="G5" i="16"/>
  <c r="D5" i="16"/>
  <c r="M52" i="15"/>
  <c r="J52" i="15"/>
  <c r="G52" i="15"/>
  <c r="D52" i="15"/>
  <c r="M51" i="15"/>
  <c r="J51" i="15"/>
  <c r="G51" i="15"/>
  <c r="D51" i="15"/>
  <c r="M50" i="15"/>
  <c r="J50" i="15"/>
  <c r="G50" i="15"/>
  <c r="D50" i="15"/>
  <c r="M49" i="15"/>
  <c r="J49" i="15"/>
  <c r="G49" i="15"/>
  <c r="D49" i="15"/>
  <c r="M48" i="15"/>
  <c r="J48" i="15"/>
  <c r="R48" i="15" s="1"/>
  <c r="AC11" i="15" s="1"/>
  <c r="G48" i="15"/>
  <c r="D48" i="15"/>
  <c r="R47" i="15" s="1"/>
  <c r="AC10" i="15" s="1"/>
  <c r="M47" i="15"/>
  <c r="R49" i="15" s="1"/>
  <c r="AC12" i="15" s="1"/>
  <c r="J47" i="15"/>
  <c r="G47" i="15"/>
  <c r="Q47" i="15" s="1"/>
  <c r="X10" i="15" s="1"/>
  <c r="D47" i="15"/>
  <c r="M36" i="15"/>
  <c r="J36" i="15"/>
  <c r="G36" i="15"/>
  <c r="D36" i="15"/>
  <c r="M35" i="15"/>
  <c r="J35" i="15"/>
  <c r="G35" i="15"/>
  <c r="D35" i="15"/>
  <c r="M34" i="15"/>
  <c r="Q35" i="15" s="1"/>
  <c r="W12" i="15" s="1"/>
  <c r="J34" i="15"/>
  <c r="R34" i="15" s="1"/>
  <c r="AB11" i="15" s="1"/>
  <c r="G34" i="15"/>
  <c r="D34" i="15"/>
  <c r="R33" i="15" s="1"/>
  <c r="AB10" i="15" s="1"/>
  <c r="M33" i="15"/>
  <c r="R35" i="15" s="1"/>
  <c r="AB12" i="15" s="1"/>
  <c r="J33" i="15"/>
  <c r="G33" i="15"/>
  <c r="Q33" i="15" s="1"/>
  <c r="W10" i="15" s="1"/>
  <c r="D33" i="15"/>
  <c r="M22" i="15"/>
  <c r="J22" i="15"/>
  <c r="G22" i="15"/>
  <c r="D22" i="15"/>
  <c r="M21" i="15"/>
  <c r="J21" i="15"/>
  <c r="G21" i="15"/>
  <c r="D21" i="15"/>
  <c r="M20" i="15"/>
  <c r="Q21" i="15" s="1"/>
  <c r="V12" i="15" s="1"/>
  <c r="J20" i="15"/>
  <c r="R20" i="15" s="1"/>
  <c r="AA11" i="15" s="1"/>
  <c r="G20" i="15"/>
  <c r="D20" i="15"/>
  <c r="R19" i="15" s="1"/>
  <c r="AA10" i="15" s="1"/>
  <c r="M19" i="15"/>
  <c r="R21" i="15" s="1"/>
  <c r="AA12" i="15" s="1"/>
  <c r="J19" i="15"/>
  <c r="G19" i="15"/>
  <c r="Q19" i="15" s="1"/>
  <c r="V10" i="15" s="1"/>
  <c r="D19" i="15"/>
  <c r="M8" i="15"/>
  <c r="J8" i="15"/>
  <c r="G8" i="15"/>
  <c r="D8" i="15"/>
  <c r="M7" i="15"/>
  <c r="J7" i="15"/>
  <c r="G7" i="15"/>
  <c r="D7" i="15"/>
  <c r="M6" i="15"/>
  <c r="J6" i="15"/>
  <c r="G6" i="15"/>
  <c r="D6" i="15"/>
  <c r="Q4" i="15" s="1"/>
  <c r="U9" i="15" s="1"/>
  <c r="R5" i="15"/>
  <c r="Z10" i="15" s="1"/>
  <c r="Q5" i="15"/>
  <c r="U10" i="15" s="1"/>
  <c r="M5" i="15"/>
  <c r="Q7" i="15" s="1"/>
  <c r="U12" i="15" s="1"/>
  <c r="J5" i="15"/>
  <c r="Q6" i="15" s="1"/>
  <c r="U11" i="15" s="1"/>
  <c r="G5" i="15"/>
  <c r="D5" i="15"/>
  <c r="M52" i="14"/>
  <c r="J52" i="14"/>
  <c r="G52" i="14"/>
  <c r="D52" i="14"/>
  <c r="M51" i="14"/>
  <c r="J51" i="14"/>
  <c r="G51" i="14"/>
  <c r="D51" i="14"/>
  <c r="M50" i="14"/>
  <c r="J50" i="14"/>
  <c r="G50" i="14"/>
  <c r="D50" i="14"/>
  <c r="R49" i="14"/>
  <c r="AC12" i="14" s="1"/>
  <c r="M49" i="14"/>
  <c r="J49" i="14"/>
  <c r="G49" i="14"/>
  <c r="D49" i="14"/>
  <c r="R48" i="14"/>
  <c r="AC11" i="14" s="1"/>
  <c r="M48" i="14"/>
  <c r="J48" i="14"/>
  <c r="G48" i="14"/>
  <c r="D48" i="14"/>
  <c r="R47" i="14"/>
  <c r="Q47" i="14"/>
  <c r="X10" i="14" s="1"/>
  <c r="M47" i="14"/>
  <c r="Q49" i="14" s="1"/>
  <c r="X12" i="14" s="1"/>
  <c r="J47" i="14"/>
  <c r="Q48" i="14" s="1"/>
  <c r="X11" i="14" s="1"/>
  <c r="G47" i="14"/>
  <c r="D47" i="14"/>
  <c r="R46" i="14"/>
  <c r="AC9" i="14" s="1"/>
  <c r="Q46" i="14"/>
  <c r="M36" i="14"/>
  <c r="J36" i="14"/>
  <c r="G36" i="14"/>
  <c r="D36" i="14"/>
  <c r="R35" i="14"/>
  <c r="AB12" i="14" s="1"/>
  <c r="Q35" i="14"/>
  <c r="M35" i="14"/>
  <c r="J35" i="14"/>
  <c r="G35" i="14"/>
  <c r="D35" i="14"/>
  <c r="R34" i="14"/>
  <c r="AB11" i="14" s="1"/>
  <c r="Q34" i="14"/>
  <c r="W11" i="14" s="1"/>
  <c r="M34" i="14"/>
  <c r="J34" i="14"/>
  <c r="G34" i="14"/>
  <c r="D34" i="14"/>
  <c r="R33" i="14"/>
  <c r="AB10" i="14" s="1"/>
  <c r="Q33" i="14"/>
  <c r="W10" i="14" s="1"/>
  <c r="M33" i="14"/>
  <c r="J33" i="14"/>
  <c r="G33" i="14"/>
  <c r="D33" i="14"/>
  <c r="R32" i="14"/>
  <c r="AB9" i="14" s="1"/>
  <c r="Q32" i="14"/>
  <c r="M22" i="14"/>
  <c r="J22" i="14"/>
  <c r="G22" i="14"/>
  <c r="D22" i="14"/>
  <c r="R21" i="14"/>
  <c r="AA12" i="14" s="1"/>
  <c r="Q21" i="14"/>
  <c r="V12" i="14" s="1"/>
  <c r="M21" i="14"/>
  <c r="J21" i="14"/>
  <c r="G21" i="14"/>
  <c r="D21" i="14"/>
  <c r="R20" i="14"/>
  <c r="AA11" i="14" s="1"/>
  <c r="Q20" i="14"/>
  <c r="V11" i="14" s="1"/>
  <c r="M20" i="14"/>
  <c r="J20" i="14"/>
  <c r="G20" i="14"/>
  <c r="D20" i="14"/>
  <c r="R19" i="14"/>
  <c r="AA10" i="14" s="1"/>
  <c r="Q19" i="14"/>
  <c r="M19" i="14"/>
  <c r="J19" i="14"/>
  <c r="G19" i="14"/>
  <c r="D19" i="14"/>
  <c r="R18" i="14"/>
  <c r="AA9" i="14" s="1"/>
  <c r="Q18" i="14"/>
  <c r="V9" i="14" s="1"/>
  <c r="W12" i="14"/>
  <c r="AC10" i="14"/>
  <c r="V10" i="14"/>
  <c r="X9" i="14"/>
  <c r="W9" i="14"/>
  <c r="M8" i="14"/>
  <c r="J8" i="14"/>
  <c r="G8" i="14"/>
  <c r="D8" i="14"/>
  <c r="R7" i="14"/>
  <c r="Z12" i="14" s="1"/>
  <c r="Q7" i="14"/>
  <c r="U12" i="14" s="1"/>
  <c r="M7" i="14"/>
  <c r="J7" i="14"/>
  <c r="G7" i="14"/>
  <c r="D7" i="14"/>
  <c r="R6" i="14"/>
  <c r="Z11" i="14" s="1"/>
  <c r="Q6" i="14"/>
  <c r="U11" i="14" s="1"/>
  <c r="M6" i="14"/>
  <c r="J6" i="14"/>
  <c r="G6" i="14"/>
  <c r="D6" i="14"/>
  <c r="R5" i="14"/>
  <c r="Z10" i="14" s="1"/>
  <c r="M5" i="14"/>
  <c r="J5" i="14"/>
  <c r="G5" i="14"/>
  <c r="Q5" i="14" s="1"/>
  <c r="U10" i="14" s="1"/>
  <c r="D5" i="14"/>
  <c r="Q4" i="14" s="1"/>
  <c r="U9" i="14" s="1"/>
  <c r="R4" i="14"/>
  <c r="Z9" i="14" s="1"/>
  <c r="Q34" i="16" l="1"/>
  <c r="W11" i="16" s="1"/>
  <c r="Q46" i="16"/>
  <c r="X9" i="16" s="1"/>
  <c r="Q48" i="16"/>
  <c r="X11" i="16" s="1"/>
  <c r="R20" i="16"/>
  <c r="AA11" i="16" s="1"/>
  <c r="R7" i="16"/>
  <c r="Z12" i="16" s="1"/>
  <c r="Q4" i="16"/>
  <c r="U9" i="16" s="1"/>
  <c r="Q6" i="16"/>
  <c r="U11" i="16" s="1"/>
  <c r="Q18" i="16"/>
  <c r="V9" i="16" s="1"/>
  <c r="Q32" i="16"/>
  <c r="W9" i="16" s="1"/>
  <c r="Q21" i="16"/>
  <c r="V12" i="16" s="1"/>
  <c r="Q35" i="16"/>
  <c r="W12" i="16" s="1"/>
  <c r="Q49" i="16"/>
  <c r="X12" i="16" s="1"/>
  <c r="Q34" i="15"/>
  <c r="W11" i="15" s="1"/>
  <c r="R7" i="15"/>
  <c r="Z12" i="15" s="1"/>
  <c r="Q32" i="15"/>
  <c r="W9" i="15" s="1"/>
  <c r="Q18" i="15"/>
  <c r="V9" i="15" s="1"/>
  <c r="Q48" i="15"/>
  <c r="X11" i="15" s="1"/>
  <c r="R18" i="15"/>
  <c r="AA9" i="15" s="1"/>
  <c r="R4" i="15"/>
  <c r="Z9" i="15" s="1"/>
  <c r="R6" i="15"/>
  <c r="Z11" i="15" s="1"/>
  <c r="Q46" i="15"/>
  <c r="X9" i="15" s="1"/>
  <c r="R32" i="15"/>
  <c r="AB9" i="15" s="1"/>
  <c r="Q49" i="15"/>
  <c r="X12" i="15" s="1"/>
  <c r="Q20" i="15"/>
  <c r="V11" i="15" s="1"/>
  <c r="R46" i="15"/>
  <c r="AC9" i="15" s="1"/>
  <c r="M52" i="11" l="1"/>
  <c r="J52" i="11"/>
  <c r="G52" i="11"/>
  <c r="D52" i="11"/>
  <c r="M51" i="11"/>
  <c r="J51" i="11"/>
  <c r="G51" i="11"/>
  <c r="D51" i="11"/>
  <c r="M50" i="11"/>
  <c r="J50" i="11"/>
  <c r="G50" i="11"/>
  <c r="D50" i="11"/>
  <c r="R49" i="11"/>
  <c r="M49" i="11"/>
  <c r="J49" i="11"/>
  <c r="G49" i="11"/>
  <c r="D49" i="11"/>
  <c r="M48" i="11"/>
  <c r="J48" i="11"/>
  <c r="G48" i="11"/>
  <c r="D48" i="11"/>
  <c r="R47" i="11"/>
  <c r="M47" i="11"/>
  <c r="Q49" i="11" s="1"/>
  <c r="X12" i="11" s="1"/>
  <c r="J47" i="11"/>
  <c r="R48" i="11" s="1"/>
  <c r="AC11" i="11" s="1"/>
  <c r="G47" i="11"/>
  <c r="Q47" i="11" s="1"/>
  <c r="X10" i="11" s="1"/>
  <c r="D47" i="11"/>
  <c r="R46" i="11"/>
  <c r="Q46" i="11"/>
  <c r="M36" i="11"/>
  <c r="J36" i="11"/>
  <c r="G36" i="11"/>
  <c r="D36" i="11"/>
  <c r="M35" i="11"/>
  <c r="J35" i="11"/>
  <c r="G35" i="11"/>
  <c r="D35" i="11"/>
  <c r="M34" i="11"/>
  <c r="J34" i="11"/>
  <c r="G34" i="11"/>
  <c r="D34" i="11"/>
  <c r="M33" i="11"/>
  <c r="J33" i="11"/>
  <c r="G33" i="11"/>
  <c r="D33" i="11"/>
  <c r="M22" i="11"/>
  <c r="J22" i="11"/>
  <c r="G22" i="11"/>
  <c r="D22" i="11"/>
  <c r="M21" i="11"/>
  <c r="J21" i="11"/>
  <c r="G21" i="11"/>
  <c r="D21" i="11"/>
  <c r="M20" i="11"/>
  <c r="J20" i="11"/>
  <c r="G20" i="11"/>
  <c r="D20" i="11"/>
  <c r="R19" i="11" s="1"/>
  <c r="AA10" i="11" s="1"/>
  <c r="M19" i="11"/>
  <c r="J19" i="11"/>
  <c r="G19" i="11"/>
  <c r="D19" i="11"/>
  <c r="Q18" i="11"/>
  <c r="V9" i="11" s="1"/>
  <c r="AC12" i="11"/>
  <c r="AC10" i="11"/>
  <c r="AC9" i="11"/>
  <c r="X9" i="11"/>
  <c r="M8" i="11"/>
  <c r="J8" i="11"/>
  <c r="G8" i="11"/>
  <c r="D8" i="11"/>
  <c r="M7" i="11"/>
  <c r="J7" i="11"/>
  <c r="G7" i="11"/>
  <c r="D7" i="11"/>
  <c r="M6" i="11"/>
  <c r="J6" i="11"/>
  <c r="G6" i="11"/>
  <c r="D6" i="11"/>
  <c r="R5" i="11"/>
  <c r="Z10" i="11" s="1"/>
  <c r="M5" i="11"/>
  <c r="J5" i="11"/>
  <c r="G5" i="11"/>
  <c r="D5" i="11"/>
  <c r="Q4" i="11" s="1"/>
  <c r="U9" i="11" s="1"/>
  <c r="M52" i="10"/>
  <c r="J52" i="10"/>
  <c r="G52" i="10"/>
  <c r="D52" i="10"/>
  <c r="M51" i="10"/>
  <c r="J51" i="10"/>
  <c r="G51" i="10"/>
  <c r="D51" i="10"/>
  <c r="M50" i="10"/>
  <c r="J50" i="10"/>
  <c r="G50" i="10"/>
  <c r="D50" i="10"/>
  <c r="M49" i="10"/>
  <c r="J49" i="10"/>
  <c r="G49" i="10"/>
  <c r="D49" i="10"/>
  <c r="M48" i="10"/>
  <c r="J48" i="10"/>
  <c r="G48" i="10"/>
  <c r="D48" i="10"/>
  <c r="R47" i="10" s="1"/>
  <c r="AC10" i="10" s="1"/>
  <c r="M47" i="10"/>
  <c r="R49" i="10" s="1"/>
  <c r="AC12" i="10" s="1"/>
  <c r="J47" i="10"/>
  <c r="R48" i="10" s="1"/>
  <c r="AC11" i="10" s="1"/>
  <c r="G47" i="10"/>
  <c r="Q47" i="10" s="1"/>
  <c r="X10" i="10" s="1"/>
  <c r="D47" i="10"/>
  <c r="R46" i="10" s="1"/>
  <c r="AC9" i="10" s="1"/>
  <c r="M36" i="10"/>
  <c r="J36" i="10"/>
  <c r="G36" i="10"/>
  <c r="D36" i="10"/>
  <c r="M35" i="10"/>
  <c r="J35" i="10"/>
  <c r="G35" i="10"/>
  <c r="D35" i="10"/>
  <c r="M34" i="10"/>
  <c r="J34" i="10"/>
  <c r="G34" i="10"/>
  <c r="D34" i="10"/>
  <c r="M33" i="10"/>
  <c r="J33" i="10"/>
  <c r="G33" i="10"/>
  <c r="Q33" i="10" s="1"/>
  <c r="W10" i="10" s="1"/>
  <c r="D33" i="10"/>
  <c r="M22" i="10"/>
  <c r="J22" i="10"/>
  <c r="G22" i="10"/>
  <c r="D22" i="10"/>
  <c r="M21" i="10"/>
  <c r="J21" i="10"/>
  <c r="G21" i="10"/>
  <c r="D21" i="10"/>
  <c r="R19" i="10" s="1"/>
  <c r="AA10" i="10" s="1"/>
  <c r="M20" i="10"/>
  <c r="J20" i="10"/>
  <c r="G20" i="10"/>
  <c r="D20" i="10"/>
  <c r="M19" i="10"/>
  <c r="J19" i="10"/>
  <c r="G19" i="10"/>
  <c r="D19" i="10"/>
  <c r="R18" i="10" s="1"/>
  <c r="AA9" i="10" s="1"/>
  <c r="M8" i="10"/>
  <c r="J8" i="10"/>
  <c r="G8" i="10"/>
  <c r="D8" i="10"/>
  <c r="M7" i="10"/>
  <c r="J7" i="10"/>
  <c r="G7" i="10"/>
  <c r="D7" i="10"/>
  <c r="R5" i="10" s="1"/>
  <c r="Z10" i="10" s="1"/>
  <c r="M6" i="10"/>
  <c r="R7" i="10" s="1"/>
  <c r="Z12" i="10" s="1"/>
  <c r="J6" i="10"/>
  <c r="G6" i="10"/>
  <c r="D6" i="10"/>
  <c r="M5" i="10"/>
  <c r="J5" i="10"/>
  <c r="G5" i="10"/>
  <c r="Q5" i="10" s="1"/>
  <c r="U10" i="10" s="1"/>
  <c r="D5" i="10"/>
  <c r="R4" i="10" s="1"/>
  <c r="Z9" i="10" s="1"/>
  <c r="R4" i="11" l="1"/>
  <c r="Z9" i="11" s="1"/>
  <c r="R32" i="10"/>
  <c r="AB9" i="10" s="1"/>
  <c r="R33" i="11"/>
  <c r="AB10" i="11" s="1"/>
  <c r="Q19" i="11"/>
  <c r="V10" i="11" s="1"/>
  <c r="R18" i="11"/>
  <c r="AA9" i="11" s="1"/>
  <c r="Q5" i="11"/>
  <c r="U10" i="11" s="1"/>
  <c r="R6" i="11"/>
  <c r="Z11" i="11" s="1"/>
  <c r="Q33" i="11"/>
  <c r="W10" i="11" s="1"/>
  <c r="Q32" i="11"/>
  <c r="W9" i="11" s="1"/>
  <c r="R35" i="11"/>
  <c r="AB12" i="11" s="1"/>
  <c r="Q35" i="10"/>
  <c r="W12" i="10" s="1"/>
  <c r="R34" i="10"/>
  <c r="AB11" i="10" s="1"/>
  <c r="Q21" i="10"/>
  <c r="V12" i="10" s="1"/>
  <c r="R21" i="10"/>
  <c r="AA12" i="10" s="1"/>
  <c r="Q19" i="10"/>
  <c r="V10" i="10" s="1"/>
  <c r="R32" i="11"/>
  <c r="AB9" i="11" s="1"/>
  <c r="R33" i="10"/>
  <c r="AB10" i="10" s="1"/>
  <c r="Q35" i="11"/>
  <c r="W12" i="11" s="1"/>
  <c r="R34" i="11"/>
  <c r="AB11" i="11" s="1"/>
  <c r="Q21" i="11"/>
  <c r="V12" i="11" s="1"/>
  <c r="R21" i="11"/>
  <c r="AA12" i="11" s="1"/>
  <c r="R20" i="11"/>
  <c r="AA11" i="11" s="1"/>
  <c r="Q7" i="11"/>
  <c r="U12" i="11" s="1"/>
  <c r="R7" i="11"/>
  <c r="Z12" i="11" s="1"/>
  <c r="R35" i="10"/>
  <c r="AB12" i="10" s="1"/>
  <c r="R20" i="10"/>
  <c r="AA11" i="10" s="1"/>
  <c r="Q7" i="10"/>
  <c r="U12" i="10" s="1"/>
  <c r="R6" i="10"/>
  <c r="Z11" i="10" s="1"/>
  <c r="Q6" i="11"/>
  <c r="U11" i="11" s="1"/>
  <c r="Q20" i="11"/>
  <c r="V11" i="11" s="1"/>
  <c r="Q34" i="11"/>
  <c r="W11" i="11" s="1"/>
  <c r="Q48" i="11"/>
  <c r="X11" i="11" s="1"/>
  <c r="Q6" i="10"/>
  <c r="U11" i="10" s="1"/>
  <c r="Q20" i="10"/>
  <c r="V11" i="10" s="1"/>
  <c r="Q4" i="10"/>
  <c r="U9" i="10" s="1"/>
  <c r="Q32" i="10"/>
  <c r="W9" i="10" s="1"/>
  <c r="Q34" i="10"/>
  <c r="W11" i="10" s="1"/>
  <c r="Q18" i="10"/>
  <c r="V9" i="10" s="1"/>
  <c r="Q46" i="10"/>
  <c r="X9" i="10" s="1"/>
  <c r="Q49" i="10"/>
  <c r="X12" i="10" s="1"/>
  <c r="Q48" i="10"/>
  <c r="X11" i="10" s="1"/>
  <c r="M52" i="6" l="1"/>
  <c r="M51" i="6"/>
  <c r="J52" i="6"/>
  <c r="J51" i="6"/>
  <c r="G52" i="6"/>
  <c r="G51" i="6"/>
  <c r="D52" i="6"/>
  <c r="D51" i="6"/>
  <c r="M50" i="6"/>
  <c r="J50" i="6"/>
  <c r="G50" i="6"/>
  <c r="D50" i="6"/>
  <c r="M49" i="6"/>
  <c r="J49" i="6"/>
  <c r="G49" i="6"/>
  <c r="D49" i="6"/>
  <c r="M48" i="6"/>
  <c r="J48" i="6"/>
  <c r="G48" i="6"/>
  <c r="D48" i="6"/>
  <c r="M47" i="6"/>
  <c r="J47" i="6"/>
  <c r="G47" i="6"/>
  <c r="D47" i="6"/>
  <c r="M36" i="6"/>
  <c r="J36" i="6"/>
  <c r="G36" i="6"/>
  <c r="D36" i="6"/>
  <c r="M35" i="6"/>
  <c r="J35" i="6"/>
  <c r="G35" i="6"/>
  <c r="D35" i="6"/>
  <c r="M34" i="6"/>
  <c r="J34" i="6"/>
  <c r="G34" i="6"/>
  <c r="D34" i="6"/>
  <c r="M33" i="6"/>
  <c r="J33" i="6"/>
  <c r="R34" i="6" s="1"/>
  <c r="AB11" i="6" s="1"/>
  <c r="G33" i="6"/>
  <c r="D33" i="6"/>
  <c r="M22" i="6"/>
  <c r="J22" i="6"/>
  <c r="G22" i="6"/>
  <c r="D22" i="6"/>
  <c r="M21" i="6"/>
  <c r="J21" i="6"/>
  <c r="G21" i="6"/>
  <c r="D21" i="6"/>
  <c r="M20" i="6"/>
  <c r="J20" i="6"/>
  <c r="G20" i="6"/>
  <c r="D20" i="6"/>
  <c r="M19" i="6"/>
  <c r="J19" i="6"/>
  <c r="G19" i="6"/>
  <c r="D19" i="6"/>
  <c r="M8" i="6"/>
  <c r="J8" i="6"/>
  <c r="G8" i="6"/>
  <c r="D8" i="6"/>
  <c r="M7" i="6"/>
  <c r="J7" i="6"/>
  <c r="G7" i="6"/>
  <c r="D7" i="6"/>
  <c r="M6" i="6"/>
  <c r="J6" i="6"/>
  <c r="G6" i="6"/>
  <c r="D6" i="6"/>
  <c r="M5" i="6"/>
  <c r="J5" i="6"/>
  <c r="G5" i="6"/>
  <c r="D5" i="6"/>
  <c r="Q6" i="6" l="1"/>
  <c r="U11" i="6" s="1"/>
  <c r="Q47" i="6"/>
  <c r="X10" i="6" s="1"/>
  <c r="R35" i="6"/>
  <c r="AB12" i="6" s="1"/>
  <c r="R33" i="6"/>
  <c r="AB10" i="6" s="1"/>
  <c r="R32" i="6"/>
  <c r="AB9" i="6" s="1"/>
  <c r="R21" i="6"/>
  <c r="AA12" i="6" s="1"/>
  <c r="Q20" i="6"/>
  <c r="V11" i="6" s="1"/>
  <c r="Q19" i="6"/>
  <c r="V10" i="6" s="1"/>
  <c r="R19" i="6"/>
  <c r="AA10" i="6" s="1"/>
  <c r="R18" i="6"/>
  <c r="AA9" i="6" s="1"/>
  <c r="Q5" i="6"/>
  <c r="U10" i="6" s="1"/>
  <c r="Q4" i="6"/>
  <c r="U9" i="6" s="1"/>
  <c r="R49" i="6"/>
  <c r="AC12" i="6" s="1"/>
  <c r="R6" i="6"/>
  <c r="Z11" i="6" s="1"/>
  <c r="R48" i="6"/>
  <c r="AC11" i="6" s="1"/>
  <c r="R46" i="6"/>
  <c r="AC9" i="6" s="1"/>
  <c r="R47" i="6"/>
  <c r="AC10" i="6" s="1"/>
  <c r="Q33" i="6"/>
  <c r="W10" i="6" s="1"/>
  <c r="R7" i="6"/>
  <c r="Z12" i="6" s="1"/>
  <c r="R4" i="6"/>
  <c r="Z9" i="6" s="1"/>
  <c r="Q46" i="6"/>
  <c r="X9" i="6" s="1"/>
  <c r="Q34" i="6"/>
  <c r="W11" i="6" s="1"/>
  <c r="R20" i="6"/>
  <c r="AA11" i="6" s="1"/>
  <c r="R5" i="6"/>
  <c r="Z10" i="6" s="1"/>
  <c r="Q18" i="6"/>
  <c r="V9" i="6" s="1"/>
  <c r="Q7" i="6"/>
  <c r="U12" i="6" s="1"/>
  <c r="Q21" i="6"/>
  <c r="V12" i="6" s="1"/>
  <c r="Q35" i="6"/>
  <c r="W12" i="6" s="1"/>
  <c r="Q49" i="6"/>
  <c r="X12" i="6" s="1"/>
  <c r="Q32" i="6"/>
  <c r="W9" i="6" s="1"/>
  <c r="Q48" i="6"/>
  <c r="X11" i="6" s="1"/>
</calcChain>
</file>

<file path=xl/sharedStrings.xml><?xml version="1.0" encoding="utf-8"?>
<sst xmlns="http://schemas.openxmlformats.org/spreadsheetml/2006/main" count="1010" uniqueCount="34">
  <si>
    <t>SEM</t>
  </si>
  <si>
    <t>Response</t>
  </si>
  <si>
    <t>Total</t>
  </si>
  <si>
    <t>Response Rate</t>
  </si>
  <si>
    <t>PER (average)</t>
  </si>
  <si>
    <t>Plate #</t>
  </si>
  <si>
    <t>500mM Suc.</t>
  </si>
  <si>
    <t>10mM Suc. + 1% Geo.</t>
  </si>
  <si>
    <t>10mM Suc. + 1% Geo</t>
  </si>
  <si>
    <t>50mM Suc. + 1% Geo</t>
  </si>
  <si>
    <t>100mM Suc. + 1% Geo</t>
  </si>
  <si>
    <t>500mM Suc. + 1% Geo</t>
  </si>
  <si>
    <t>500mM Suc. + 1% Geo.</t>
  </si>
  <si>
    <t>w1118 (wildtype)</t>
  </si>
  <si>
    <t>10mM Suc.</t>
  </si>
  <si>
    <t>50mM Suc.</t>
  </si>
  <si>
    <t>100mM Suc.</t>
  </si>
  <si>
    <t xml:space="preserve">  </t>
  </si>
  <si>
    <t>10mM Suc. (fixed leg)</t>
  </si>
  <si>
    <t>10mM Suc. (fixed leg) + 1% Geo</t>
  </si>
  <si>
    <t>Suc.</t>
  </si>
  <si>
    <t>Suc. + 1% Geo.</t>
  </si>
  <si>
    <t>Suc. (fixed leg)</t>
  </si>
  <si>
    <t>Suc. (fixed leg) + 1% Geo</t>
  </si>
  <si>
    <t>Satiated state, SS47744 roundup</t>
  </si>
  <si>
    <t>Satiated state, SS37122 usnea</t>
  </si>
  <si>
    <t>Satiated state, SS35420 meteor</t>
  </si>
  <si>
    <t>Satiated state, SS47080 G2N-1</t>
  </si>
  <si>
    <t>Satiated state, SSS46885 TH-VUM</t>
  </si>
  <si>
    <t>Satiated state, SS31386 bract</t>
  </si>
  <si>
    <t>Satiated state, SS48944 FMIn</t>
  </si>
  <si>
    <t>Satiated state, SS50091 rattle</t>
  </si>
  <si>
    <t>Satiated state, SS48947 clavicle</t>
  </si>
  <si>
    <t>Satiated state, /Kir2.1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</si>
</sst>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charset val="129"/>
      <scheme val="minor"/>
    </font>
    <font>
      <sz val="11"/>
      <color theme="1"/>
      <name val="Calibri"/>
      <scheme val="minor"/>
    </font>
    <font>
      <b/>
      <sz val="8"/>
      <color theme="1"/>
      <name val="Arial"/>
    </font>
    <font>
      <sz val="8"/>
      <color theme="1"/>
      <name val="Arial"/>
    </font>
    <font>
      <sz val="11"/>
      <name val="Calibri"/>
    </font>
    <font>
      <sz val="11"/>
      <color theme="1"/>
      <name val="Calibri"/>
      <family val="2"/>
      <charset val="129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8"/>
      <name val="Arial"/>
      <family val="2"/>
    </font>
    <font>
      <b/>
      <sz val="8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>
      <alignment vertical="center"/>
    </xf>
    <xf numFmtId="0" fontId="1" fillId="0" borderId="0"/>
    <xf numFmtId="0" fontId="5" fillId="0" borderId="0">
      <alignment vertical="center"/>
    </xf>
  </cellStyleXfs>
  <cellXfs count="53">
    <xf numFmtId="0" fontId="0" fillId="0" borderId="0" xfId="0">
      <alignment vertical="center"/>
    </xf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3" fillId="0" borderId="0" xfId="1" applyFont="1"/>
    <xf numFmtId="0" fontId="1" fillId="0" borderId="0" xfId="1"/>
    <xf numFmtId="0" fontId="2" fillId="0" borderId="0" xfId="1" applyFont="1" applyAlignment="1">
      <alignment horizontal="left" vertical="center"/>
    </xf>
    <xf numFmtId="0" fontId="3" fillId="0" borderId="0" xfId="1" applyFont="1" applyAlignment="1">
      <alignment horizontal="left" vertical="center"/>
    </xf>
    <xf numFmtId="0" fontId="3" fillId="0" borderId="4" xfId="1" applyFont="1" applyBorder="1" applyAlignment="1">
      <alignment horizontal="left" vertical="center"/>
    </xf>
    <xf numFmtId="0" fontId="3" fillId="0" borderId="5" xfId="1" applyFont="1" applyBorder="1" applyAlignment="1">
      <alignment horizontal="left" vertical="center"/>
    </xf>
    <xf numFmtId="0" fontId="2" fillId="0" borderId="1" xfId="1" applyFont="1" applyBorder="1" applyAlignment="1">
      <alignment horizontal="left" vertical="center"/>
    </xf>
    <xf numFmtId="0" fontId="2" fillId="2" borderId="0" xfId="1" applyFont="1" applyFill="1" applyAlignment="1">
      <alignment horizontal="left" vertical="center"/>
    </xf>
    <xf numFmtId="0" fontId="3" fillId="2" borderId="0" xfId="1" applyFont="1" applyFill="1" applyAlignment="1">
      <alignment horizontal="left" vertical="center"/>
    </xf>
    <xf numFmtId="0" fontId="3" fillId="2" borderId="0" xfId="1" applyFont="1" applyFill="1" applyAlignment="1">
      <alignment vertical="center"/>
    </xf>
    <xf numFmtId="0" fontId="3" fillId="2" borderId="4" xfId="1" applyFont="1" applyFill="1" applyBorder="1" applyAlignment="1">
      <alignment horizontal="left" vertical="center"/>
    </xf>
    <xf numFmtId="0" fontId="3" fillId="2" borderId="5" xfId="1" applyFont="1" applyFill="1" applyBorder="1" applyAlignment="1">
      <alignment horizontal="left" vertical="center"/>
    </xf>
    <xf numFmtId="0" fontId="2" fillId="2" borderId="1" xfId="1" applyFont="1" applyFill="1" applyBorder="1" applyAlignment="1">
      <alignment horizontal="left" vertical="center"/>
    </xf>
    <xf numFmtId="0" fontId="2" fillId="2" borderId="0" xfId="1" applyFont="1" applyFill="1" applyAlignment="1">
      <alignment vertical="center"/>
    </xf>
    <xf numFmtId="0" fontId="9" fillId="0" borderId="0" xfId="0" applyFont="1">
      <alignment vertical="center"/>
    </xf>
    <xf numFmtId="0" fontId="7" fillId="0" borderId="4" xfId="1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6" xfId="1" applyFont="1" applyBorder="1" applyAlignment="1">
      <alignment vertical="center"/>
    </xf>
    <xf numFmtId="0" fontId="6" fillId="4" borderId="6" xfId="1" applyFont="1" applyFill="1" applyBorder="1" applyAlignment="1">
      <alignment vertical="center"/>
    </xf>
    <xf numFmtId="0" fontId="6" fillId="3" borderId="6" xfId="1" applyFont="1" applyFill="1" applyBorder="1" applyAlignment="1">
      <alignment vertical="center"/>
    </xf>
    <xf numFmtId="0" fontId="7" fillId="2" borderId="6" xfId="1" applyFont="1" applyFill="1" applyBorder="1" applyAlignment="1">
      <alignment horizontal="left" vertical="center"/>
    </xf>
    <xf numFmtId="0" fontId="7" fillId="3" borderId="6" xfId="1" applyFont="1" applyFill="1" applyBorder="1" applyAlignment="1">
      <alignment vertical="center"/>
    </xf>
    <xf numFmtId="0" fontId="4" fillId="3" borderId="6" xfId="1" applyFont="1" applyFill="1" applyBorder="1"/>
    <xf numFmtId="0" fontId="3" fillId="4" borderId="1" xfId="1" applyFont="1" applyFill="1" applyBorder="1" applyAlignment="1">
      <alignment horizontal="left" vertical="center"/>
    </xf>
    <xf numFmtId="0" fontId="4" fillId="4" borderId="2" xfId="1" applyFont="1" applyFill="1" applyBorder="1"/>
    <xf numFmtId="0" fontId="4" fillId="4" borderId="3" xfId="1" applyFont="1" applyFill="1" applyBorder="1"/>
    <xf numFmtId="0" fontId="3" fillId="3" borderId="1" xfId="1" applyFont="1" applyFill="1" applyBorder="1" applyAlignment="1">
      <alignment horizontal="left" vertical="center"/>
    </xf>
    <xf numFmtId="0" fontId="4" fillId="3" borderId="2" xfId="1" applyFont="1" applyFill="1" applyBorder="1"/>
    <xf numFmtId="0" fontId="4" fillId="3" borderId="3" xfId="1" applyFont="1" applyFill="1" applyBorder="1"/>
    <xf numFmtId="0" fontId="7" fillId="0" borderId="1" xfId="1" applyFont="1" applyBorder="1" applyAlignment="1">
      <alignment horizontal="left" vertical="center"/>
    </xf>
    <xf numFmtId="0" fontId="4" fillId="0" borderId="2" xfId="1" applyFont="1" applyBorder="1"/>
    <xf numFmtId="0" fontId="4" fillId="0" borderId="3" xfId="1" applyFont="1" applyBorder="1"/>
    <xf numFmtId="0" fontId="7" fillId="2" borderId="1" xfId="1" applyFont="1" applyFill="1" applyBorder="1" applyAlignment="1">
      <alignment horizontal="left" vertical="center"/>
    </xf>
    <xf numFmtId="0" fontId="4" fillId="2" borderId="2" xfId="1" applyFont="1" applyFill="1" applyBorder="1"/>
    <xf numFmtId="0" fontId="4" fillId="2" borderId="3" xfId="1" applyFont="1" applyFill="1" applyBorder="1"/>
    <xf numFmtId="0" fontId="7" fillId="4" borderId="6" xfId="1" applyFont="1" applyFill="1" applyBorder="1" applyAlignment="1">
      <alignment vertical="center"/>
    </xf>
    <xf numFmtId="0" fontId="4" fillId="4" borderId="6" xfId="1" applyFont="1" applyFill="1" applyBorder="1"/>
    <xf numFmtId="0" fontId="7" fillId="0" borderId="6" xfId="1" applyFont="1" applyBorder="1" applyAlignment="1">
      <alignment vertical="center"/>
    </xf>
    <xf numFmtId="0" fontId="8" fillId="2" borderId="6" xfId="1" applyFont="1" applyFill="1" applyBorder="1" applyAlignment="1">
      <alignment vertical="center"/>
    </xf>
    <xf numFmtId="0" fontId="3" fillId="0" borderId="1" xfId="1" applyFont="1" applyBorder="1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3" borderId="6" xfId="1" applyFont="1" applyFill="1" applyBorder="1" applyAlignment="1">
      <alignment vertical="center"/>
    </xf>
    <xf numFmtId="0" fontId="7" fillId="2" borderId="6" xfId="1" applyFont="1" applyFill="1" applyBorder="1" applyAlignment="1">
      <alignment vertical="center"/>
    </xf>
    <xf numFmtId="0" fontId="3" fillId="4" borderId="6" xfId="1" applyFont="1" applyFill="1" applyBorder="1" applyAlignment="1">
      <alignment vertical="center"/>
    </xf>
    <xf numFmtId="0" fontId="3" fillId="0" borderId="3" xfId="1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7" fillId="0" borderId="4" xfId="0" applyFont="1" applyFill="1" applyBorder="1" applyAlignment="1">
      <alignment horizontal="left" vertical="center"/>
    </xf>
    <xf numFmtId="0" fontId="3" fillId="0" borderId="4" xfId="1" applyFont="1" applyFill="1" applyBorder="1" applyAlignment="1">
      <alignment horizontal="left" vertical="center"/>
    </xf>
    <xf numFmtId="0" fontId="3" fillId="0" borderId="8" xfId="1" applyFont="1" applyBorder="1" applyAlignment="1">
      <alignment horizontal="left" vertical="center"/>
    </xf>
    <xf numFmtId="0" fontId="7" fillId="0" borderId="7" xfId="0" applyFont="1" applyFill="1" applyBorder="1" applyAlignment="1">
      <alignment horizontal="left" vertical="center"/>
    </xf>
  </cellXfs>
  <cellStyles count="3">
    <cellStyle name="Normal" xfId="0" builtinId="0"/>
    <cellStyle name="Normal 2" xfId="1" xr:uid="{00000000-0005-0000-0000-000001000000}"/>
    <cellStyle name="Normal 2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000" b="0">
                <a:solidFill>
                  <a:sysClr val="windowText" lastClr="000000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Satiated state</a:t>
            </a:r>
            <a:r>
              <a:rPr lang="en-US" altLang="ko-KR" sz="1000" b="0" baseline="0">
                <a:solidFill>
                  <a:sysClr val="windowText" lastClr="000000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,  /Kir2.1</a:t>
            </a:r>
            <a:endParaRPr lang="en-US" altLang="ko-KR" sz="1000" b="0" i="1">
              <a:solidFill>
                <a:sysClr val="windowText" lastClr="000000"/>
              </a:solidFill>
              <a:effectLst/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'WT Kir2.1'!$T$9</c:f>
              <c:strCache>
                <c:ptCount val="1"/>
                <c:pt idx="0">
                  <c:v>Suc.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'WT Kir2.1'!$Z$9:$AB$9</c:f>
                <c:numCache>
                  <c:formatCode>General</c:formatCode>
                  <c:ptCount val="3"/>
                  <c:pt idx="0">
                    <c:v>3.7717987816667423E-2</c:v>
                  </c:pt>
                  <c:pt idx="1">
                    <c:v>3.7717987816667541E-2</c:v>
                  </c:pt>
                  <c:pt idx="2">
                    <c:v>5.7893513890739733E-2</c:v>
                  </c:pt>
                </c:numCache>
              </c:numRef>
            </c:plus>
            <c:minus>
              <c:numRef>
                <c:f>'WT Kir2.1'!$Z$9:$AB$9</c:f>
                <c:numCache>
                  <c:formatCode>General</c:formatCode>
                  <c:ptCount val="3"/>
                  <c:pt idx="0">
                    <c:v>3.7717987816667423E-2</c:v>
                  </c:pt>
                  <c:pt idx="1">
                    <c:v>3.7717987816667541E-2</c:v>
                  </c:pt>
                  <c:pt idx="2">
                    <c:v>5.7893513890739733E-2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'WT Kir2.1'!$U$8:$W$8</c:f>
              <c:numCache>
                <c:formatCode>General</c:formatCode>
                <c:ptCount val="3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'WT Kir2.1'!$U$9:$W$9</c:f>
              <c:numCache>
                <c:formatCode>General</c:formatCode>
                <c:ptCount val="3"/>
                <c:pt idx="0">
                  <c:v>0.23958333333333334</c:v>
                </c:pt>
                <c:pt idx="1">
                  <c:v>0.36458333333333331</c:v>
                </c:pt>
                <c:pt idx="2">
                  <c:v>0.57291666666666674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72-4DDB-A61D-11495794E4EC}"/>
            </c:ext>
          </c:extLst>
        </c:ser>
        <c:ser>
          <c:idx val="1"/>
          <c:order val="1"/>
          <c:tx>
            <c:strRef>
              <c:f>'WT Kir2.1'!$T$10</c:f>
              <c:strCache>
                <c:ptCount val="1"/>
                <c:pt idx="0">
                  <c:v>Suc. + 1% Geo.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'WT Kir2.1'!$Z$10:$AB$10</c:f>
                <c:numCache>
                  <c:formatCode>General</c:formatCode>
                  <c:ptCount val="3"/>
                  <c:pt idx="0">
                    <c:v>3.9283710065919276E-2</c:v>
                  </c:pt>
                  <c:pt idx="1">
                    <c:v>4.5005143738943501E-2</c:v>
                  </c:pt>
                  <c:pt idx="2">
                    <c:v>6.8746492615358826E-2</c:v>
                  </c:pt>
                </c:numCache>
              </c:numRef>
            </c:plus>
            <c:minus>
              <c:numRef>
                <c:f>'WT Kir2.1'!$Z$10:$AB$10</c:f>
                <c:numCache>
                  <c:formatCode>General</c:formatCode>
                  <c:ptCount val="3"/>
                  <c:pt idx="0">
                    <c:v>3.9283710065919276E-2</c:v>
                  </c:pt>
                  <c:pt idx="1">
                    <c:v>4.5005143738943501E-2</c:v>
                  </c:pt>
                  <c:pt idx="2">
                    <c:v>6.8746492615358826E-2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'WT Kir2.1'!$U$8:$W$8</c:f>
              <c:numCache>
                <c:formatCode>General</c:formatCode>
                <c:ptCount val="3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'WT Kir2.1'!$U$10:$W$10</c:f>
              <c:numCache>
                <c:formatCode>General</c:formatCode>
                <c:ptCount val="3"/>
                <c:pt idx="0">
                  <c:v>0.20833333333333337</c:v>
                </c:pt>
                <c:pt idx="1">
                  <c:v>0.36458333333333337</c:v>
                </c:pt>
                <c:pt idx="2">
                  <c:v>0.5625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72-4DDB-A61D-11495794E4EC}"/>
            </c:ext>
          </c:extLst>
        </c:ser>
        <c:ser>
          <c:idx val="2"/>
          <c:order val="2"/>
          <c:tx>
            <c:strRef>
              <c:f>'WT Kir2.1'!$T$11</c:f>
              <c:strCache>
                <c:ptCount val="1"/>
                <c:pt idx="0">
                  <c:v>Suc. (fixed leg)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'WT Kir2.1'!$Z$11:$AB$11</c:f>
                <c:numCache>
                  <c:formatCode>General</c:formatCode>
                  <c:ptCount val="3"/>
                  <c:pt idx="0">
                    <c:v>5.7265355911356404E-2</c:v>
                  </c:pt>
                  <c:pt idx="1">
                    <c:v>5.2887313235166093E-2</c:v>
                  </c:pt>
                  <c:pt idx="2">
                    <c:v>6.1134780769649254E-2</c:v>
                  </c:pt>
                </c:numCache>
              </c:numRef>
            </c:plus>
            <c:minus>
              <c:numRef>
                <c:f>'WT Kir2.1'!$Z$11:$AB$11</c:f>
                <c:numCache>
                  <c:formatCode>General</c:formatCode>
                  <c:ptCount val="3"/>
                  <c:pt idx="0">
                    <c:v>5.7265355911356404E-2</c:v>
                  </c:pt>
                  <c:pt idx="1">
                    <c:v>5.2887313235166093E-2</c:v>
                  </c:pt>
                  <c:pt idx="2">
                    <c:v>6.1134780769649254E-2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'WT Kir2.1'!$U$8:$W$8</c:f>
              <c:numCache>
                <c:formatCode>General</c:formatCode>
                <c:ptCount val="3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'WT Kir2.1'!$U$11:$W$11</c:f>
              <c:numCache>
                <c:formatCode>General</c:formatCode>
                <c:ptCount val="3"/>
                <c:pt idx="0">
                  <c:v>0.41666666666666669</c:v>
                </c:pt>
                <c:pt idx="1">
                  <c:v>0.47916666666666663</c:v>
                </c:pt>
                <c:pt idx="2">
                  <c:v>0.59375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E72-4DDB-A61D-11495794E4EC}"/>
            </c:ext>
          </c:extLst>
        </c:ser>
        <c:ser>
          <c:idx val="3"/>
          <c:order val="3"/>
          <c:tx>
            <c:strRef>
              <c:f>'WT Kir2.1'!$T$12</c:f>
              <c:strCache>
                <c:ptCount val="1"/>
                <c:pt idx="0">
                  <c:v>Suc. (fixed leg) + 1% Geo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'WT Kir2.1'!$Z$12:$AB$12</c:f>
                <c:numCache>
                  <c:formatCode>General</c:formatCode>
                  <c:ptCount val="3"/>
                  <c:pt idx="0">
                    <c:v>4.2808430576173478E-2</c:v>
                  </c:pt>
                  <c:pt idx="1">
                    <c:v>4.2808430576173478E-2</c:v>
                  </c:pt>
                  <c:pt idx="2">
                    <c:v>5.6202826584161834E-2</c:v>
                  </c:pt>
                </c:numCache>
              </c:numRef>
            </c:plus>
            <c:minus>
              <c:numRef>
                <c:f>'WT Kir2.1'!$Z$12:$AB$12</c:f>
                <c:numCache>
                  <c:formatCode>General</c:formatCode>
                  <c:ptCount val="3"/>
                  <c:pt idx="0">
                    <c:v>4.2808430576173478E-2</c:v>
                  </c:pt>
                  <c:pt idx="1">
                    <c:v>4.2808430576173478E-2</c:v>
                  </c:pt>
                  <c:pt idx="2">
                    <c:v>5.6202826584161834E-2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'WT Kir2.1'!$U$8:$W$8</c:f>
              <c:numCache>
                <c:formatCode>General</c:formatCode>
                <c:ptCount val="3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'WT Kir2.1'!$U$12:$W$12</c:f>
              <c:numCache>
                <c:formatCode>General</c:formatCode>
                <c:ptCount val="3"/>
                <c:pt idx="0">
                  <c:v>0.35416666666666663</c:v>
                </c:pt>
                <c:pt idx="1">
                  <c:v>0.4375</c:v>
                </c:pt>
                <c:pt idx="2">
                  <c:v>0.57291666666666674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E72-4DDB-A61D-11495794E4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3061519"/>
        <c:axId val="1633062479"/>
      </c:barChart>
      <c:catAx>
        <c:axId val="16330615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Suc.</a:t>
                </a:r>
                <a:r>
                  <a:rPr lang="en-US" baseline="0"/>
                  <a:t> mM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3062479"/>
        <c:crosses val="autoZero"/>
        <c:auto val="1"/>
        <c:lblAlgn val="ctr"/>
        <c:lblOffset val="100"/>
        <c:noMultiLvlLbl val="0"/>
      </c:catAx>
      <c:valAx>
        <c:axId val="1633062479"/>
        <c:scaling>
          <c:orientation val="minMax"/>
          <c:max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Labellar PER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3061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000" b="0">
                <a:solidFill>
                  <a:sysClr val="windowText" lastClr="000000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Satiated state</a:t>
            </a:r>
            <a:r>
              <a:rPr lang="en-US" altLang="ko-KR" sz="1000" b="0" baseline="0">
                <a:solidFill>
                  <a:sysClr val="windowText" lastClr="000000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, </a:t>
            </a:r>
            <a:r>
              <a:rPr lang="en-US" altLang="ko-KR" sz="1000" b="1" i="0" u="none" strike="noStrike" kern="1200" spc="0" baseline="0">
                <a:solidFill>
                  <a:sysClr val="windowText" lastClr="000000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SS48944 FMIn</a:t>
            </a:r>
            <a:endParaRPr lang="en-US" altLang="ko-KR" sz="1000" b="0" i="1">
              <a:solidFill>
                <a:sysClr val="windowText" lastClr="000000"/>
              </a:solidFill>
              <a:effectLst/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'SS48944 FMIn'!$T$9</c:f>
              <c:strCache>
                <c:ptCount val="1"/>
                <c:pt idx="0">
                  <c:v>Suc.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'SS48944 FMIn'!$Z$9:$AB$9</c:f>
                <c:numCache>
                  <c:formatCode>General</c:formatCode>
                  <c:ptCount val="3"/>
                  <c:pt idx="0">
                    <c:v>2.9050695365766512E-2</c:v>
                  </c:pt>
                  <c:pt idx="1">
                    <c:v>3.2200064220471204E-2</c:v>
                  </c:pt>
                  <c:pt idx="2">
                    <c:v>3.5409857733283236E-2</c:v>
                  </c:pt>
                </c:numCache>
              </c:numRef>
            </c:plus>
            <c:minus>
              <c:numRef>
                <c:f>'SS48944 FMIn'!$Z$9:$AB$9</c:f>
                <c:numCache>
                  <c:formatCode>General</c:formatCode>
                  <c:ptCount val="3"/>
                  <c:pt idx="0">
                    <c:v>2.9050695365766512E-2</c:v>
                  </c:pt>
                  <c:pt idx="1">
                    <c:v>3.2200064220471204E-2</c:v>
                  </c:pt>
                  <c:pt idx="2">
                    <c:v>3.5409857733283236E-2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'SS48944 FMIn'!$U$8:$W$8</c:f>
              <c:numCache>
                <c:formatCode>General</c:formatCode>
                <c:ptCount val="3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'SS48944 FMIn'!$U$9:$W$9</c:f>
              <c:numCache>
                <c:formatCode>General</c:formatCode>
                <c:ptCount val="3"/>
                <c:pt idx="0">
                  <c:v>7.2916666666666671E-2</c:v>
                </c:pt>
                <c:pt idx="1">
                  <c:v>9.375E-2</c:v>
                </c:pt>
                <c:pt idx="2">
                  <c:v>0.1875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CD-4161-93A8-D718C35715D6}"/>
            </c:ext>
          </c:extLst>
        </c:ser>
        <c:ser>
          <c:idx val="1"/>
          <c:order val="1"/>
          <c:tx>
            <c:strRef>
              <c:f>'SS48944 FMIn'!$T$10</c:f>
              <c:strCache>
                <c:ptCount val="1"/>
                <c:pt idx="0">
                  <c:v>Suc. + 1% Geo.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'SS48944 FMIn'!$Z$10:$AB$10</c:f>
                <c:numCache>
                  <c:formatCode>General</c:formatCode>
                  <c:ptCount val="3"/>
                  <c:pt idx="0">
                    <c:v>2.5983731852596812E-2</c:v>
                  </c:pt>
                  <c:pt idx="1">
                    <c:v>3.5409857733283229E-2</c:v>
                  </c:pt>
                  <c:pt idx="2">
                    <c:v>4.2808430576173451E-2</c:v>
                  </c:pt>
                </c:numCache>
              </c:numRef>
            </c:plus>
            <c:minus>
              <c:numRef>
                <c:f>'SS48944 FMIn'!$Z$10:$AB$10</c:f>
                <c:numCache>
                  <c:formatCode>General</c:formatCode>
                  <c:ptCount val="3"/>
                  <c:pt idx="0">
                    <c:v>2.5983731852596812E-2</c:v>
                  </c:pt>
                  <c:pt idx="1">
                    <c:v>3.5409857733283229E-2</c:v>
                  </c:pt>
                  <c:pt idx="2">
                    <c:v>4.2808430576173451E-2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'SS48944 FMIn'!$U$8:$W$8</c:f>
              <c:numCache>
                <c:formatCode>General</c:formatCode>
                <c:ptCount val="3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'SS48944 FMIn'!$U$10:$W$10</c:f>
              <c:numCache>
                <c:formatCode>General</c:formatCode>
                <c:ptCount val="3"/>
                <c:pt idx="0">
                  <c:v>2.0833333333333332E-2</c:v>
                </c:pt>
                <c:pt idx="1">
                  <c:v>7.2916666666666657E-2</c:v>
                </c:pt>
                <c:pt idx="2">
                  <c:v>0.16666666666666666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CD-4161-93A8-D718C35715D6}"/>
            </c:ext>
          </c:extLst>
        </c:ser>
        <c:ser>
          <c:idx val="2"/>
          <c:order val="2"/>
          <c:tx>
            <c:strRef>
              <c:f>'SS48944 FMIn'!$T$11</c:f>
              <c:strCache>
                <c:ptCount val="1"/>
                <c:pt idx="0">
                  <c:v>Suc. (fixed leg)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'SS48944 FMIn'!$Z$11:$AB$11</c:f>
                <c:numCache>
                  <c:formatCode>General</c:formatCode>
                  <c:ptCount val="3"/>
                  <c:pt idx="0">
                    <c:v>8.5051727179971462E-3</c:v>
                  </c:pt>
                  <c:pt idx="1">
                    <c:v>4.0492721491981305E-2</c:v>
                  </c:pt>
                  <c:pt idx="2">
                    <c:v>6.9444444444444461E-2</c:v>
                  </c:pt>
                </c:numCache>
              </c:numRef>
            </c:plus>
            <c:minus>
              <c:numRef>
                <c:f>'SS48944 FMIn'!$Z$11:$AB$11</c:f>
                <c:numCache>
                  <c:formatCode>General</c:formatCode>
                  <c:ptCount val="3"/>
                  <c:pt idx="0">
                    <c:v>8.5051727179971462E-3</c:v>
                  </c:pt>
                  <c:pt idx="1">
                    <c:v>4.0492721491981305E-2</c:v>
                  </c:pt>
                  <c:pt idx="2">
                    <c:v>6.9444444444444461E-2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'SS48944 FMIn'!$U$8:$W$8</c:f>
              <c:numCache>
                <c:formatCode>General</c:formatCode>
                <c:ptCount val="3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'SS48944 FMIn'!$U$11:$W$11</c:f>
              <c:numCache>
                <c:formatCode>General</c:formatCode>
                <c:ptCount val="3"/>
                <c:pt idx="0">
                  <c:v>1.0416666666666666E-2</c:v>
                </c:pt>
                <c:pt idx="1">
                  <c:v>0.27083333333333331</c:v>
                </c:pt>
                <c:pt idx="2">
                  <c:v>0.33333333333333331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CD-4161-93A8-D718C35715D6}"/>
            </c:ext>
          </c:extLst>
        </c:ser>
        <c:ser>
          <c:idx val="3"/>
          <c:order val="3"/>
          <c:tx>
            <c:strRef>
              <c:f>'SS48944 FMIn'!$T$12</c:f>
              <c:strCache>
                <c:ptCount val="1"/>
                <c:pt idx="0">
                  <c:v>Suc. (fixed leg) + 1% Geo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'SS48944 FMIn'!$Z$12:$AB$12</c:f>
                <c:numCache>
                  <c:formatCode>General</c:formatCode>
                  <c:ptCount val="3"/>
                  <c:pt idx="0">
                    <c:v>1.7010345435994292E-2</c:v>
                  </c:pt>
                  <c:pt idx="1">
                    <c:v>5.7893513890739816E-2</c:v>
                  </c:pt>
                  <c:pt idx="2">
                    <c:v>5.6416933365527493E-2</c:v>
                  </c:pt>
                </c:numCache>
              </c:numRef>
            </c:plus>
            <c:minus>
              <c:numRef>
                <c:f>'SS48944 FMIn'!$Z$12:$AB$12</c:f>
                <c:numCache>
                  <c:formatCode>General</c:formatCode>
                  <c:ptCount val="3"/>
                  <c:pt idx="0">
                    <c:v>1.7010345435994292E-2</c:v>
                  </c:pt>
                  <c:pt idx="1">
                    <c:v>5.7893513890739816E-2</c:v>
                  </c:pt>
                  <c:pt idx="2">
                    <c:v>5.6416933365527493E-2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'SS48944 FMIn'!$U$8:$W$8</c:f>
              <c:numCache>
                <c:formatCode>General</c:formatCode>
                <c:ptCount val="3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'SS48944 FMIn'!$U$12:$W$12</c:f>
              <c:numCache>
                <c:formatCode>General</c:formatCode>
                <c:ptCount val="3"/>
                <c:pt idx="0">
                  <c:v>2.0833333333333332E-2</c:v>
                </c:pt>
                <c:pt idx="1">
                  <c:v>0.23958333333333334</c:v>
                </c:pt>
                <c:pt idx="2">
                  <c:v>0.3125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BCD-4161-93A8-D718C35715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3061519"/>
        <c:axId val="1633062479"/>
      </c:barChart>
      <c:catAx>
        <c:axId val="16330615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Suc. mM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3062479"/>
        <c:crosses val="autoZero"/>
        <c:auto val="1"/>
        <c:lblAlgn val="ctr"/>
        <c:lblOffset val="100"/>
        <c:noMultiLvlLbl val="0"/>
      </c:catAx>
      <c:valAx>
        <c:axId val="1633062479"/>
        <c:scaling>
          <c:orientation val="minMax"/>
          <c:max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Labellar PER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3061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000" b="0">
                <a:solidFill>
                  <a:sysClr val="windowText" lastClr="000000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Satiated state</a:t>
            </a:r>
            <a:r>
              <a:rPr lang="en-US" altLang="ko-KR" sz="1000" b="0" baseline="0">
                <a:solidFill>
                  <a:sysClr val="windowText" lastClr="000000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, SS47080 G2N-1</a:t>
            </a:r>
            <a:endParaRPr lang="en-US" altLang="ko-KR" sz="1000" b="0" i="1">
              <a:solidFill>
                <a:sysClr val="windowText" lastClr="000000"/>
              </a:solidFill>
              <a:effectLst/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'SS47080 G2N-1'!$T$9</c:f>
              <c:strCache>
                <c:ptCount val="1"/>
                <c:pt idx="0">
                  <c:v>Suc.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'SS47080 G2N-1'!$Z$9:$AB$9</c:f>
                <c:numCache>
                  <c:formatCode>General</c:formatCode>
                  <c:ptCount val="3"/>
                  <c:pt idx="0">
                    <c:v>3.2200064220471197E-2</c:v>
                  </c:pt>
                  <c:pt idx="1">
                    <c:v>5.4459677574160176E-2</c:v>
                  </c:pt>
                  <c:pt idx="2">
                    <c:v>5.8101390731533059E-2</c:v>
                  </c:pt>
                </c:numCache>
              </c:numRef>
            </c:plus>
            <c:minus>
              <c:numRef>
                <c:f>'SS47080 G2N-1'!$Z$9:$AB$9</c:f>
                <c:numCache>
                  <c:formatCode>General</c:formatCode>
                  <c:ptCount val="3"/>
                  <c:pt idx="0">
                    <c:v>3.2200064220471197E-2</c:v>
                  </c:pt>
                  <c:pt idx="1">
                    <c:v>5.4459677574160176E-2</c:v>
                  </c:pt>
                  <c:pt idx="2">
                    <c:v>5.8101390731533059E-2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'SS47080 G2N-1'!$U$8:$W$8</c:f>
              <c:numCache>
                <c:formatCode>General</c:formatCode>
                <c:ptCount val="3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'SS47080 G2N-1'!$U$9:$W$9</c:f>
              <c:numCache>
                <c:formatCode>General</c:formatCode>
                <c:ptCount val="3"/>
                <c:pt idx="0">
                  <c:v>5.2083333333333329E-2</c:v>
                </c:pt>
                <c:pt idx="1">
                  <c:v>0.19791666666666666</c:v>
                </c:pt>
                <c:pt idx="2">
                  <c:v>0.39583333333333331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9D-4968-AB74-80A9CC432F7A}"/>
            </c:ext>
          </c:extLst>
        </c:ser>
        <c:ser>
          <c:idx val="1"/>
          <c:order val="1"/>
          <c:tx>
            <c:strRef>
              <c:f>'SS47080 G2N-1'!$T$10</c:f>
              <c:strCache>
                <c:ptCount val="1"/>
                <c:pt idx="0">
                  <c:v>Suc. + 1% Geo.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'SS47080 G2N-1'!$Z$10:$AB$10</c:f>
                <c:numCache>
                  <c:formatCode>General</c:formatCode>
                  <c:ptCount val="3"/>
                  <c:pt idx="0">
                    <c:v>3.9283710065919311E-2</c:v>
                  </c:pt>
                  <c:pt idx="1">
                    <c:v>5.468061023619316E-2</c:v>
                  </c:pt>
                  <c:pt idx="2">
                    <c:v>3.402069087198839E-2</c:v>
                  </c:pt>
                </c:numCache>
              </c:numRef>
            </c:plus>
            <c:minus>
              <c:numRef>
                <c:f>'SS47080 G2N-1'!$Z$10:$AB$10</c:f>
                <c:numCache>
                  <c:formatCode>General</c:formatCode>
                  <c:ptCount val="3"/>
                  <c:pt idx="0">
                    <c:v>3.9283710065919311E-2</c:v>
                  </c:pt>
                  <c:pt idx="1">
                    <c:v>5.468061023619316E-2</c:v>
                  </c:pt>
                  <c:pt idx="2">
                    <c:v>3.402069087198839E-2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'SS47080 G2N-1'!$U$8:$W$8</c:f>
              <c:numCache>
                <c:formatCode>General</c:formatCode>
                <c:ptCount val="3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'SS47080 G2N-1'!$U$10:$W$10</c:f>
              <c:numCache>
                <c:formatCode>General</c:formatCode>
                <c:ptCount val="3"/>
                <c:pt idx="0">
                  <c:v>3.125E-2</c:v>
                </c:pt>
                <c:pt idx="1">
                  <c:v>0.16666666666666666</c:v>
                </c:pt>
                <c:pt idx="2">
                  <c:v>0.375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9D-4968-AB74-80A9CC432F7A}"/>
            </c:ext>
          </c:extLst>
        </c:ser>
        <c:ser>
          <c:idx val="2"/>
          <c:order val="2"/>
          <c:tx>
            <c:strRef>
              <c:f>'SS47080 G2N-1'!$T$11</c:f>
              <c:strCache>
                <c:ptCount val="1"/>
                <c:pt idx="0">
                  <c:v>Suc. (fixed leg)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'SS47080 G2N-1'!$Z$11:$AB$11</c:f>
                <c:numCache>
                  <c:formatCode>General</c:formatCode>
                  <c:ptCount val="3"/>
                  <c:pt idx="0">
                    <c:v>2.1960261528947082E-2</c:v>
                  </c:pt>
                  <c:pt idx="1">
                    <c:v>4.0492721491981305E-2</c:v>
                  </c:pt>
                  <c:pt idx="2">
                    <c:v>4.1666666666666741E-2</c:v>
                  </c:pt>
                </c:numCache>
              </c:numRef>
            </c:plus>
            <c:minus>
              <c:numRef>
                <c:f>'SS47080 G2N-1'!$Z$11:$AB$11</c:f>
                <c:numCache>
                  <c:formatCode>General</c:formatCode>
                  <c:ptCount val="3"/>
                  <c:pt idx="0">
                    <c:v>2.1960261528947082E-2</c:v>
                  </c:pt>
                  <c:pt idx="1">
                    <c:v>4.0492721491981305E-2</c:v>
                  </c:pt>
                  <c:pt idx="2">
                    <c:v>4.1666666666666741E-2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'SS47080 G2N-1'!$U$8:$W$8</c:f>
              <c:numCache>
                <c:formatCode>General</c:formatCode>
                <c:ptCount val="3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'SS47080 G2N-1'!$U$11:$W$11</c:f>
              <c:numCache>
                <c:formatCode>General</c:formatCode>
                <c:ptCount val="3"/>
                <c:pt idx="0">
                  <c:v>6.25E-2</c:v>
                </c:pt>
                <c:pt idx="1">
                  <c:v>0.27083333333333331</c:v>
                </c:pt>
                <c:pt idx="2">
                  <c:v>0.41666666666666663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89D-4968-AB74-80A9CC432F7A}"/>
            </c:ext>
          </c:extLst>
        </c:ser>
        <c:ser>
          <c:idx val="3"/>
          <c:order val="3"/>
          <c:tx>
            <c:strRef>
              <c:f>'SS47080 G2N-1'!$T$12</c:f>
              <c:strCache>
                <c:ptCount val="1"/>
                <c:pt idx="0">
                  <c:v>Suc. (fixed leg) + 1% Geo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'SS47080 G2N-1'!$Z$12:$AB$12</c:f>
                <c:numCache>
                  <c:formatCode>General</c:formatCode>
                  <c:ptCount val="3"/>
                  <c:pt idx="0">
                    <c:v>1.3888888888888893E-2</c:v>
                  </c:pt>
                  <c:pt idx="1">
                    <c:v>4.4736453912240071E-2</c:v>
                  </c:pt>
                  <c:pt idx="2">
                    <c:v>4.4736453912240036E-2</c:v>
                  </c:pt>
                </c:numCache>
              </c:numRef>
            </c:plus>
            <c:minus>
              <c:numRef>
                <c:f>'SS47080 G2N-1'!$Z$12:$AB$12</c:f>
                <c:numCache>
                  <c:formatCode>General</c:formatCode>
                  <c:ptCount val="3"/>
                  <c:pt idx="0">
                    <c:v>1.3888888888888893E-2</c:v>
                  </c:pt>
                  <c:pt idx="1">
                    <c:v>4.4736453912240071E-2</c:v>
                  </c:pt>
                  <c:pt idx="2">
                    <c:v>4.4736453912240036E-2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'SS47080 G2N-1'!$U$8:$W$8</c:f>
              <c:numCache>
                <c:formatCode>General</c:formatCode>
                <c:ptCount val="3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'SS47080 G2N-1'!$U$12:$W$12</c:f>
              <c:numCache>
                <c:formatCode>General</c:formatCode>
                <c:ptCount val="3"/>
                <c:pt idx="0">
                  <c:v>4.1666666666666664E-2</c:v>
                </c:pt>
                <c:pt idx="1">
                  <c:v>0.26041666666666663</c:v>
                </c:pt>
                <c:pt idx="2">
                  <c:v>0.42708333333333337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89D-4968-AB74-80A9CC432F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3061519"/>
        <c:axId val="1633062479"/>
      </c:barChart>
      <c:catAx>
        <c:axId val="16330615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Suc. mM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3062479"/>
        <c:crosses val="autoZero"/>
        <c:auto val="1"/>
        <c:lblAlgn val="ctr"/>
        <c:lblOffset val="100"/>
        <c:noMultiLvlLbl val="0"/>
      </c:catAx>
      <c:valAx>
        <c:axId val="1633062479"/>
        <c:scaling>
          <c:orientation val="minMax"/>
          <c:max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Labellar PER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3061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000" b="0">
                <a:solidFill>
                  <a:sysClr val="windowText" lastClr="000000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Satiated state</a:t>
            </a:r>
            <a:r>
              <a:rPr lang="en-US" altLang="ko-KR" sz="1000" b="0" baseline="0">
                <a:solidFill>
                  <a:sysClr val="windowText" lastClr="000000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, </a:t>
            </a:r>
            <a:r>
              <a:rPr lang="en-US" altLang="ko-KR" sz="1000" b="1" i="0" u="none" strike="noStrike" kern="1200" spc="0" baseline="0">
                <a:solidFill>
                  <a:sysClr val="windowText" lastClr="000000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SSS46885 TH-VUM</a:t>
            </a:r>
            <a:endParaRPr lang="en-US" altLang="ko-KR" sz="1000" b="0" i="1">
              <a:solidFill>
                <a:sysClr val="windowText" lastClr="000000"/>
              </a:solidFill>
              <a:effectLst/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'SSS46885 TH-VUM'!$T$9</c:f>
              <c:strCache>
                <c:ptCount val="1"/>
                <c:pt idx="0">
                  <c:v>Suc.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'SSS46885 TH-VUM'!$Z$9:$AB$9</c:f>
                <c:numCache>
                  <c:formatCode>General</c:formatCode>
                  <c:ptCount val="3"/>
                  <c:pt idx="0">
                    <c:v>8.5051727179971462E-3</c:v>
                  </c:pt>
                  <c:pt idx="1">
                    <c:v>3.7717987816667423E-2</c:v>
                  </c:pt>
                  <c:pt idx="2">
                    <c:v>5.0794232077527E-2</c:v>
                  </c:pt>
                </c:numCache>
              </c:numRef>
            </c:plus>
            <c:minus>
              <c:numRef>
                <c:f>'SSS46885 TH-VUM'!$Z$9:$AB$9</c:f>
                <c:numCache>
                  <c:formatCode>General</c:formatCode>
                  <c:ptCount val="3"/>
                  <c:pt idx="0">
                    <c:v>8.5051727179971462E-3</c:v>
                  </c:pt>
                  <c:pt idx="1">
                    <c:v>3.7717987816667423E-2</c:v>
                  </c:pt>
                  <c:pt idx="2">
                    <c:v>5.0794232077527E-2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'SSS46885 TH-VUM'!$U$8:$W$8</c:f>
              <c:numCache>
                <c:formatCode>General</c:formatCode>
                <c:ptCount val="3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'SSS46885 TH-VUM'!$U$9:$W$9</c:f>
              <c:numCache>
                <c:formatCode>General</c:formatCode>
                <c:ptCount val="3"/>
                <c:pt idx="0">
                  <c:v>1.0416666666666666E-2</c:v>
                </c:pt>
                <c:pt idx="1">
                  <c:v>0.13541666666666666</c:v>
                </c:pt>
                <c:pt idx="2">
                  <c:v>0.36458333333333337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E5-4F29-AEDC-94A33A3C280C}"/>
            </c:ext>
          </c:extLst>
        </c:ser>
        <c:ser>
          <c:idx val="1"/>
          <c:order val="1"/>
          <c:tx>
            <c:strRef>
              <c:f>'SSS46885 TH-VUM'!$T$10</c:f>
              <c:strCache>
                <c:ptCount val="1"/>
                <c:pt idx="0">
                  <c:v>Suc. + 1% Geo.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'SSS46885 TH-VUM'!$Z$10:$AB$10</c:f>
                <c:numCache>
                  <c:formatCode>General</c:formatCode>
                  <c:ptCount val="3"/>
                  <c:pt idx="0">
                    <c:v>9.8209275164798278E-3</c:v>
                  </c:pt>
                  <c:pt idx="1">
                    <c:v>2.5983731852596826E-2</c:v>
                  </c:pt>
                  <c:pt idx="2">
                    <c:v>5.9738369910018324E-2</c:v>
                  </c:pt>
                </c:numCache>
              </c:numRef>
            </c:plus>
            <c:minus>
              <c:numRef>
                <c:f>'SSS46885 TH-VUM'!$Z$10:$AB$10</c:f>
                <c:numCache>
                  <c:formatCode>General</c:formatCode>
                  <c:ptCount val="3"/>
                  <c:pt idx="0">
                    <c:v>9.8209275164798278E-3</c:v>
                  </c:pt>
                  <c:pt idx="1">
                    <c:v>2.5983731852596826E-2</c:v>
                  </c:pt>
                  <c:pt idx="2">
                    <c:v>5.9738369910018324E-2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'SSS46885 TH-VUM'!$U$8:$W$8</c:f>
              <c:numCache>
                <c:formatCode>General</c:formatCode>
                <c:ptCount val="3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'SSS46885 TH-VUM'!$U$10:$W$10</c:f>
              <c:numCache>
                <c:formatCode>General</c:formatCode>
                <c:ptCount val="3"/>
                <c:pt idx="0">
                  <c:v>2.0833333333333332E-2</c:v>
                </c:pt>
                <c:pt idx="1">
                  <c:v>0.13541666666666666</c:v>
                </c:pt>
                <c:pt idx="2">
                  <c:v>0.36458333333333331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E5-4F29-AEDC-94A33A3C280C}"/>
            </c:ext>
          </c:extLst>
        </c:ser>
        <c:ser>
          <c:idx val="2"/>
          <c:order val="2"/>
          <c:tx>
            <c:strRef>
              <c:f>'SSS46885 TH-VUM'!$T$11</c:f>
              <c:strCache>
                <c:ptCount val="1"/>
                <c:pt idx="0">
                  <c:v>Suc. (fixed leg)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'SSS46885 TH-VUM'!$Z$11:$AB$11</c:f>
                <c:numCache>
                  <c:formatCode>General</c:formatCode>
                  <c:ptCount val="3"/>
                  <c:pt idx="0">
                    <c:v>1.6286165832720242E-2</c:v>
                  </c:pt>
                  <c:pt idx="1">
                    <c:v>3.2572331665440497E-2</c:v>
                  </c:pt>
                  <c:pt idx="2">
                    <c:v>4.5005143738943432E-2</c:v>
                  </c:pt>
                </c:numCache>
              </c:numRef>
            </c:plus>
            <c:minus>
              <c:numRef>
                <c:f>'SSS46885 TH-VUM'!$Z$11:$AB$11</c:f>
                <c:numCache>
                  <c:formatCode>General</c:formatCode>
                  <c:ptCount val="3"/>
                  <c:pt idx="0">
                    <c:v>1.6286165832720242E-2</c:v>
                  </c:pt>
                  <c:pt idx="1">
                    <c:v>3.2572331665440497E-2</c:v>
                  </c:pt>
                  <c:pt idx="2">
                    <c:v>4.5005143738943432E-2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'SSS46885 TH-VUM'!$U$8:$W$8</c:f>
              <c:numCache>
                <c:formatCode>General</c:formatCode>
                <c:ptCount val="3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'SSS46885 TH-VUM'!$U$11:$W$11</c:f>
              <c:numCache>
                <c:formatCode>General</c:formatCode>
                <c:ptCount val="3"/>
                <c:pt idx="0">
                  <c:v>3.125E-2</c:v>
                </c:pt>
                <c:pt idx="1">
                  <c:v>0.1875</c:v>
                </c:pt>
                <c:pt idx="2">
                  <c:v>0.35416666666666669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E5-4F29-AEDC-94A33A3C280C}"/>
            </c:ext>
          </c:extLst>
        </c:ser>
        <c:ser>
          <c:idx val="3"/>
          <c:order val="3"/>
          <c:tx>
            <c:strRef>
              <c:f>'SSS46885 TH-VUM'!$T$12</c:f>
              <c:strCache>
                <c:ptCount val="1"/>
                <c:pt idx="0">
                  <c:v>Suc. (fixed leg) + 1% Geo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'SSS46885 TH-VUM'!$Z$12:$AB$12</c:f>
                <c:numCache>
                  <c:formatCode>General</c:formatCode>
                  <c:ptCount val="3"/>
                  <c:pt idx="0">
                    <c:v>9.8209275164798278E-3</c:v>
                  </c:pt>
                  <c:pt idx="1">
                    <c:v>3.7717987816667423E-2</c:v>
                  </c:pt>
                  <c:pt idx="2">
                    <c:v>4.2525863589985835E-2</c:v>
                  </c:pt>
                </c:numCache>
              </c:numRef>
            </c:plus>
            <c:minus>
              <c:numRef>
                <c:f>'SSS46885 TH-VUM'!$Z$12:$AB$12</c:f>
                <c:numCache>
                  <c:formatCode>General</c:formatCode>
                  <c:ptCount val="3"/>
                  <c:pt idx="0">
                    <c:v>9.8209275164798278E-3</c:v>
                  </c:pt>
                  <c:pt idx="1">
                    <c:v>3.7717987816667423E-2</c:v>
                  </c:pt>
                  <c:pt idx="2">
                    <c:v>4.2525863589985835E-2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'SSS46885 TH-VUM'!$U$8:$W$8</c:f>
              <c:numCache>
                <c:formatCode>General</c:formatCode>
                <c:ptCount val="3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'SSS46885 TH-VUM'!$U$12:$W$12</c:f>
              <c:numCache>
                <c:formatCode>General</c:formatCode>
                <c:ptCount val="3"/>
                <c:pt idx="0">
                  <c:v>2.0833333333333332E-2</c:v>
                </c:pt>
                <c:pt idx="1">
                  <c:v>0.15625</c:v>
                </c:pt>
                <c:pt idx="2">
                  <c:v>0.38541666666666663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EE5-4F29-AEDC-94A33A3C28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3061519"/>
        <c:axId val="1633062479"/>
      </c:barChart>
      <c:catAx>
        <c:axId val="16330615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Suc. mM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3062479"/>
        <c:crosses val="autoZero"/>
        <c:auto val="1"/>
        <c:lblAlgn val="ctr"/>
        <c:lblOffset val="100"/>
        <c:noMultiLvlLbl val="0"/>
      </c:catAx>
      <c:valAx>
        <c:axId val="1633062479"/>
        <c:scaling>
          <c:orientation val="minMax"/>
          <c:max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Labellar PER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3061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000" b="0">
                <a:solidFill>
                  <a:sysClr val="windowText" lastClr="000000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Satiated state</a:t>
            </a:r>
            <a:r>
              <a:rPr lang="en-US" altLang="ko-KR" sz="1000" b="0" baseline="0">
                <a:solidFill>
                  <a:sysClr val="windowText" lastClr="000000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, </a:t>
            </a:r>
            <a:r>
              <a:rPr lang="en-US" altLang="ko-KR" sz="1000" b="1" i="0" u="none" strike="noStrike" kern="1200" spc="0" baseline="0">
                <a:solidFill>
                  <a:sysClr val="windowText" lastClr="000000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SS31386 bract</a:t>
            </a:r>
            <a:endParaRPr lang="en-US" altLang="ko-KR" sz="1000" b="0" i="1">
              <a:solidFill>
                <a:sysClr val="windowText" lastClr="000000"/>
              </a:solidFill>
              <a:effectLst/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'SS31386 bract'!$T$9</c:f>
              <c:strCache>
                <c:ptCount val="1"/>
                <c:pt idx="0">
                  <c:v>Suc.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'SS31386 bract'!$Z$9:$AB$9</c:f>
                <c:numCache>
                  <c:formatCode>General</c:formatCode>
                  <c:ptCount val="3"/>
                  <c:pt idx="0">
                    <c:v>4.4736453912240022E-2</c:v>
                  </c:pt>
                  <c:pt idx="1">
                    <c:v>4.4736453912240071E-2</c:v>
                  </c:pt>
                  <c:pt idx="2">
                    <c:v>4.0492721491981305E-2</c:v>
                  </c:pt>
                </c:numCache>
              </c:numRef>
            </c:plus>
            <c:minus>
              <c:numRef>
                <c:f>'SS31386 bract'!$Z$9:$AB$9</c:f>
                <c:numCache>
                  <c:formatCode>General</c:formatCode>
                  <c:ptCount val="3"/>
                  <c:pt idx="0">
                    <c:v>4.4736453912240022E-2</c:v>
                  </c:pt>
                  <c:pt idx="1">
                    <c:v>4.4736453912240071E-2</c:v>
                  </c:pt>
                  <c:pt idx="2">
                    <c:v>4.0492721491981305E-2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'SS31386 bract'!$U$8:$W$8</c:f>
              <c:numCache>
                <c:formatCode>General</c:formatCode>
                <c:ptCount val="3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'SS31386 bract'!$U$9:$W$9</c:f>
              <c:numCache>
                <c:formatCode>General</c:formatCode>
                <c:ptCount val="3"/>
                <c:pt idx="0">
                  <c:v>9.375E-2</c:v>
                </c:pt>
                <c:pt idx="1">
                  <c:v>0.26041666666666663</c:v>
                </c:pt>
                <c:pt idx="2">
                  <c:v>0.39583333333333331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8A-4B7A-B28A-1900D35C0AFF}"/>
            </c:ext>
          </c:extLst>
        </c:ser>
        <c:ser>
          <c:idx val="1"/>
          <c:order val="1"/>
          <c:tx>
            <c:strRef>
              <c:f>'SS31386 bract'!$T$10</c:f>
              <c:strCache>
                <c:ptCount val="1"/>
                <c:pt idx="0">
                  <c:v>Suc. + 1% Geo.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'SS31386 bract'!$Z$10:$AB$10</c:f>
                <c:numCache>
                  <c:formatCode>General</c:formatCode>
                  <c:ptCount val="3"/>
                  <c:pt idx="0">
                    <c:v>4.5005143738943473E-2</c:v>
                  </c:pt>
                  <c:pt idx="1">
                    <c:v>4.5005143738943501E-2</c:v>
                  </c:pt>
                  <c:pt idx="2">
                    <c:v>3.540985773328334E-2</c:v>
                  </c:pt>
                </c:numCache>
              </c:numRef>
            </c:plus>
            <c:minus>
              <c:numRef>
                <c:f>'SS31386 bract'!$Z$10:$AB$10</c:f>
                <c:numCache>
                  <c:formatCode>General</c:formatCode>
                  <c:ptCount val="3"/>
                  <c:pt idx="0">
                    <c:v>4.5005143738943473E-2</c:v>
                  </c:pt>
                  <c:pt idx="1">
                    <c:v>4.5005143738943501E-2</c:v>
                  </c:pt>
                  <c:pt idx="2">
                    <c:v>3.540985773328334E-2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'SS31386 bract'!$U$8:$W$8</c:f>
              <c:numCache>
                <c:formatCode>General</c:formatCode>
                <c:ptCount val="3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'SS31386 bract'!$U$10:$W$10</c:f>
              <c:numCache>
                <c:formatCode>General</c:formatCode>
                <c:ptCount val="3"/>
                <c:pt idx="0">
                  <c:v>6.25E-2</c:v>
                </c:pt>
                <c:pt idx="1">
                  <c:v>0.26041666666666663</c:v>
                </c:pt>
                <c:pt idx="2">
                  <c:v>0.375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8A-4B7A-B28A-1900D35C0AFF}"/>
            </c:ext>
          </c:extLst>
        </c:ser>
        <c:ser>
          <c:idx val="2"/>
          <c:order val="2"/>
          <c:tx>
            <c:strRef>
              <c:f>'SS31386 bract'!$T$11</c:f>
              <c:strCache>
                <c:ptCount val="1"/>
                <c:pt idx="0">
                  <c:v>Suc. (fixed leg)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'SS31386 bract'!$Z$11:$AB$11</c:f>
                <c:numCache>
                  <c:formatCode>General</c:formatCode>
                  <c:ptCount val="3"/>
                  <c:pt idx="0">
                    <c:v>2.9050695365766516E-2</c:v>
                  </c:pt>
                  <c:pt idx="1">
                    <c:v>7.1497431534632019E-2</c:v>
                  </c:pt>
                  <c:pt idx="2">
                    <c:v>6.2884619014843185E-2</c:v>
                  </c:pt>
                </c:numCache>
              </c:numRef>
            </c:plus>
            <c:minus>
              <c:numRef>
                <c:f>'SS31386 bract'!$Z$11:$AB$11</c:f>
                <c:numCache>
                  <c:formatCode>General</c:formatCode>
                  <c:ptCount val="3"/>
                  <c:pt idx="0">
                    <c:v>2.9050695365766516E-2</c:v>
                  </c:pt>
                  <c:pt idx="1">
                    <c:v>7.1497431534632019E-2</c:v>
                  </c:pt>
                  <c:pt idx="2">
                    <c:v>6.2884619014843185E-2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'SS31386 bract'!$U$8:$W$8</c:f>
              <c:numCache>
                <c:formatCode>General</c:formatCode>
                <c:ptCount val="3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'SS31386 bract'!$U$11:$W$11</c:f>
              <c:numCache>
                <c:formatCode>General</c:formatCode>
                <c:ptCount val="3"/>
                <c:pt idx="0">
                  <c:v>7.2916666666666657E-2</c:v>
                </c:pt>
                <c:pt idx="1">
                  <c:v>0.39583333333333331</c:v>
                </c:pt>
                <c:pt idx="2">
                  <c:v>0.4375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68A-4B7A-B28A-1900D35C0AFF}"/>
            </c:ext>
          </c:extLst>
        </c:ser>
        <c:ser>
          <c:idx val="3"/>
          <c:order val="3"/>
          <c:tx>
            <c:strRef>
              <c:f>'SS31386 bract'!$T$12</c:f>
              <c:strCache>
                <c:ptCount val="1"/>
                <c:pt idx="0">
                  <c:v>Suc. (fixed leg) + 1% Geo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'SS31386 bract'!$Z$12:$AB$12</c:f>
                <c:numCache>
                  <c:formatCode>General</c:formatCode>
                  <c:ptCount val="3"/>
                  <c:pt idx="0">
                    <c:v>2.9050695365766516E-2</c:v>
                  </c:pt>
                  <c:pt idx="1">
                    <c:v>7.2168783648703355E-2</c:v>
                  </c:pt>
                  <c:pt idx="2">
                    <c:v>5.7265355911356515E-2</c:v>
                  </c:pt>
                </c:numCache>
              </c:numRef>
            </c:plus>
            <c:minus>
              <c:numRef>
                <c:f>'SS31386 bract'!$Z$12:$AB$12</c:f>
                <c:numCache>
                  <c:formatCode>General</c:formatCode>
                  <c:ptCount val="3"/>
                  <c:pt idx="0">
                    <c:v>2.9050695365766516E-2</c:v>
                  </c:pt>
                  <c:pt idx="1">
                    <c:v>7.2168783648703355E-2</c:v>
                  </c:pt>
                  <c:pt idx="2">
                    <c:v>5.7265355911356515E-2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'SS31386 bract'!$U$8:$W$8</c:f>
              <c:numCache>
                <c:formatCode>General</c:formatCode>
                <c:ptCount val="3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'SS31386 bract'!$U$12:$W$12</c:f>
              <c:numCache>
                <c:formatCode>General</c:formatCode>
                <c:ptCount val="3"/>
                <c:pt idx="0">
                  <c:v>9.375E-2</c:v>
                </c:pt>
                <c:pt idx="1">
                  <c:v>0.37499999999999994</c:v>
                </c:pt>
                <c:pt idx="2">
                  <c:v>0.41666666666666663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68A-4B7A-B28A-1900D35C0A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3061519"/>
        <c:axId val="1633062479"/>
      </c:barChart>
      <c:catAx>
        <c:axId val="16330615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Suc. mM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3062479"/>
        <c:crosses val="autoZero"/>
        <c:auto val="1"/>
        <c:lblAlgn val="ctr"/>
        <c:lblOffset val="100"/>
        <c:noMultiLvlLbl val="0"/>
      </c:catAx>
      <c:valAx>
        <c:axId val="1633062479"/>
        <c:scaling>
          <c:orientation val="minMax"/>
          <c:max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Labellar PER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3061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000" b="0">
                <a:solidFill>
                  <a:sysClr val="windowText" lastClr="000000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Satiated state</a:t>
            </a:r>
            <a:r>
              <a:rPr lang="en-US" altLang="ko-KR" sz="1000" b="0" baseline="0">
                <a:solidFill>
                  <a:sysClr val="windowText" lastClr="000000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, SS48947 clavicle</a:t>
            </a:r>
            <a:endParaRPr lang="en-US" altLang="ko-KR" sz="1000" b="0" i="1">
              <a:solidFill>
                <a:sysClr val="windowText" lastClr="000000"/>
              </a:solidFill>
              <a:effectLst/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'SS48947 clavicle'!$T$9</c:f>
              <c:strCache>
                <c:ptCount val="1"/>
                <c:pt idx="0">
                  <c:v>Suc.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'SS48947 clavicle'!$Z$9:$AB$9</c:f>
                <c:numCache>
                  <c:formatCode>General</c:formatCode>
                  <c:ptCount val="3"/>
                  <c:pt idx="0">
                    <c:v>2.9050695365766512E-2</c:v>
                  </c:pt>
                  <c:pt idx="1">
                    <c:v>4.6842838761222381E-2</c:v>
                  </c:pt>
                  <c:pt idx="2">
                    <c:v>4.4736453912240036E-2</c:v>
                  </c:pt>
                </c:numCache>
              </c:numRef>
            </c:plus>
            <c:minus>
              <c:numRef>
                <c:f>'SS48947 clavicle'!$Z$9:$AB$9</c:f>
                <c:numCache>
                  <c:formatCode>General</c:formatCode>
                  <c:ptCount val="3"/>
                  <c:pt idx="0">
                    <c:v>2.9050695365766512E-2</c:v>
                  </c:pt>
                  <c:pt idx="1">
                    <c:v>4.6842838761222381E-2</c:v>
                  </c:pt>
                  <c:pt idx="2">
                    <c:v>4.4736453912240036E-2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'SS48947 clavicle'!$U$8:$W$8</c:f>
              <c:numCache>
                <c:formatCode>General</c:formatCode>
                <c:ptCount val="3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'SS48947 clavicle'!$U$9:$W$9</c:f>
              <c:numCache>
                <c:formatCode>General</c:formatCode>
                <c:ptCount val="3"/>
                <c:pt idx="0">
                  <c:v>7.2916666666666671E-2</c:v>
                </c:pt>
                <c:pt idx="1">
                  <c:v>0.15625</c:v>
                </c:pt>
                <c:pt idx="2">
                  <c:v>0.28125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F3-4221-B2B7-FC445D08983C}"/>
            </c:ext>
          </c:extLst>
        </c:ser>
        <c:ser>
          <c:idx val="1"/>
          <c:order val="1"/>
          <c:tx>
            <c:strRef>
              <c:f>'SS48947 clavicle'!$T$10</c:f>
              <c:strCache>
                <c:ptCount val="1"/>
                <c:pt idx="0">
                  <c:v>Suc. + 1% Geo.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'SS48947 clavicle'!$Z$10:$AB$10</c:f>
                <c:numCache>
                  <c:formatCode>General</c:formatCode>
                  <c:ptCount val="3"/>
                  <c:pt idx="0">
                    <c:v>2.5983731852596812E-2</c:v>
                  </c:pt>
                  <c:pt idx="1">
                    <c:v>4.2808430576173451E-2</c:v>
                  </c:pt>
                  <c:pt idx="2">
                    <c:v>4.9104637582399177E-2</c:v>
                  </c:pt>
                </c:numCache>
              </c:numRef>
            </c:plus>
            <c:minus>
              <c:numRef>
                <c:f>'SS48947 clavicle'!$Z$10:$AB$10</c:f>
                <c:numCache>
                  <c:formatCode>General</c:formatCode>
                  <c:ptCount val="3"/>
                  <c:pt idx="0">
                    <c:v>2.5983731852596812E-2</c:v>
                  </c:pt>
                  <c:pt idx="1">
                    <c:v>4.2808430576173451E-2</c:v>
                  </c:pt>
                  <c:pt idx="2">
                    <c:v>4.9104637582399177E-2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'SS48947 clavicle'!$U$8:$W$8</c:f>
              <c:numCache>
                <c:formatCode>General</c:formatCode>
                <c:ptCount val="3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'SS48947 clavicle'!$U$10:$W$10</c:f>
              <c:numCache>
                <c:formatCode>General</c:formatCode>
                <c:ptCount val="3"/>
                <c:pt idx="0">
                  <c:v>2.0833333333333332E-2</c:v>
                </c:pt>
                <c:pt idx="1">
                  <c:v>0.13541666666666666</c:v>
                </c:pt>
                <c:pt idx="2">
                  <c:v>0.28125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F3-4221-B2B7-FC445D08983C}"/>
            </c:ext>
          </c:extLst>
        </c:ser>
        <c:ser>
          <c:idx val="2"/>
          <c:order val="2"/>
          <c:tx>
            <c:strRef>
              <c:f>'SS48947 clavicle'!$T$11</c:f>
              <c:strCache>
                <c:ptCount val="1"/>
                <c:pt idx="0">
                  <c:v>Suc. (fixed leg)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'SS48947 clavicle'!$Z$11:$AB$11</c:f>
                <c:numCache>
                  <c:formatCode>General</c:formatCode>
                  <c:ptCount val="3"/>
                  <c:pt idx="0">
                    <c:v>4.0492721491981264E-2</c:v>
                  </c:pt>
                  <c:pt idx="1">
                    <c:v>2.946278254943948E-2</c:v>
                  </c:pt>
                  <c:pt idx="2">
                    <c:v>4.0193878134688318E-2</c:v>
                  </c:pt>
                </c:numCache>
              </c:numRef>
            </c:plus>
            <c:minus>
              <c:numRef>
                <c:f>'SS48947 clavicle'!$Z$11:$AB$11</c:f>
                <c:numCache>
                  <c:formatCode>General</c:formatCode>
                  <c:ptCount val="3"/>
                  <c:pt idx="0">
                    <c:v>4.0492721491981264E-2</c:v>
                  </c:pt>
                  <c:pt idx="1">
                    <c:v>2.946278254943948E-2</c:v>
                  </c:pt>
                  <c:pt idx="2">
                    <c:v>4.0193878134688318E-2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'SS48947 clavicle'!$U$8:$W$8</c:f>
              <c:numCache>
                <c:formatCode>General</c:formatCode>
                <c:ptCount val="3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'SS48947 clavicle'!$U$11:$W$11</c:f>
              <c:numCache>
                <c:formatCode>General</c:formatCode>
                <c:ptCount val="3"/>
                <c:pt idx="0">
                  <c:v>0.10416666666666666</c:v>
                </c:pt>
                <c:pt idx="1">
                  <c:v>0.27083333333333337</c:v>
                </c:pt>
                <c:pt idx="2">
                  <c:v>0.40625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2F3-4221-B2B7-FC445D08983C}"/>
            </c:ext>
          </c:extLst>
        </c:ser>
        <c:ser>
          <c:idx val="3"/>
          <c:order val="3"/>
          <c:tx>
            <c:strRef>
              <c:f>'SS48947 clavicle'!$T$12</c:f>
              <c:strCache>
                <c:ptCount val="1"/>
                <c:pt idx="0">
                  <c:v>Suc. (fixed leg) + 1% Geo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'SS48947 clavicle'!$Z$12:$AB$12</c:f>
                <c:numCache>
                  <c:formatCode>General</c:formatCode>
                  <c:ptCount val="3"/>
                  <c:pt idx="0">
                    <c:v>4.0193878134688284E-2</c:v>
                  </c:pt>
                  <c:pt idx="1">
                    <c:v>5.6202826584161959E-2</c:v>
                  </c:pt>
                  <c:pt idx="2">
                    <c:v>4.0492721491981305E-2</c:v>
                  </c:pt>
                </c:numCache>
              </c:numRef>
            </c:plus>
            <c:minus>
              <c:numRef>
                <c:f>'SS48947 clavicle'!$Z$12:$AB$12</c:f>
                <c:numCache>
                  <c:formatCode>General</c:formatCode>
                  <c:ptCount val="3"/>
                  <c:pt idx="0">
                    <c:v>4.0193878134688284E-2</c:v>
                  </c:pt>
                  <c:pt idx="1">
                    <c:v>5.6202826584161959E-2</c:v>
                  </c:pt>
                  <c:pt idx="2">
                    <c:v>4.0492721491981305E-2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'SS48947 clavicle'!$U$8:$W$8</c:f>
              <c:numCache>
                <c:formatCode>General</c:formatCode>
                <c:ptCount val="3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'SS48947 clavicle'!$U$12:$W$12</c:f>
              <c:numCache>
                <c:formatCode>General</c:formatCode>
                <c:ptCount val="3"/>
                <c:pt idx="0">
                  <c:v>7.2916666666666671E-2</c:v>
                </c:pt>
                <c:pt idx="1">
                  <c:v>0.23958333333333337</c:v>
                </c:pt>
                <c:pt idx="2">
                  <c:v>0.39583333333333331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2F3-4221-B2B7-FC445D0898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3061519"/>
        <c:axId val="1633062479"/>
      </c:barChart>
      <c:catAx>
        <c:axId val="16330615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Suc. mM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3062479"/>
        <c:crosses val="autoZero"/>
        <c:auto val="1"/>
        <c:lblAlgn val="ctr"/>
        <c:lblOffset val="100"/>
        <c:noMultiLvlLbl val="0"/>
      </c:catAx>
      <c:valAx>
        <c:axId val="1633062479"/>
        <c:scaling>
          <c:orientation val="minMax"/>
          <c:max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Labellar PER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3061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000" b="0">
                <a:solidFill>
                  <a:sysClr val="windowText" lastClr="000000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Satiated state</a:t>
            </a:r>
            <a:r>
              <a:rPr lang="en-US" altLang="ko-KR" sz="1000" b="0" baseline="0">
                <a:solidFill>
                  <a:sysClr val="windowText" lastClr="000000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, </a:t>
            </a:r>
            <a:r>
              <a:rPr lang="en-US" altLang="ko-KR" sz="1000" b="1" i="0" u="none" strike="noStrike" kern="1200" spc="0" baseline="0">
                <a:solidFill>
                  <a:sysClr val="windowText" lastClr="000000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SS50091 rattle</a:t>
            </a:r>
            <a:endParaRPr lang="en-US" altLang="ko-KR" sz="1000" b="0" i="1">
              <a:solidFill>
                <a:sysClr val="windowText" lastClr="000000"/>
              </a:solidFill>
              <a:effectLst/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'SS50091 rattle'!$T$9</c:f>
              <c:strCache>
                <c:ptCount val="1"/>
                <c:pt idx="0">
                  <c:v>Suc.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'SS50091 rattle'!$Z$9:$AB$9</c:f>
                <c:numCache>
                  <c:formatCode>General</c:formatCode>
                  <c:ptCount val="3"/>
                  <c:pt idx="0">
                    <c:v>2.9050695365766512E-2</c:v>
                  </c:pt>
                  <c:pt idx="1">
                    <c:v>3.9283710065919318E-2</c:v>
                  </c:pt>
                  <c:pt idx="2">
                    <c:v>4.5005143738943501E-2</c:v>
                  </c:pt>
                </c:numCache>
              </c:numRef>
            </c:plus>
            <c:minus>
              <c:numRef>
                <c:f>'SS50091 rattle'!$Z$9:$AB$9</c:f>
                <c:numCache>
                  <c:formatCode>General</c:formatCode>
                  <c:ptCount val="3"/>
                  <c:pt idx="0">
                    <c:v>2.9050695365766512E-2</c:v>
                  </c:pt>
                  <c:pt idx="1">
                    <c:v>3.9283710065919318E-2</c:v>
                  </c:pt>
                  <c:pt idx="2">
                    <c:v>4.5005143738943501E-2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'SS50091 rattle'!$U$8:$W$8</c:f>
              <c:numCache>
                <c:formatCode>General</c:formatCode>
                <c:ptCount val="3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'SS50091 rattle'!$U$9:$W$9</c:f>
              <c:numCache>
                <c:formatCode>General</c:formatCode>
                <c:ptCount val="3"/>
                <c:pt idx="0">
                  <c:v>7.2916666666666671E-2</c:v>
                </c:pt>
                <c:pt idx="1">
                  <c:v>0.125</c:v>
                </c:pt>
                <c:pt idx="2">
                  <c:v>0.22916666666666666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55-4187-99B5-7278F611A503}"/>
            </c:ext>
          </c:extLst>
        </c:ser>
        <c:ser>
          <c:idx val="1"/>
          <c:order val="1"/>
          <c:tx>
            <c:strRef>
              <c:f>'SS50091 rattle'!$T$10</c:f>
              <c:strCache>
                <c:ptCount val="1"/>
                <c:pt idx="0">
                  <c:v>Suc. + 1% Geo.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'SS50091 rattle'!$Z$10:$AB$10</c:f>
                <c:numCache>
                  <c:formatCode>General</c:formatCode>
                  <c:ptCount val="3"/>
                  <c:pt idx="0">
                    <c:v>2.5983731852596812E-2</c:v>
                  </c:pt>
                  <c:pt idx="1">
                    <c:v>3.9283710065919311E-2</c:v>
                  </c:pt>
                  <c:pt idx="2">
                    <c:v>5.468061023619316E-2</c:v>
                  </c:pt>
                </c:numCache>
              </c:numRef>
            </c:plus>
            <c:minus>
              <c:numRef>
                <c:f>'SS50091 rattle'!$Z$10:$AB$10</c:f>
                <c:numCache>
                  <c:formatCode>General</c:formatCode>
                  <c:ptCount val="3"/>
                  <c:pt idx="0">
                    <c:v>2.5983731852596812E-2</c:v>
                  </c:pt>
                  <c:pt idx="1">
                    <c:v>3.9283710065919311E-2</c:v>
                  </c:pt>
                  <c:pt idx="2">
                    <c:v>5.468061023619316E-2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'SS50091 rattle'!$U$8:$W$8</c:f>
              <c:numCache>
                <c:formatCode>General</c:formatCode>
                <c:ptCount val="3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'SS50091 rattle'!$U$10:$W$10</c:f>
              <c:numCache>
                <c:formatCode>General</c:formatCode>
                <c:ptCount val="3"/>
                <c:pt idx="0">
                  <c:v>2.0833333333333332E-2</c:v>
                </c:pt>
                <c:pt idx="1">
                  <c:v>7.2916666666666657E-2</c:v>
                </c:pt>
                <c:pt idx="2">
                  <c:v>0.20833333333333331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55-4187-99B5-7278F611A503}"/>
            </c:ext>
          </c:extLst>
        </c:ser>
        <c:ser>
          <c:idx val="2"/>
          <c:order val="2"/>
          <c:tx>
            <c:strRef>
              <c:f>'SS50091 rattle'!$T$11</c:f>
              <c:strCache>
                <c:ptCount val="1"/>
                <c:pt idx="0">
                  <c:v>Suc. (fixed leg)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'SS50091 rattle'!$Z$11:$AB$11</c:f>
                <c:numCache>
                  <c:formatCode>General</c:formatCode>
                  <c:ptCount val="3"/>
                  <c:pt idx="0">
                    <c:v>1.6286165832720245E-2</c:v>
                  </c:pt>
                  <c:pt idx="1">
                    <c:v>4.4736453912240022E-2</c:v>
                  </c:pt>
                  <c:pt idx="2">
                    <c:v>4.1666666666666671E-2</c:v>
                  </c:pt>
                </c:numCache>
              </c:numRef>
            </c:plus>
            <c:minus>
              <c:numRef>
                <c:f>'SS50091 rattle'!$Z$11:$AB$11</c:f>
                <c:numCache>
                  <c:formatCode>General</c:formatCode>
                  <c:ptCount val="3"/>
                  <c:pt idx="0">
                    <c:v>1.6286165832720245E-2</c:v>
                  </c:pt>
                  <c:pt idx="1">
                    <c:v>4.4736453912240022E-2</c:v>
                  </c:pt>
                  <c:pt idx="2">
                    <c:v>4.1666666666666671E-2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'SS50091 rattle'!$U$8:$W$8</c:f>
              <c:numCache>
                <c:formatCode>General</c:formatCode>
                <c:ptCount val="3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'SS50091 rattle'!$U$11:$W$11</c:f>
              <c:numCache>
                <c:formatCode>General</c:formatCode>
                <c:ptCount val="3"/>
                <c:pt idx="0">
                  <c:v>5.2083333333333329E-2</c:v>
                </c:pt>
                <c:pt idx="1">
                  <c:v>0.17708333333333334</c:v>
                </c:pt>
                <c:pt idx="2">
                  <c:v>0.33333333333333331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755-4187-99B5-7278F611A503}"/>
            </c:ext>
          </c:extLst>
        </c:ser>
        <c:ser>
          <c:idx val="3"/>
          <c:order val="3"/>
          <c:tx>
            <c:strRef>
              <c:f>'SS50091 rattle'!$T$12</c:f>
              <c:strCache>
                <c:ptCount val="1"/>
                <c:pt idx="0">
                  <c:v>Suc. (fixed leg) + 1% Geo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'SS50091 rattle'!$Z$12:$AB$12</c:f>
                <c:numCache>
                  <c:formatCode>General</c:formatCode>
                  <c:ptCount val="3"/>
                  <c:pt idx="0">
                    <c:v>2.4056261216234408E-2</c:v>
                  </c:pt>
                  <c:pt idx="1">
                    <c:v>2.4056261216234415E-2</c:v>
                  </c:pt>
                  <c:pt idx="2">
                    <c:v>3.5409857733283256E-2</c:v>
                  </c:pt>
                </c:numCache>
              </c:numRef>
            </c:plus>
            <c:minus>
              <c:numRef>
                <c:f>'SS50091 rattle'!$Z$12:$AB$12</c:f>
                <c:numCache>
                  <c:formatCode>General</c:formatCode>
                  <c:ptCount val="3"/>
                  <c:pt idx="0">
                    <c:v>2.4056261216234408E-2</c:v>
                  </c:pt>
                  <c:pt idx="1">
                    <c:v>2.4056261216234415E-2</c:v>
                  </c:pt>
                  <c:pt idx="2">
                    <c:v>3.5409857733283256E-2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'SS50091 rattle'!$U$8:$W$8</c:f>
              <c:numCache>
                <c:formatCode>General</c:formatCode>
                <c:ptCount val="3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'SS50091 rattle'!$U$12:$W$12</c:f>
              <c:numCache>
                <c:formatCode>General</c:formatCode>
                <c:ptCount val="3"/>
                <c:pt idx="0">
                  <c:v>4.1666666666666664E-2</c:v>
                </c:pt>
                <c:pt idx="1">
                  <c:v>0.16666666666666666</c:v>
                </c:pt>
                <c:pt idx="2">
                  <c:v>0.3125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755-4187-99B5-7278F611A5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3061519"/>
        <c:axId val="1633062479"/>
      </c:barChart>
      <c:catAx>
        <c:axId val="16330615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Suc. mM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3062479"/>
        <c:crosses val="autoZero"/>
        <c:auto val="1"/>
        <c:lblAlgn val="ctr"/>
        <c:lblOffset val="100"/>
        <c:noMultiLvlLbl val="0"/>
      </c:catAx>
      <c:valAx>
        <c:axId val="1633062479"/>
        <c:scaling>
          <c:orientation val="minMax"/>
          <c:max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Labellar PER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3061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000" b="1">
                <a:solidFill>
                  <a:sysClr val="windowText" lastClr="000000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Satiated state</a:t>
            </a:r>
            <a:r>
              <a:rPr lang="en-US" altLang="ko-KR" sz="1000" b="1" baseline="0">
                <a:solidFill>
                  <a:sysClr val="windowText" lastClr="000000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, SS47744 roundup</a:t>
            </a:r>
            <a:endParaRPr lang="en-US" altLang="ko-KR" sz="1000" b="1" i="1">
              <a:solidFill>
                <a:sysClr val="windowText" lastClr="000000"/>
              </a:solidFill>
              <a:effectLst/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'SS47744 roundup'!$T$9</c:f>
              <c:strCache>
                <c:ptCount val="1"/>
                <c:pt idx="0">
                  <c:v>Suc.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'SS47744 roundup'!$Z$9:$AB$9</c:f>
                <c:numCache>
                  <c:formatCode>General</c:formatCode>
                  <c:ptCount val="3"/>
                  <c:pt idx="0">
                    <c:v>2.4056261216234408E-2</c:v>
                  </c:pt>
                  <c:pt idx="1">
                    <c:v>3.1056499687497078E-2</c:v>
                  </c:pt>
                  <c:pt idx="2">
                    <c:v>4.1666666666666671E-2</c:v>
                  </c:pt>
                </c:numCache>
              </c:numRef>
            </c:plus>
            <c:minus>
              <c:numRef>
                <c:f>'SS47744 roundup'!$Z$9:$AB$9</c:f>
                <c:numCache>
                  <c:formatCode>General</c:formatCode>
                  <c:ptCount val="3"/>
                  <c:pt idx="0">
                    <c:v>2.4056261216234408E-2</c:v>
                  </c:pt>
                  <c:pt idx="1">
                    <c:v>3.1056499687497078E-2</c:v>
                  </c:pt>
                  <c:pt idx="2">
                    <c:v>4.1666666666666671E-2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'SS47744 roundup'!$U$8:$W$8</c:f>
              <c:numCache>
                <c:formatCode>General</c:formatCode>
                <c:ptCount val="3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'SS47744 roundup'!$U$9:$W$9</c:f>
              <c:numCache>
                <c:formatCode>General</c:formatCode>
                <c:ptCount val="3"/>
                <c:pt idx="0">
                  <c:v>4.1666666666666664E-2</c:v>
                </c:pt>
                <c:pt idx="1">
                  <c:v>0.125</c:v>
                </c:pt>
                <c:pt idx="2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0D-44D2-861B-1D796A68340B}"/>
            </c:ext>
          </c:extLst>
        </c:ser>
        <c:ser>
          <c:idx val="1"/>
          <c:order val="1"/>
          <c:tx>
            <c:strRef>
              <c:f>'SS47744 roundup'!$T$10</c:f>
              <c:strCache>
                <c:ptCount val="1"/>
                <c:pt idx="0">
                  <c:v>Suc. + 1% Geo.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'SS47744 roundup'!$Z$10:$AB$10</c:f>
                <c:numCache>
                  <c:formatCode>General</c:formatCode>
                  <c:ptCount val="3"/>
                  <c:pt idx="0">
                    <c:v>2.9462782549439487E-2</c:v>
                  </c:pt>
                  <c:pt idx="1">
                    <c:v>2.5983731852596809E-2</c:v>
                  </c:pt>
                  <c:pt idx="2">
                    <c:v>5.1031036307982884E-2</c:v>
                  </c:pt>
                </c:numCache>
              </c:numRef>
            </c:plus>
            <c:minus>
              <c:numRef>
                <c:f>'SS47744 roundup'!$Z$10:$AB$10</c:f>
                <c:numCache>
                  <c:formatCode>General</c:formatCode>
                  <c:ptCount val="3"/>
                  <c:pt idx="0">
                    <c:v>2.9462782549439487E-2</c:v>
                  </c:pt>
                  <c:pt idx="1">
                    <c:v>2.5983731852596809E-2</c:v>
                  </c:pt>
                  <c:pt idx="2">
                    <c:v>5.1031036307982884E-2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'SS47744 roundup'!$U$8:$W$8</c:f>
              <c:numCache>
                <c:formatCode>General</c:formatCode>
                <c:ptCount val="3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'SS47744 roundup'!$U$10:$W$10</c:f>
              <c:numCache>
                <c:formatCode>General</c:formatCode>
                <c:ptCount val="3"/>
                <c:pt idx="0">
                  <c:v>4.1666666666666664E-2</c:v>
                </c:pt>
                <c:pt idx="1">
                  <c:v>0.125</c:v>
                </c:pt>
                <c:pt idx="2">
                  <c:v>0.27083333333333331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0D-44D2-861B-1D796A68340B}"/>
            </c:ext>
          </c:extLst>
        </c:ser>
        <c:ser>
          <c:idx val="2"/>
          <c:order val="2"/>
          <c:tx>
            <c:strRef>
              <c:f>'SS47744 roundup'!$T$11</c:f>
              <c:strCache>
                <c:ptCount val="1"/>
                <c:pt idx="0">
                  <c:v>Suc. (fixed leg)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'SS47744 roundup'!$Z$11:$AB$11</c:f>
                <c:numCache>
                  <c:formatCode>General</c:formatCode>
                  <c:ptCount val="3"/>
                  <c:pt idx="0">
                    <c:v>4.0492721491981264E-2</c:v>
                  </c:pt>
                  <c:pt idx="1">
                    <c:v>4.6842838761222381E-2</c:v>
                  </c:pt>
                  <c:pt idx="2">
                    <c:v>7.3493091974016392E-2</c:v>
                  </c:pt>
                </c:numCache>
              </c:numRef>
            </c:plus>
            <c:minus>
              <c:numRef>
                <c:f>'SS47744 roundup'!$Z$11:$AB$11</c:f>
                <c:numCache>
                  <c:formatCode>General</c:formatCode>
                  <c:ptCount val="3"/>
                  <c:pt idx="0">
                    <c:v>4.0492721491981264E-2</c:v>
                  </c:pt>
                  <c:pt idx="1">
                    <c:v>4.6842838761222381E-2</c:v>
                  </c:pt>
                  <c:pt idx="2">
                    <c:v>7.3493091974016392E-2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'SS47744 roundup'!$U$8:$W$8</c:f>
              <c:numCache>
                <c:formatCode>General</c:formatCode>
                <c:ptCount val="3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'SS47744 roundup'!$U$11:$W$11</c:f>
              <c:numCache>
                <c:formatCode>General</c:formatCode>
                <c:ptCount val="3"/>
                <c:pt idx="0">
                  <c:v>6.25E-2</c:v>
                </c:pt>
                <c:pt idx="1">
                  <c:v>0.15625</c:v>
                </c:pt>
                <c:pt idx="2">
                  <c:v>0.29166666666666669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B0D-44D2-861B-1D796A68340B}"/>
            </c:ext>
          </c:extLst>
        </c:ser>
        <c:ser>
          <c:idx val="3"/>
          <c:order val="3"/>
          <c:tx>
            <c:strRef>
              <c:f>'SS47744 roundup'!$T$12</c:f>
              <c:strCache>
                <c:ptCount val="1"/>
                <c:pt idx="0">
                  <c:v>Suc. (fixed leg) + 1% Geo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'SS47744 roundup'!$Z$12:$AB$12</c:f>
                <c:numCache>
                  <c:formatCode>General</c:formatCode>
                  <c:ptCount val="3"/>
                  <c:pt idx="0">
                    <c:v>2.1404215288086732E-2</c:v>
                  </c:pt>
                  <c:pt idx="1">
                    <c:v>5.0794232077527084E-2</c:v>
                  </c:pt>
                  <c:pt idx="2">
                    <c:v>6.4400128440942422E-2</c:v>
                  </c:pt>
                </c:numCache>
              </c:numRef>
            </c:plus>
            <c:minus>
              <c:numRef>
                <c:f>'SS47744 roundup'!$Z$12:$AB$12</c:f>
                <c:numCache>
                  <c:formatCode>General</c:formatCode>
                  <c:ptCount val="3"/>
                  <c:pt idx="0">
                    <c:v>2.1404215288086732E-2</c:v>
                  </c:pt>
                  <c:pt idx="1">
                    <c:v>5.0794232077527084E-2</c:v>
                  </c:pt>
                  <c:pt idx="2">
                    <c:v>6.4400128440942422E-2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'SS47744 roundup'!$U$8:$W$8</c:f>
              <c:numCache>
                <c:formatCode>General</c:formatCode>
                <c:ptCount val="3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'SS47744 roundup'!$U$12:$W$12</c:f>
              <c:numCache>
                <c:formatCode>General</c:formatCode>
                <c:ptCount val="3"/>
                <c:pt idx="0">
                  <c:v>5.2083333333333329E-2</c:v>
                </c:pt>
                <c:pt idx="1">
                  <c:v>0.13541666666666666</c:v>
                </c:pt>
                <c:pt idx="2">
                  <c:v>0.27083333333333331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B0D-44D2-861B-1D796A6834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3061519"/>
        <c:axId val="1633062479"/>
      </c:barChart>
      <c:catAx>
        <c:axId val="16330615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Suc. mM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3062479"/>
        <c:crosses val="autoZero"/>
        <c:auto val="1"/>
        <c:lblAlgn val="ctr"/>
        <c:lblOffset val="100"/>
        <c:noMultiLvlLbl val="0"/>
      </c:catAx>
      <c:valAx>
        <c:axId val="1633062479"/>
        <c:scaling>
          <c:orientation val="minMax"/>
          <c:max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Labellar PER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3061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000" b="1">
                <a:solidFill>
                  <a:sysClr val="windowText" lastClr="000000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Satiated state</a:t>
            </a:r>
            <a:r>
              <a:rPr lang="en-US" altLang="ko-KR" sz="1000" b="1" baseline="0">
                <a:solidFill>
                  <a:sysClr val="windowText" lastClr="000000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, </a:t>
            </a:r>
            <a:r>
              <a:rPr lang="en-US" altLang="ko-KR" sz="1000" b="1" i="0" u="none" strike="noStrike" kern="1200" spc="0" baseline="0">
                <a:solidFill>
                  <a:sysClr val="windowText" lastClr="000000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SS37122 usnea</a:t>
            </a:r>
            <a:endParaRPr lang="en-US" altLang="ko-KR" sz="1000" b="1" i="1">
              <a:solidFill>
                <a:sysClr val="windowText" lastClr="000000"/>
              </a:solidFill>
              <a:effectLst/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'SS37122 usnea'!$T$9</c:f>
              <c:strCache>
                <c:ptCount val="1"/>
                <c:pt idx="0">
                  <c:v>Suc.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'SS37122 usnea'!$Z$9:$AB$9</c:f>
                <c:numCache>
                  <c:formatCode>General</c:formatCode>
                  <c:ptCount val="3"/>
                  <c:pt idx="0">
                    <c:v>1.6286165832720242E-2</c:v>
                  </c:pt>
                  <c:pt idx="1">
                    <c:v>2.1404215288086722E-2</c:v>
                  </c:pt>
                  <c:pt idx="2">
                    <c:v>5.9738369910018248E-2</c:v>
                  </c:pt>
                </c:numCache>
              </c:numRef>
            </c:plus>
            <c:minus>
              <c:numRef>
                <c:f>'SS37122 usnea'!$Z$9:$AB$9</c:f>
                <c:numCache>
                  <c:formatCode>General</c:formatCode>
                  <c:ptCount val="3"/>
                  <c:pt idx="0">
                    <c:v>1.6286165832720242E-2</c:v>
                  </c:pt>
                  <c:pt idx="1">
                    <c:v>2.1404215288086722E-2</c:v>
                  </c:pt>
                  <c:pt idx="2">
                    <c:v>5.9738369910018248E-2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'SS37122 usnea'!$U$8:$W$8</c:f>
              <c:numCache>
                <c:formatCode>General</c:formatCode>
                <c:ptCount val="3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'SS37122 usnea'!$U$9:$W$9</c:f>
              <c:numCache>
                <c:formatCode>General</c:formatCode>
                <c:ptCount val="3"/>
                <c:pt idx="0">
                  <c:v>3.125E-2</c:v>
                </c:pt>
                <c:pt idx="1">
                  <c:v>9.375E-2</c:v>
                </c:pt>
                <c:pt idx="2">
                  <c:v>0.3125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87-48E3-9CA7-24B116E15071}"/>
            </c:ext>
          </c:extLst>
        </c:ser>
        <c:ser>
          <c:idx val="1"/>
          <c:order val="1"/>
          <c:tx>
            <c:strRef>
              <c:f>'SS37122 usnea'!$T$10</c:f>
              <c:strCache>
                <c:ptCount val="1"/>
                <c:pt idx="0">
                  <c:v>Suc. + 1% Geo.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'SS37122 usnea'!$Z$10:$AB$10</c:f>
                <c:numCache>
                  <c:formatCode>General</c:formatCode>
                  <c:ptCount val="3"/>
                  <c:pt idx="0">
                    <c:v>1.7010345435994296E-2</c:v>
                  </c:pt>
                  <c:pt idx="1">
                    <c:v>2.5983731852596826E-2</c:v>
                  </c:pt>
                  <c:pt idx="2">
                    <c:v>5.4680610236193194E-2</c:v>
                  </c:pt>
                </c:numCache>
              </c:numRef>
            </c:plus>
            <c:minus>
              <c:numRef>
                <c:f>'SS37122 usnea'!$Z$10:$AB$10</c:f>
                <c:numCache>
                  <c:formatCode>General</c:formatCode>
                  <c:ptCount val="3"/>
                  <c:pt idx="0">
                    <c:v>1.7010345435994296E-2</c:v>
                  </c:pt>
                  <c:pt idx="1">
                    <c:v>2.5983731852596826E-2</c:v>
                  </c:pt>
                  <c:pt idx="2">
                    <c:v>5.4680610236193194E-2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'SS37122 usnea'!$U$8:$W$8</c:f>
              <c:numCache>
                <c:formatCode>General</c:formatCode>
                <c:ptCount val="3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'SS37122 usnea'!$U$10:$W$10</c:f>
              <c:numCache>
                <c:formatCode>General</c:formatCode>
                <c:ptCount val="3"/>
                <c:pt idx="0">
                  <c:v>4.1666666666666664E-2</c:v>
                </c:pt>
                <c:pt idx="1">
                  <c:v>0.10416666666666667</c:v>
                </c:pt>
                <c:pt idx="2">
                  <c:v>0.29166666666666663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87-48E3-9CA7-24B116E15071}"/>
            </c:ext>
          </c:extLst>
        </c:ser>
        <c:ser>
          <c:idx val="2"/>
          <c:order val="2"/>
          <c:tx>
            <c:strRef>
              <c:f>'SS37122 usnea'!$T$11</c:f>
              <c:strCache>
                <c:ptCount val="1"/>
                <c:pt idx="0">
                  <c:v>Suc. (fixed leg)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'SS37122 usnea'!$Z$11:$AB$11</c:f>
                <c:numCache>
                  <c:formatCode>General</c:formatCode>
                  <c:ptCount val="3"/>
                  <c:pt idx="0">
                    <c:v>4.0193878134688284E-2</c:v>
                  </c:pt>
                  <c:pt idx="1">
                    <c:v>5.6202826584161959E-2</c:v>
                  </c:pt>
                  <c:pt idx="2">
                    <c:v>6.8570894646290015E-2</c:v>
                  </c:pt>
                </c:numCache>
              </c:numRef>
            </c:plus>
            <c:minus>
              <c:numRef>
                <c:f>'SS37122 usnea'!$Z$11:$AB$11</c:f>
                <c:numCache>
                  <c:formatCode>General</c:formatCode>
                  <c:ptCount val="3"/>
                  <c:pt idx="0">
                    <c:v>4.0193878134688284E-2</c:v>
                  </c:pt>
                  <c:pt idx="1">
                    <c:v>5.6202826584161959E-2</c:v>
                  </c:pt>
                  <c:pt idx="2">
                    <c:v>6.8570894646290015E-2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'SS37122 usnea'!$U$8:$W$8</c:f>
              <c:numCache>
                <c:formatCode>General</c:formatCode>
                <c:ptCount val="3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'SS37122 usnea'!$U$11:$W$11</c:f>
              <c:numCache>
                <c:formatCode>General</c:formatCode>
                <c:ptCount val="3"/>
                <c:pt idx="0">
                  <c:v>7.2916666666666671E-2</c:v>
                </c:pt>
                <c:pt idx="1">
                  <c:v>0.17708333333333334</c:v>
                </c:pt>
                <c:pt idx="2">
                  <c:v>0.38541666666666663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C87-48E3-9CA7-24B116E15071}"/>
            </c:ext>
          </c:extLst>
        </c:ser>
        <c:ser>
          <c:idx val="3"/>
          <c:order val="3"/>
          <c:tx>
            <c:strRef>
              <c:f>'SS37122 usnea'!$T$12</c:f>
              <c:strCache>
                <c:ptCount val="1"/>
                <c:pt idx="0">
                  <c:v>Suc. (fixed leg) + 1% Geo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'SS37122 usnea'!$Z$12:$AB$12</c:f>
                <c:numCache>
                  <c:formatCode>General</c:formatCode>
                  <c:ptCount val="3"/>
                  <c:pt idx="0">
                    <c:v>2.4056261216234408E-2</c:v>
                  </c:pt>
                  <c:pt idx="1">
                    <c:v>4.8858497498160729E-2</c:v>
                  </c:pt>
                  <c:pt idx="2">
                    <c:v>6.9963339165312083E-2</c:v>
                  </c:pt>
                </c:numCache>
              </c:numRef>
            </c:plus>
            <c:minus>
              <c:numRef>
                <c:f>'SS37122 usnea'!$Z$12:$AB$12</c:f>
                <c:numCache>
                  <c:formatCode>General</c:formatCode>
                  <c:ptCount val="3"/>
                  <c:pt idx="0">
                    <c:v>2.4056261216234408E-2</c:v>
                  </c:pt>
                  <c:pt idx="1">
                    <c:v>4.8858497498160729E-2</c:v>
                  </c:pt>
                  <c:pt idx="2">
                    <c:v>6.9963339165312083E-2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'SS37122 usnea'!$U$8:$W$8</c:f>
              <c:numCache>
                <c:formatCode>General</c:formatCode>
                <c:ptCount val="3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'SS37122 usnea'!$U$12:$W$12</c:f>
              <c:numCache>
                <c:formatCode>General</c:formatCode>
                <c:ptCount val="3"/>
                <c:pt idx="0">
                  <c:v>4.1666666666666664E-2</c:v>
                </c:pt>
                <c:pt idx="1">
                  <c:v>0.15625</c:v>
                </c:pt>
                <c:pt idx="2">
                  <c:v>0.38541666666666669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C87-48E3-9CA7-24B116E150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3061519"/>
        <c:axId val="1633062479"/>
      </c:barChart>
      <c:catAx>
        <c:axId val="16330615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Suc. mM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3062479"/>
        <c:crosses val="autoZero"/>
        <c:auto val="1"/>
        <c:lblAlgn val="ctr"/>
        <c:lblOffset val="100"/>
        <c:noMultiLvlLbl val="0"/>
      </c:catAx>
      <c:valAx>
        <c:axId val="1633062479"/>
        <c:scaling>
          <c:orientation val="minMax"/>
          <c:max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Labellar PER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3061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000" b="1">
                <a:solidFill>
                  <a:sysClr val="windowText" lastClr="000000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Satiated state</a:t>
            </a:r>
            <a:r>
              <a:rPr lang="en-US" altLang="ko-KR" sz="1000" b="1" baseline="0">
                <a:solidFill>
                  <a:sysClr val="windowText" lastClr="000000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, </a:t>
            </a:r>
            <a:r>
              <a:rPr lang="en-US" altLang="ko-KR" sz="1000" b="1" i="0" u="none" strike="noStrike" kern="1200" spc="0" baseline="0">
                <a:solidFill>
                  <a:sysClr val="windowText" lastClr="000000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SS35420 meteor</a:t>
            </a:r>
            <a:endParaRPr lang="en-US" altLang="ko-KR" sz="1000" b="1" i="1">
              <a:solidFill>
                <a:sysClr val="windowText" lastClr="000000"/>
              </a:solidFill>
              <a:effectLst/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'SS35420 meteor'!$T$9</c:f>
              <c:strCache>
                <c:ptCount val="1"/>
                <c:pt idx="0">
                  <c:v>Suc.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'SS35420 meteor'!$Z$9:$AB$9</c:f>
                <c:numCache>
                  <c:formatCode>General</c:formatCode>
                  <c:ptCount val="3"/>
                  <c:pt idx="0">
                    <c:v>4.4736453912240036E-2</c:v>
                  </c:pt>
                  <c:pt idx="1">
                    <c:v>4.4736453912240182E-2</c:v>
                  </c:pt>
                  <c:pt idx="2">
                    <c:v>5.9536209025979996E-2</c:v>
                  </c:pt>
                </c:numCache>
              </c:numRef>
            </c:plus>
            <c:minus>
              <c:numRef>
                <c:f>'SS35420 meteor'!$Z$9:$AB$9</c:f>
                <c:numCache>
                  <c:formatCode>General</c:formatCode>
                  <c:ptCount val="3"/>
                  <c:pt idx="0">
                    <c:v>4.4736453912240036E-2</c:v>
                  </c:pt>
                  <c:pt idx="1">
                    <c:v>4.4736453912240182E-2</c:v>
                  </c:pt>
                  <c:pt idx="2">
                    <c:v>5.9536209025979996E-2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'SS35420 meteor'!$U$8:$W$8</c:f>
              <c:numCache>
                <c:formatCode>General</c:formatCode>
                <c:ptCount val="3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'SS35420 meteor'!$U$9:$W$9</c:f>
              <c:numCache>
                <c:formatCode>General</c:formatCode>
                <c:ptCount val="3"/>
                <c:pt idx="0">
                  <c:v>0.19791666666666666</c:v>
                </c:pt>
                <c:pt idx="1">
                  <c:v>0.51041666666666663</c:v>
                </c:pt>
                <c:pt idx="2">
                  <c:v>0.67708333333333337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7B-46BA-9F72-10B89120D352}"/>
            </c:ext>
          </c:extLst>
        </c:ser>
        <c:ser>
          <c:idx val="1"/>
          <c:order val="1"/>
          <c:tx>
            <c:strRef>
              <c:f>'SS35420 meteor'!$T$10</c:f>
              <c:strCache>
                <c:ptCount val="1"/>
                <c:pt idx="0">
                  <c:v>Suc. + 1% Geo.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'SS35420 meteor'!$Z$10:$AB$10</c:f>
                <c:numCache>
                  <c:formatCode>General</c:formatCode>
                  <c:ptCount val="3"/>
                  <c:pt idx="0">
                    <c:v>4.5005143738943487E-2</c:v>
                  </c:pt>
                  <c:pt idx="1">
                    <c:v>5.4680610236193236E-2</c:v>
                  </c:pt>
                  <c:pt idx="2">
                    <c:v>7.0819715466566416E-2</c:v>
                  </c:pt>
                </c:numCache>
              </c:numRef>
            </c:plus>
            <c:minus>
              <c:numRef>
                <c:f>'SS35420 meteor'!$Z$10:$AB$10</c:f>
                <c:numCache>
                  <c:formatCode>General</c:formatCode>
                  <c:ptCount val="3"/>
                  <c:pt idx="0">
                    <c:v>4.5005143738943487E-2</c:v>
                  </c:pt>
                  <c:pt idx="1">
                    <c:v>5.4680610236193236E-2</c:v>
                  </c:pt>
                  <c:pt idx="2">
                    <c:v>7.0819715466566416E-2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'SS35420 meteor'!$U$8:$W$8</c:f>
              <c:numCache>
                <c:formatCode>General</c:formatCode>
                <c:ptCount val="3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'SS35420 meteor'!$U$10:$W$10</c:f>
              <c:numCache>
                <c:formatCode>General</c:formatCode>
                <c:ptCount val="3"/>
                <c:pt idx="0">
                  <c:v>0.1875</c:v>
                </c:pt>
                <c:pt idx="1">
                  <c:v>0.48958333333333331</c:v>
                </c:pt>
                <c:pt idx="2">
                  <c:v>0.6875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7B-46BA-9F72-10B89120D352}"/>
            </c:ext>
          </c:extLst>
        </c:ser>
        <c:ser>
          <c:idx val="2"/>
          <c:order val="2"/>
          <c:tx>
            <c:strRef>
              <c:f>'SS35420 meteor'!$T$11</c:f>
              <c:strCache>
                <c:ptCount val="1"/>
                <c:pt idx="0">
                  <c:v>Suc. (fixed leg)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'SS35420 meteor'!$Z$11:$AB$11</c:f>
                <c:numCache>
                  <c:formatCode>General</c:formatCode>
                  <c:ptCount val="3"/>
                  <c:pt idx="0">
                    <c:v>6.9444444444444434E-2</c:v>
                  </c:pt>
                  <c:pt idx="1">
                    <c:v>4.8858497498160729E-2</c:v>
                  </c:pt>
                  <c:pt idx="2">
                    <c:v>5.9536209025979996E-2</c:v>
                  </c:pt>
                </c:numCache>
              </c:numRef>
            </c:plus>
            <c:minus>
              <c:numRef>
                <c:f>'SS35420 meteor'!$Z$11:$AB$11</c:f>
                <c:numCache>
                  <c:formatCode>General</c:formatCode>
                  <c:ptCount val="3"/>
                  <c:pt idx="0">
                    <c:v>6.9444444444444434E-2</c:v>
                  </c:pt>
                  <c:pt idx="1">
                    <c:v>4.8858497498160729E-2</c:v>
                  </c:pt>
                  <c:pt idx="2">
                    <c:v>5.9536209025979996E-2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'SS35420 meteor'!$U$8:$W$8</c:f>
              <c:numCache>
                <c:formatCode>General</c:formatCode>
                <c:ptCount val="3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'SS35420 meteor'!$U$11:$W$11</c:f>
              <c:numCache>
                <c:formatCode>General</c:formatCode>
                <c:ptCount val="3"/>
                <c:pt idx="0">
                  <c:v>0.20833333333333334</c:v>
                </c:pt>
                <c:pt idx="1">
                  <c:v>0.53125</c:v>
                </c:pt>
                <c:pt idx="2">
                  <c:v>0.67708333333333337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47B-46BA-9F72-10B89120D352}"/>
            </c:ext>
          </c:extLst>
        </c:ser>
        <c:ser>
          <c:idx val="3"/>
          <c:order val="3"/>
          <c:tx>
            <c:strRef>
              <c:f>'SS35420 meteor'!$T$12</c:f>
              <c:strCache>
                <c:ptCount val="1"/>
                <c:pt idx="0">
                  <c:v>Suc. (fixed leg) + 1% Geo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'SS35420 meteor'!$Z$12:$AB$12</c:f>
                <c:numCache>
                  <c:formatCode>General</c:formatCode>
                  <c:ptCount val="3"/>
                  <c:pt idx="0">
                    <c:v>6.2884619014843185E-2</c:v>
                  </c:pt>
                  <c:pt idx="1">
                    <c:v>5.2887313235165968E-2</c:v>
                  </c:pt>
                  <c:pt idx="2">
                    <c:v>7.2168783648703397E-2</c:v>
                  </c:pt>
                </c:numCache>
              </c:numRef>
            </c:plus>
            <c:minus>
              <c:numRef>
                <c:f>'SS35420 meteor'!$Z$12:$AB$12</c:f>
                <c:numCache>
                  <c:formatCode>General</c:formatCode>
                  <c:ptCount val="3"/>
                  <c:pt idx="0">
                    <c:v>6.2884619014843185E-2</c:v>
                  </c:pt>
                  <c:pt idx="1">
                    <c:v>5.2887313235165968E-2</c:v>
                  </c:pt>
                  <c:pt idx="2">
                    <c:v>7.2168783648703397E-2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'SS35420 meteor'!$U$8:$W$8</c:f>
              <c:numCache>
                <c:formatCode>General</c:formatCode>
                <c:ptCount val="3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'SS35420 meteor'!$U$12:$W$12</c:f>
              <c:numCache>
                <c:formatCode>General</c:formatCode>
                <c:ptCount val="3"/>
                <c:pt idx="0">
                  <c:v>0.1875</c:v>
                </c:pt>
                <c:pt idx="1">
                  <c:v>0.52083333333333337</c:v>
                </c:pt>
                <c:pt idx="2">
                  <c:v>0.66666666666666663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47B-46BA-9F72-10B89120D3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3061519"/>
        <c:axId val="1633062479"/>
      </c:barChart>
      <c:catAx>
        <c:axId val="16330615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Suc. mM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3062479"/>
        <c:crosses val="autoZero"/>
        <c:auto val="1"/>
        <c:lblAlgn val="ctr"/>
        <c:lblOffset val="100"/>
        <c:noMultiLvlLbl val="0"/>
      </c:catAx>
      <c:valAx>
        <c:axId val="1633062479"/>
        <c:scaling>
          <c:orientation val="minMax"/>
          <c:max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Labellar PER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3061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30480</xdr:colOff>
      <xdr:row>16</xdr:row>
      <xdr:rowOff>27622</xdr:rowOff>
    </xdr:from>
    <xdr:to>
      <xdr:col>26</xdr:col>
      <xdr:colOff>268605</xdr:colOff>
      <xdr:row>36</xdr:row>
      <xdr:rowOff>103822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A80962-7935-455C-BB96-A9C5345B13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30480</xdr:colOff>
      <xdr:row>16</xdr:row>
      <xdr:rowOff>27622</xdr:rowOff>
    </xdr:from>
    <xdr:to>
      <xdr:col>26</xdr:col>
      <xdr:colOff>268605</xdr:colOff>
      <xdr:row>36</xdr:row>
      <xdr:rowOff>103822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0B098B-C0E4-4334-A583-235F20FB14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30480</xdr:colOff>
      <xdr:row>16</xdr:row>
      <xdr:rowOff>27622</xdr:rowOff>
    </xdr:from>
    <xdr:to>
      <xdr:col>26</xdr:col>
      <xdr:colOff>268605</xdr:colOff>
      <xdr:row>36</xdr:row>
      <xdr:rowOff>103822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011875-E9DE-4274-8CCE-7CEE22EA3E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30480</xdr:colOff>
      <xdr:row>16</xdr:row>
      <xdr:rowOff>27622</xdr:rowOff>
    </xdr:from>
    <xdr:to>
      <xdr:col>26</xdr:col>
      <xdr:colOff>268605</xdr:colOff>
      <xdr:row>36</xdr:row>
      <xdr:rowOff>103822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64B953-A5BC-4FC0-B099-21B29D96FA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30480</xdr:colOff>
      <xdr:row>16</xdr:row>
      <xdr:rowOff>27622</xdr:rowOff>
    </xdr:from>
    <xdr:to>
      <xdr:col>26</xdr:col>
      <xdr:colOff>268605</xdr:colOff>
      <xdr:row>36</xdr:row>
      <xdr:rowOff>103822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98127A-69F1-4803-8AE3-F78C3F45D3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30480</xdr:colOff>
      <xdr:row>16</xdr:row>
      <xdr:rowOff>27622</xdr:rowOff>
    </xdr:from>
    <xdr:to>
      <xdr:col>26</xdr:col>
      <xdr:colOff>268605</xdr:colOff>
      <xdr:row>36</xdr:row>
      <xdr:rowOff>103822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6BD2CC-6E58-4069-B753-7E7493B88B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30480</xdr:colOff>
      <xdr:row>16</xdr:row>
      <xdr:rowOff>27622</xdr:rowOff>
    </xdr:from>
    <xdr:to>
      <xdr:col>26</xdr:col>
      <xdr:colOff>268605</xdr:colOff>
      <xdr:row>36</xdr:row>
      <xdr:rowOff>103822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211C0B-82A0-454C-9E4B-4AA35668AB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30480</xdr:colOff>
      <xdr:row>16</xdr:row>
      <xdr:rowOff>27622</xdr:rowOff>
    </xdr:from>
    <xdr:to>
      <xdr:col>26</xdr:col>
      <xdr:colOff>268605</xdr:colOff>
      <xdr:row>36</xdr:row>
      <xdr:rowOff>103822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09E147A-D92D-4313-1BC1-B2A5EF5C7E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30480</xdr:colOff>
      <xdr:row>16</xdr:row>
      <xdr:rowOff>27622</xdr:rowOff>
    </xdr:from>
    <xdr:to>
      <xdr:col>26</xdr:col>
      <xdr:colOff>268605</xdr:colOff>
      <xdr:row>36</xdr:row>
      <xdr:rowOff>103822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1222FE-5B53-4160-89B9-E6F3B2A412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30480</xdr:colOff>
      <xdr:row>16</xdr:row>
      <xdr:rowOff>27622</xdr:rowOff>
    </xdr:from>
    <xdr:to>
      <xdr:col>26</xdr:col>
      <xdr:colOff>268605</xdr:colOff>
      <xdr:row>36</xdr:row>
      <xdr:rowOff>103822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1FE26B-DDC0-44E6-90AA-FA67F1BC09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ilan\My%20Drive%20(dilandesilvakr@gmail.com)\Yonsei%20-%20GMAIL\1.%20Geo_2025%20-%20FLY%20RESEARCH\3.%20THIS%20WEEK%20REPORTs\x_THIS%20WEEK%20REPORT%20-%2025.12.28\SEZ%20hits%20silencing%20dose%20-%20fix%20leg%20-%20lab,%20tar%20-%20suc.%20&amp;%20geo.%20251228.xlsx" TargetMode="External"/><Relationship Id="rId1" Type="http://schemas.openxmlformats.org/officeDocument/2006/relationships/externalLinkPath" Target="/Users/dilan/My%20Drive%20(dilandesilvakr@gmail.com)/Yonsei%20-%20GMAIL/1.%20Geo_2025%20-%20FLY%20RESEARCH/3.%20THIS%20WEEK%20REPORTs/x_THIS%20WEEK%20REPORT%20-%2025.12.28/SEZ%20hits%20silencing%20dose%20-%20fix%20leg%20-%20lab,%20tar%20-%20suc.%20&amp;%20geo.%20251228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ilan\My%20Drive%20(dilandesilvakr@gmail.com)\Yonsei%20-%20GMAIL\1.%20Geo_2025%20-%20FLY%20RESEARCH\3.%20THIS%20WEEK%20REPORTs\x_THIS%20WEEK%20REPORT%20-%2025.12.21\SEZ%20hits%20silencing%20dose%20-%20fix%20leg%20-%20lab,%20tar%20-%20suc.%20&amp;%20geo.%20251221.xlsx" TargetMode="External"/><Relationship Id="rId1" Type="http://schemas.openxmlformats.org/officeDocument/2006/relationships/externalLinkPath" Target="/Users/dilan/My%20Drive%20(dilandesilvakr@gmail.com)/Yonsei%20-%20GMAIL/1.%20Geo_2025%20-%20FLY%20RESEARCH/3.%20THIS%20WEEK%20REPORTs/x_THIS%20WEEK%20REPORT%20-%2025.12.21/SEZ%20hits%20silencing%20dose%20-%20fix%20leg%20-%20lab,%20tar%20-%20suc.%20&amp;%20geo.%202512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S47080 G2N-1"/>
      <sheetName val="SSS46885 TH-VUM"/>
      <sheetName val="SS31386 bract"/>
      <sheetName val="Sheet2"/>
    </sheetNames>
    <sheetDataSet>
      <sheetData sheetId="0">
        <row r="8">
          <cell r="U8">
            <v>10</v>
          </cell>
          <cell r="V8">
            <v>50</v>
          </cell>
          <cell r="W8">
            <v>100</v>
          </cell>
        </row>
        <row r="9">
          <cell r="T9" t="str">
            <v>Suc.</v>
          </cell>
          <cell r="U9">
            <v>5.2083333333333329E-2</v>
          </cell>
          <cell r="V9">
            <v>0.19791666666666666</v>
          </cell>
          <cell r="W9">
            <v>0.39583333333333331</v>
          </cell>
          <cell r="Z9">
            <v>3.2200064220471197E-2</v>
          </cell>
          <cell r="AA9">
            <v>5.4459677574160176E-2</v>
          </cell>
          <cell r="AB9">
            <v>5.8101390731533059E-2</v>
          </cell>
        </row>
        <row r="10">
          <cell r="T10" t="str">
            <v>Suc. + 1% Geo.</v>
          </cell>
          <cell r="U10">
            <v>3.125E-2</v>
          </cell>
          <cell r="V10">
            <v>0.16666666666666666</v>
          </cell>
          <cell r="W10">
            <v>0.375</v>
          </cell>
          <cell r="Z10">
            <v>3.9283710065919311E-2</v>
          </cell>
          <cell r="AA10">
            <v>5.468061023619316E-2</v>
          </cell>
          <cell r="AB10">
            <v>3.402069087198839E-2</v>
          </cell>
        </row>
        <row r="11">
          <cell r="T11" t="str">
            <v>Suc. (fixed leg)</v>
          </cell>
          <cell r="U11">
            <v>6.25E-2</v>
          </cell>
          <cell r="V11">
            <v>0.27083333333333331</v>
          </cell>
          <cell r="W11">
            <v>0.41666666666666663</v>
          </cell>
          <cell r="Z11">
            <v>2.1960261528947082E-2</v>
          </cell>
          <cell r="AA11">
            <v>4.0492721491981305E-2</v>
          </cell>
          <cell r="AB11">
            <v>4.1666666666666741E-2</v>
          </cell>
        </row>
        <row r="12">
          <cell r="T12" t="str">
            <v>Suc. (fixed leg) + 1% Geo</v>
          </cell>
          <cell r="U12">
            <v>4.1666666666666664E-2</v>
          </cell>
          <cell r="V12">
            <v>0.26041666666666663</v>
          </cell>
          <cell r="W12">
            <v>0.42708333333333337</v>
          </cell>
          <cell r="Z12">
            <v>1.3888888888888893E-2</v>
          </cell>
          <cell r="AA12">
            <v>4.4736453912240071E-2</v>
          </cell>
          <cell r="AB12">
            <v>4.4736453912240036E-2</v>
          </cell>
        </row>
      </sheetData>
      <sheetData sheetId="1">
        <row r="8">
          <cell r="U8">
            <v>10</v>
          </cell>
          <cell r="V8">
            <v>50</v>
          </cell>
          <cell r="W8">
            <v>100</v>
          </cell>
        </row>
        <row r="9">
          <cell r="T9" t="str">
            <v>Suc.</v>
          </cell>
          <cell r="U9">
            <v>1.0416666666666666E-2</v>
          </cell>
          <cell r="V9">
            <v>0.13541666666666666</v>
          </cell>
          <cell r="W9">
            <v>0.36458333333333337</v>
          </cell>
          <cell r="Z9">
            <v>8.5051727179971462E-3</v>
          </cell>
          <cell r="AA9">
            <v>3.7717987816667423E-2</v>
          </cell>
          <cell r="AB9">
            <v>5.0794232077527E-2</v>
          </cell>
        </row>
        <row r="10">
          <cell r="T10" t="str">
            <v>Suc. + 1% Geo.</v>
          </cell>
          <cell r="U10">
            <v>2.0833333333333332E-2</v>
          </cell>
          <cell r="V10">
            <v>0.13541666666666666</v>
          </cell>
          <cell r="W10">
            <v>0.36458333333333331</v>
          </cell>
          <cell r="Z10">
            <v>9.8209275164798278E-3</v>
          </cell>
          <cell r="AA10">
            <v>2.5983731852596826E-2</v>
          </cell>
          <cell r="AB10">
            <v>5.9738369910018324E-2</v>
          </cell>
        </row>
        <row r="11">
          <cell r="T11" t="str">
            <v>Suc. (fixed leg)</v>
          </cell>
          <cell r="U11">
            <v>3.125E-2</v>
          </cell>
          <cell r="V11">
            <v>0.1875</v>
          </cell>
          <cell r="W11">
            <v>0.35416666666666669</v>
          </cell>
          <cell r="Z11">
            <v>1.6286165832720242E-2</v>
          </cell>
          <cell r="AA11">
            <v>3.2572331665440497E-2</v>
          </cell>
          <cell r="AB11">
            <v>4.5005143738943432E-2</v>
          </cell>
        </row>
        <row r="12">
          <cell r="T12" t="str">
            <v>Suc. (fixed leg) + 1% Geo</v>
          </cell>
          <cell r="U12">
            <v>2.0833333333333332E-2</v>
          </cell>
          <cell r="V12">
            <v>0.15625</v>
          </cell>
          <cell r="W12">
            <v>0.38541666666666663</v>
          </cell>
          <cell r="Z12">
            <v>9.8209275164798278E-3</v>
          </cell>
          <cell r="AA12">
            <v>3.7717987816667423E-2</v>
          </cell>
          <cell r="AB12">
            <v>4.2525863589985835E-2</v>
          </cell>
        </row>
      </sheetData>
      <sheetData sheetId="2">
        <row r="8">
          <cell r="U8">
            <v>10</v>
          </cell>
          <cell r="V8">
            <v>50</v>
          </cell>
          <cell r="W8">
            <v>100</v>
          </cell>
        </row>
        <row r="9">
          <cell r="T9" t="str">
            <v>Suc.</v>
          </cell>
          <cell r="U9">
            <v>9.375E-2</v>
          </cell>
          <cell r="V9">
            <v>0.26041666666666663</v>
          </cell>
          <cell r="W9">
            <v>0.39583333333333331</v>
          </cell>
          <cell r="Z9">
            <v>4.4736453912240022E-2</v>
          </cell>
          <cell r="AA9">
            <v>4.4736453912240071E-2</v>
          </cell>
          <cell r="AB9">
            <v>4.0492721491981305E-2</v>
          </cell>
        </row>
        <row r="10">
          <cell r="T10" t="str">
            <v>Suc. + 1% Geo.</v>
          </cell>
          <cell r="U10">
            <v>6.25E-2</v>
          </cell>
          <cell r="V10">
            <v>0.26041666666666663</v>
          </cell>
          <cell r="W10">
            <v>0.375</v>
          </cell>
          <cell r="Z10">
            <v>4.5005143738943473E-2</v>
          </cell>
          <cell r="AA10">
            <v>4.5005143738943501E-2</v>
          </cell>
          <cell r="AB10">
            <v>3.540985773328334E-2</v>
          </cell>
        </row>
        <row r="11">
          <cell r="T11" t="str">
            <v>Suc. (fixed leg)</v>
          </cell>
          <cell r="U11">
            <v>7.2916666666666657E-2</v>
          </cell>
          <cell r="V11">
            <v>0.39583333333333331</v>
          </cell>
          <cell r="W11">
            <v>0.4375</v>
          </cell>
          <cell r="Z11">
            <v>2.9050695365766516E-2</v>
          </cell>
          <cell r="AA11">
            <v>7.1497431534632019E-2</v>
          </cell>
          <cell r="AB11">
            <v>6.2884619014843185E-2</v>
          </cell>
        </row>
        <row r="12">
          <cell r="T12" t="str">
            <v>Suc. (fixed leg) + 1% Geo</v>
          </cell>
          <cell r="U12">
            <v>9.375E-2</v>
          </cell>
          <cell r="V12">
            <v>0.37499999999999994</v>
          </cell>
          <cell r="W12">
            <v>0.41666666666666663</v>
          </cell>
          <cell r="Z12">
            <v>2.9050695365766516E-2</v>
          </cell>
          <cell r="AA12">
            <v>7.2168783648703355E-2</v>
          </cell>
          <cell r="AB12">
            <v>5.7265355911356515E-2</v>
          </cell>
        </row>
      </sheetData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T Kir2.1"/>
      <sheetName val="SS48947 clavicle"/>
      <sheetName val="SS50091 rattle"/>
      <sheetName val="SS48944 FMIn"/>
      <sheetName val="Sheet2"/>
    </sheetNames>
    <sheetDataSet>
      <sheetData sheetId="0">
        <row r="8">
          <cell r="U8">
            <v>10</v>
          </cell>
          <cell r="V8">
            <v>50</v>
          </cell>
          <cell r="W8">
            <v>100</v>
          </cell>
        </row>
        <row r="9">
          <cell r="T9" t="str">
            <v>Suc.</v>
          </cell>
          <cell r="U9">
            <v>0.23958333333333334</v>
          </cell>
          <cell r="V9">
            <v>0.36458333333333331</v>
          </cell>
          <cell r="W9">
            <v>0.57291666666666674</v>
          </cell>
          <cell r="Z9">
            <v>3.7717987816667423E-2</v>
          </cell>
          <cell r="AA9">
            <v>3.7717987816667541E-2</v>
          </cell>
          <cell r="AB9">
            <v>5.7893513890739733E-2</v>
          </cell>
        </row>
        <row r="10">
          <cell r="T10" t="str">
            <v>Suc. + 1% Geo.</v>
          </cell>
          <cell r="U10">
            <v>0.20833333333333337</v>
          </cell>
          <cell r="V10">
            <v>0.36458333333333337</v>
          </cell>
          <cell r="W10">
            <v>0.5625</v>
          </cell>
          <cell r="Z10">
            <v>3.9283710065919276E-2</v>
          </cell>
          <cell r="AA10">
            <v>4.5005143738943501E-2</v>
          </cell>
          <cell r="AB10">
            <v>6.8746492615358826E-2</v>
          </cell>
        </row>
        <row r="11">
          <cell r="T11" t="str">
            <v>Suc. (fixed leg)</v>
          </cell>
          <cell r="U11">
            <v>0.41666666666666669</v>
          </cell>
          <cell r="V11">
            <v>0.47916666666666663</v>
          </cell>
          <cell r="W11">
            <v>0.59375</v>
          </cell>
          <cell r="Z11">
            <v>5.7265355911356404E-2</v>
          </cell>
          <cell r="AA11">
            <v>5.2887313235166093E-2</v>
          </cell>
          <cell r="AB11">
            <v>6.1134780769649254E-2</v>
          </cell>
        </row>
        <row r="12">
          <cell r="T12" t="str">
            <v>Suc. (fixed leg) + 1% Geo</v>
          </cell>
          <cell r="U12">
            <v>0.35416666666666663</v>
          </cell>
          <cell r="V12">
            <v>0.4375</v>
          </cell>
          <cell r="W12">
            <v>0.57291666666666674</v>
          </cell>
          <cell r="Z12">
            <v>4.2808430576173478E-2</v>
          </cell>
          <cell r="AA12">
            <v>4.2808430576173478E-2</v>
          </cell>
          <cell r="AB12">
            <v>5.6202826584161834E-2</v>
          </cell>
        </row>
      </sheetData>
      <sheetData sheetId="1">
        <row r="8">
          <cell r="U8">
            <v>10</v>
          </cell>
          <cell r="V8">
            <v>50</v>
          </cell>
          <cell r="W8">
            <v>100</v>
          </cell>
        </row>
        <row r="9">
          <cell r="T9" t="str">
            <v>Suc.</v>
          </cell>
          <cell r="U9">
            <v>7.2916666666666671E-2</v>
          </cell>
          <cell r="V9">
            <v>0.15625</v>
          </cell>
          <cell r="W9">
            <v>0.28125</v>
          </cell>
          <cell r="Z9">
            <v>2.9050695365766512E-2</v>
          </cell>
          <cell r="AA9">
            <v>4.6842838761222381E-2</v>
          </cell>
          <cell r="AB9">
            <v>4.4736453912240036E-2</v>
          </cell>
        </row>
        <row r="10">
          <cell r="T10" t="str">
            <v>Suc. + 1% Geo.</v>
          </cell>
          <cell r="U10">
            <v>2.0833333333333332E-2</v>
          </cell>
          <cell r="V10">
            <v>0.13541666666666666</v>
          </cell>
          <cell r="W10">
            <v>0.28125</v>
          </cell>
          <cell r="Z10">
            <v>2.5983731852596812E-2</v>
          </cell>
          <cell r="AA10">
            <v>4.2808430576173451E-2</v>
          </cell>
          <cell r="AB10">
            <v>4.9104637582399177E-2</v>
          </cell>
        </row>
        <row r="11">
          <cell r="T11" t="str">
            <v>Suc. (fixed leg)</v>
          </cell>
          <cell r="U11">
            <v>0.10416666666666666</v>
          </cell>
          <cell r="V11">
            <v>0.27083333333333337</v>
          </cell>
          <cell r="W11">
            <v>0.40625</v>
          </cell>
          <cell r="Z11">
            <v>4.0492721491981264E-2</v>
          </cell>
          <cell r="AA11">
            <v>2.946278254943948E-2</v>
          </cell>
          <cell r="AB11">
            <v>4.0193878134688318E-2</v>
          </cell>
        </row>
        <row r="12">
          <cell r="T12" t="str">
            <v>Suc. (fixed leg) + 1% Geo</v>
          </cell>
          <cell r="U12">
            <v>7.2916666666666671E-2</v>
          </cell>
          <cell r="V12">
            <v>0.23958333333333337</v>
          </cell>
          <cell r="W12">
            <v>0.39583333333333331</v>
          </cell>
          <cell r="Z12">
            <v>4.0193878134688284E-2</v>
          </cell>
          <cell r="AA12">
            <v>5.6202826584161959E-2</v>
          </cell>
          <cell r="AB12">
            <v>4.0492721491981305E-2</v>
          </cell>
        </row>
      </sheetData>
      <sheetData sheetId="2">
        <row r="8">
          <cell r="U8">
            <v>10</v>
          </cell>
          <cell r="V8">
            <v>50</v>
          </cell>
          <cell r="W8">
            <v>100</v>
          </cell>
        </row>
        <row r="9">
          <cell r="T9" t="str">
            <v>Suc.</v>
          </cell>
          <cell r="U9">
            <v>7.2916666666666671E-2</v>
          </cell>
          <cell r="V9">
            <v>0.125</v>
          </cell>
          <cell r="W9">
            <v>0.22916666666666666</v>
          </cell>
          <cell r="Z9">
            <v>2.9050695365766512E-2</v>
          </cell>
          <cell r="AA9">
            <v>3.9283710065919318E-2</v>
          </cell>
          <cell r="AB9">
            <v>4.5005143738943501E-2</v>
          </cell>
        </row>
        <row r="10">
          <cell r="T10" t="str">
            <v>Suc. + 1% Geo.</v>
          </cell>
          <cell r="U10">
            <v>2.0833333333333332E-2</v>
          </cell>
          <cell r="V10">
            <v>7.2916666666666657E-2</v>
          </cell>
          <cell r="W10">
            <v>0.20833333333333331</v>
          </cell>
          <cell r="Z10">
            <v>2.5983731852596812E-2</v>
          </cell>
          <cell r="AA10">
            <v>3.9283710065919311E-2</v>
          </cell>
          <cell r="AB10">
            <v>5.468061023619316E-2</v>
          </cell>
        </row>
        <row r="11">
          <cell r="T11" t="str">
            <v>Suc. (fixed leg)</v>
          </cell>
          <cell r="U11">
            <v>5.2083333333333329E-2</v>
          </cell>
          <cell r="V11">
            <v>0.17708333333333334</v>
          </cell>
          <cell r="W11">
            <v>0.33333333333333331</v>
          </cell>
          <cell r="Z11">
            <v>1.6286165832720245E-2</v>
          </cell>
          <cell r="AA11">
            <v>4.4736453912240022E-2</v>
          </cell>
          <cell r="AB11">
            <v>4.1666666666666671E-2</v>
          </cell>
        </row>
        <row r="12">
          <cell r="T12" t="str">
            <v>Suc. (fixed leg) + 1% Geo</v>
          </cell>
          <cell r="U12">
            <v>4.1666666666666664E-2</v>
          </cell>
          <cell r="V12">
            <v>0.16666666666666666</v>
          </cell>
          <cell r="W12">
            <v>0.3125</v>
          </cell>
          <cell r="Z12">
            <v>2.4056261216234408E-2</v>
          </cell>
          <cell r="AA12">
            <v>2.4056261216234415E-2</v>
          </cell>
          <cell r="AB12">
            <v>3.5409857733283256E-2</v>
          </cell>
        </row>
      </sheetData>
      <sheetData sheetId="3">
        <row r="8">
          <cell r="U8">
            <v>10</v>
          </cell>
          <cell r="V8">
            <v>50</v>
          </cell>
          <cell r="W8">
            <v>100</v>
          </cell>
        </row>
        <row r="9">
          <cell r="T9" t="str">
            <v>Suc.</v>
          </cell>
          <cell r="U9">
            <v>7.2916666666666671E-2</v>
          </cell>
          <cell r="V9">
            <v>9.375E-2</v>
          </cell>
          <cell r="W9">
            <v>0.1875</v>
          </cell>
          <cell r="Z9">
            <v>2.9050695365766512E-2</v>
          </cell>
          <cell r="AA9">
            <v>3.2200064220471204E-2</v>
          </cell>
          <cell r="AB9">
            <v>3.5409857733283236E-2</v>
          </cell>
        </row>
        <row r="10">
          <cell r="T10" t="str">
            <v>Suc. + 1% Geo.</v>
          </cell>
          <cell r="U10">
            <v>2.0833333333333332E-2</v>
          </cell>
          <cell r="V10">
            <v>7.2916666666666657E-2</v>
          </cell>
          <cell r="W10">
            <v>0.16666666666666666</v>
          </cell>
          <cell r="Z10">
            <v>2.5983731852596812E-2</v>
          </cell>
          <cell r="AA10">
            <v>3.5409857733283229E-2</v>
          </cell>
          <cell r="AB10">
            <v>4.2808430576173451E-2</v>
          </cell>
        </row>
        <row r="11">
          <cell r="T11" t="str">
            <v>Suc. (fixed leg)</v>
          </cell>
          <cell r="U11">
            <v>1.0416666666666666E-2</v>
          </cell>
          <cell r="V11">
            <v>0.27083333333333331</v>
          </cell>
          <cell r="W11">
            <v>0.33333333333333331</v>
          </cell>
          <cell r="Z11">
            <v>8.5051727179971462E-3</v>
          </cell>
          <cell r="AA11">
            <v>4.0492721491981305E-2</v>
          </cell>
          <cell r="AB11">
            <v>6.9444444444444461E-2</v>
          </cell>
        </row>
        <row r="12">
          <cell r="T12" t="str">
            <v>Suc. (fixed leg) + 1% Geo</v>
          </cell>
          <cell r="U12">
            <v>2.0833333333333332E-2</v>
          </cell>
          <cell r="V12">
            <v>0.23958333333333334</v>
          </cell>
          <cell r="W12">
            <v>0.3125</v>
          </cell>
          <cell r="Z12">
            <v>1.7010345435994292E-2</v>
          </cell>
          <cell r="AA12">
            <v>5.7893513890739816E-2</v>
          </cell>
          <cell r="AB12">
            <v>5.6416933365527493E-2</v>
          </cell>
        </row>
      </sheetData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6B0C7-5B2B-4DB1-AD72-8199DBCBF7C1}">
  <dimension ref="A1:AF997"/>
  <sheetViews>
    <sheetView tabSelected="1" zoomScale="80" zoomScaleNormal="80" workbookViewId="0"/>
  </sheetViews>
  <sheetFormatPr defaultColWidth="14.44140625" defaultRowHeight="15" customHeight="1"/>
  <cols>
    <col min="1" max="32" width="9" style="4" customWidth="1"/>
    <col min="33" max="16384" width="14.44140625" style="4"/>
  </cols>
  <sheetData>
    <row r="1" spans="1:32" ht="14.2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3"/>
      <c r="AE1" s="3"/>
      <c r="AF1" s="3"/>
    </row>
    <row r="2" spans="1:32" ht="11.25" customHeight="1">
      <c r="A2" s="17" t="s">
        <v>33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2"/>
      <c r="T2" s="3"/>
      <c r="U2" s="3"/>
      <c r="V2" s="3"/>
      <c r="W2" s="2"/>
      <c r="X2" s="2"/>
      <c r="Y2" s="2"/>
      <c r="Z2" s="2"/>
      <c r="AA2" s="2"/>
      <c r="AB2" s="2"/>
      <c r="AC2" s="2"/>
      <c r="AD2" s="2"/>
      <c r="AE2" s="2"/>
      <c r="AF2" s="2"/>
    </row>
    <row r="3" spans="1:32" ht="11.25" customHeight="1">
      <c r="A3" s="6"/>
      <c r="B3" s="26" t="s">
        <v>14</v>
      </c>
      <c r="C3" s="27"/>
      <c r="D3" s="28"/>
      <c r="E3" s="29" t="s">
        <v>8</v>
      </c>
      <c r="F3" s="30"/>
      <c r="G3" s="31"/>
      <c r="H3" s="32" t="s">
        <v>18</v>
      </c>
      <c r="I3" s="33"/>
      <c r="J3" s="34"/>
      <c r="K3" s="35" t="s">
        <v>19</v>
      </c>
      <c r="L3" s="36"/>
      <c r="M3" s="37"/>
      <c r="N3" s="6"/>
      <c r="O3" s="6"/>
      <c r="P3" s="6"/>
      <c r="Q3" s="7" t="s">
        <v>4</v>
      </c>
      <c r="R3" s="8" t="s">
        <v>0</v>
      </c>
      <c r="S3" s="2"/>
      <c r="T3" s="3"/>
      <c r="U3" s="3"/>
      <c r="V3" s="3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ht="11.25" customHeight="1">
      <c r="A4" s="9" t="s">
        <v>5</v>
      </c>
      <c r="B4" s="7" t="s">
        <v>1</v>
      </c>
      <c r="C4" s="7" t="s">
        <v>2</v>
      </c>
      <c r="D4" s="7" t="s">
        <v>3</v>
      </c>
      <c r="E4" s="7" t="s">
        <v>1</v>
      </c>
      <c r="F4" s="7" t="s">
        <v>2</v>
      </c>
      <c r="G4" s="7" t="s">
        <v>3</v>
      </c>
      <c r="H4" s="7" t="s">
        <v>1</v>
      </c>
      <c r="I4" s="7" t="s">
        <v>2</v>
      </c>
      <c r="J4" s="7" t="s">
        <v>3</v>
      </c>
      <c r="K4" s="7" t="s">
        <v>1</v>
      </c>
      <c r="L4" s="7" t="s">
        <v>2</v>
      </c>
      <c r="M4" s="7" t="s">
        <v>3</v>
      </c>
      <c r="N4" s="6"/>
      <c r="O4" s="38" t="s">
        <v>14</v>
      </c>
      <c r="P4" s="39"/>
      <c r="Q4" s="47">
        <f>AVERAGE(D5:D14)</f>
        <v>0.23958333333333334</v>
      </c>
      <c r="R4" s="7">
        <f>STDEV(D5:D14)/SQRT(6)</f>
        <v>3.7717987816667423E-2</v>
      </c>
      <c r="S4" s="2"/>
      <c r="T4" s="3"/>
      <c r="U4" s="3"/>
      <c r="V4" s="3"/>
      <c r="W4" s="2"/>
      <c r="X4" s="2"/>
      <c r="Y4" s="2"/>
      <c r="Z4" s="2"/>
      <c r="AA4" s="2"/>
      <c r="AB4" s="2"/>
      <c r="AC4" s="2"/>
      <c r="AD4" s="2"/>
      <c r="AE4" s="2"/>
      <c r="AF4" s="2"/>
    </row>
    <row r="5" spans="1:32" ht="11.25" customHeight="1">
      <c r="A5" s="7">
        <v>1</v>
      </c>
      <c r="B5" s="7">
        <v>4</v>
      </c>
      <c r="C5" s="7">
        <v>24</v>
      </c>
      <c r="D5" s="7">
        <f t="shared" ref="D5:D8" si="0">B5/C5</f>
        <v>0.16666666666666666</v>
      </c>
      <c r="E5" s="7">
        <v>3</v>
      </c>
      <c r="F5" s="7">
        <v>24</v>
      </c>
      <c r="G5" s="7">
        <f t="shared" ref="G5:G8" si="1">E5/F5</f>
        <v>0.125</v>
      </c>
      <c r="H5" s="48">
        <v>14</v>
      </c>
      <c r="I5" s="7">
        <v>24</v>
      </c>
      <c r="J5" s="7">
        <f t="shared" ref="J5:J8" si="2">H5/I5</f>
        <v>0.58333333333333337</v>
      </c>
      <c r="K5" s="48">
        <v>12</v>
      </c>
      <c r="L5" s="7">
        <v>24</v>
      </c>
      <c r="M5" s="7">
        <f t="shared" ref="M5:M8" si="3">K5/L5</f>
        <v>0.5</v>
      </c>
      <c r="N5" s="6"/>
      <c r="O5" s="24" t="s">
        <v>7</v>
      </c>
      <c r="P5" s="25"/>
      <c r="Q5" s="47">
        <f>AVERAGE(G5:G14)</f>
        <v>0.20833333333333337</v>
      </c>
      <c r="R5" s="7">
        <f>STDEV(D6:D15)/SQRT(6)</f>
        <v>3.9283710065919276E-2</v>
      </c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2" ht="11.25" customHeight="1">
      <c r="A6" s="7">
        <v>2</v>
      </c>
      <c r="B6" s="7">
        <v>5</v>
      </c>
      <c r="C6" s="7">
        <v>24</v>
      </c>
      <c r="D6" s="7">
        <f t="shared" si="0"/>
        <v>0.20833333333333334</v>
      </c>
      <c r="E6" s="7">
        <v>5</v>
      </c>
      <c r="F6" s="7">
        <v>24</v>
      </c>
      <c r="G6" s="7">
        <f t="shared" si="1"/>
        <v>0.20833333333333334</v>
      </c>
      <c r="H6" s="48">
        <v>9</v>
      </c>
      <c r="I6" s="7">
        <v>24</v>
      </c>
      <c r="J6" s="7">
        <f t="shared" si="2"/>
        <v>0.375</v>
      </c>
      <c r="K6" s="48">
        <v>8</v>
      </c>
      <c r="L6" s="7">
        <v>24</v>
      </c>
      <c r="M6" s="7">
        <f t="shared" si="3"/>
        <v>0.33333333333333331</v>
      </c>
      <c r="N6" s="6"/>
      <c r="O6" s="40" t="s">
        <v>18</v>
      </c>
      <c r="P6" s="40"/>
      <c r="Q6" s="47">
        <f>AVERAGE(J5:J14)</f>
        <v>0.41666666666666669</v>
      </c>
      <c r="R6" s="7">
        <f>STDEV(J5:J14)/SQRT(6)</f>
        <v>5.7265355911356404E-2</v>
      </c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</row>
    <row r="7" spans="1:32" ht="11.25" customHeight="1">
      <c r="A7" s="7">
        <v>3</v>
      </c>
      <c r="B7" s="7">
        <v>5</v>
      </c>
      <c r="C7" s="7">
        <v>24</v>
      </c>
      <c r="D7" s="7">
        <f t="shared" si="0"/>
        <v>0.20833333333333334</v>
      </c>
      <c r="E7" s="7">
        <v>5</v>
      </c>
      <c r="F7" s="7">
        <v>24</v>
      </c>
      <c r="G7" s="7">
        <f t="shared" si="1"/>
        <v>0.20833333333333334</v>
      </c>
      <c r="H7" s="48">
        <v>6</v>
      </c>
      <c r="I7" s="7">
        <v>24</v>
      </c>
      <c r="J7" s="7">
        <f t="shared" si="2"/>
        <v>0.25</v>
      </c>
      <c r="K7" s="48">
        <v>6</v>
      </c>
      <c r="L7" s="7">
        <v>24</v>
      </c>
      <c r="M7" s="7">
        <f t="shared" si="3"/>
        <v>0.25</v>
      </c>
      <c r="N7" s="6"/>
      <c r="O7" s="41" t="s">
        <v>19</v>
      </c>
      <c r="P7" s="41"/>
      <c r="Q7" s="47">
        <f>AVERAGE(M5:M14)</f>
        <v>0.35416666666666663</v>
      </c>
      <c r="R7" s="7">
        <f>STDEV(M5:M14)/SQRT(6)</f>
        <v>4.2808430576173478E-2</v>
      </c>
      <c r="S7" s="2"/>
      <c r="T7" s="2"/>
      <c r="U7" s="5" t="s">
        <v>4</v>
      </c>
      <c r="V7" s="2"/>
      <c r="W7" s="2"/>
      <c r="X7" s="2"/>
      <c r="Y7" s="2"/>
      <c r="Z7" s="1" t="s">
        <v>0</v>
      </c>
      <c r="AA7" s="2"/>
      <c r="AB7" s="2"/>
      <c r="AC7" s="2"/>
      <c r="AD7" s="2"/>
      <c r="AE7" s="2"/>
      <c r="AF7" s="2"/>
    </row>
    <row r="8" spans="1:32" ht="11.25" customHeight="1">
      <c r="A8" s="7">
        <v>4</v>
      </c>
      <c r="B8" s="7">
        <v>9</v>
      </c>
      <c r="C8" s="7">
        <v>24</v>
      </c>
      <c r="D8" s="7">
        <f t="shared" si="0"/>
        <v>0.375</v>
      </c>
      <c r="E8" s="7">
        <v>7</v>
      </c>
      <c r="F8" s="7">
        <v>24</v>
      </c>
      <c r="G8" s="7">
        <f t="shared" si="1"/>
        <v>0.29166666666666669</v>
      </c>
      <c r="H8" s="18">
        <v>11</v>
      </c>
      <c r="I8" s="7">
        <v>24</v>
      </c>
      <c r="J8" s="7">
        <f t="shared" si="2"/>
        <v>0.45833333333333331</v>
      </c>
      <c r="K8" s="18">
        <v>8</v>
      </c>
      <c r="L8" s="7">
        <v>24</v>
      </c>
      <c r="M8" s="7">
        <f t="shared" si="3"/>
        <v>0.33333333333333331</v>
      </c>
      <c r="N8" s="6"/>
      <c r="O8" s="6"/>
      <c r="P8" s="6"/>
      <c r="Q8" s="6"/>
      <c r="R8" s="6"/>
      <c r="S8" s="2"/>
      <c r="T8" s="1"/>
      <c r="U8" s="1">
        <v>10</v>
      </c>
      <c r="V8" s="1">
        <v>50</v>
      </c>
      <c r="W8" s="1">
        <v>100</v>
      </c>
      <c r="X8" s="16">
        <v>500</v>
      </c>
      <c r="Y8" s="1"/>
      <c r="Z8" s="1">
        <v>10</v>
      </c>
      <c r="AA8" s="1">
        <v>50</v>
      </c>
      <c r="AB8" s="1">
        <v>100</v>
      </c>
      <c r="AC8" s="16">
        <v>500</v>
      </c>
      <c r="AD8" s="2"/>
      <c r="AE8" s="2"/>
      <c r="AF8" s="2"/>
    </row>
    <row r="9" spans="1:32" ht="11.25" customHeight="1">
      <c r="A9" s="7">
        <v>5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6"/>
      <c r="O9" s="6"/>
      <c r="P9" s="6"/>
      <c r="Q9" s="6"/>
      <c r="R9" s="6"/>
      <c r="S9" s="2"/>
      <c r="T9" s="21" t="s">
        <v>20</v>
      </c>
      <c r="U9" s="2">
        <f t="shared" ref="U9:U10" si="4">Q4</f>
        <v>0.23958333333333334</v>
      </c>
      <c r="V9" s="2">
        <f t="shared" ref="V9:V12" si="5">Q18</f>
        <v>0.36458333333333331</v>
      </c>
      <c r="W9" s="2">
        <f t="shared" ref="W9:W12" si="6">Q32</f>
        <v>0.57291666666666674</v>
      </c>
      <c r="X9" s="12">
        <f t="shared" ref="X9:X12" si="7">Q46</f>
        <v>0</v>
      </c>
      <c r="Y9" s="2"/>
      <c r="Z9" s="2">
        <f t="shared" ref="Z9:Z12" si="8">R4</f>
        <v>3.7717987816667423E-2</v>
      </c>
      <c r="AA9" s="2">
        <f t="shared" ref="AA9:AA12" si="9">R18</f>
        <v>3.7717987816667541E-2</v>
      </c>
      <c r="AB9" s="2">
        <f t="shared" ref="AB9:AB12" si="10">R32</f>
        <v>5.7893513890739733E-2</v>
      </c>
      <c r="AC9" s="12">
        <f t="shared" ref="AC9" si="11">R46</f>
        <v>0</v>
      </c>
      <c r="AD9" s="2"/>
      <c r="AE9" s="2"/>
      <c r="AF9" s="2"/>
    </row>
    <row r="10" spans="1:32" ht="11.25" customHeight="1">
      <c r="A10" s="7">
        <v>6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6"/>
      <c r="O10" s="6"/>
      <c r="P10" s="6"/>
      <c r="Q10" s="6"/>
      <c r="R10" s="6"/>
      <c r="S10" s="2"/>
      <c r="T10" s="22" t="s">
        <v>21</v>
      </c>
      <c r="U10" s="2">
        <f t="shared" si="4"/>
        <v>0.20833333333333337</v>
      </c>
      <c r="V10" s="2">
        <f t="shared" si="5"/>
        <v>0.36458333333333337</v>
      </c>
      <c r="W10" s="2">
        <f t="shared" si="6"/>
        <v>0.5625</v>
      </c>
      <c r="X10" s="12">
        <f t="shared" si="7"/>
        <v>0</v>
      </c>
      <c r="Y10" s="2"/>
      <c r="Z10" s="2">
        <f t="shared" si="8"/>
        <v>3.9283710065919276E-2</v>
      </c>
      <c r="AA10" s="2">
        <f t="shared" si="9"/>
        <v>4.5005143738943501E-2</v>
      </c>
      <c r="AB10" s="2">
        <f t="shared" si="10"/>
        <v>6.8746492615358826E-2</v>
      </c>
      <c r="AC10" s="12">
        <f>R47</f>
        <v>0</v>
      </c>
      <c r="AD10" s="2"/>
      <c r="AE10" s="2"/>
      <c r="AF10" s="2"/>
    </row>
    <row r="11" spans="1:32" ht="11.25" customHeight="1">
      <c r="A11" s="7">
        <v>7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6"/>
      <c r="O11" s="6"/>
      <c r="P11" s="6"/>
      <c r="Q11" s="6"/>
      <c r="R11" s="6"/>
      <c r="S11" s="2"/>
      <c r="T11" s="20" t="s">
        <v>22</v>
      </c>
      <c r="U11" s="2">
        <f>Q6</f>
        <v>0.41666666666666669</v>
      </c>
      <c r="V11" s="2">
        <f t="shared" si="5"/>
        <v>0.47916666666666663</v>
      </c>
      <c r="W11" s="2">
        <f t="shared" si="6"/>
        <v>0.59375</v>
      </c>
      <c r="X11" s="12">
        <f t="shared" si="7"/>
        <v>0</v>
      </c>
      <c r="Y11" s="2"/>
      <c r="Z11" s="2">
        <f t="shared" si="8"/>
        <v>5.7265355911356404E-2</v>
      </c>
      <c r="AA11" s="2">
        <f t="shared" si="9"/>
        <v>5.2887313235166093E-2</v>
      </c>
      <c r="AB11" s="2">
        <f t="shared" si="10"/>
        <v>6.1134780769649254E-2</v>
      </c>
      <c r="AC11" s="12">
        <f t="shared" ref="AC11:AC12" si="12">R48</f>
        <v>0</v>
      </c>
      <c r="AD11" s="2"/>
      <c r="AE11" s="2"/>
      <c r="AF11" s="2"/>
    </row>
    <row r="12" spans="1:32" ht="11.25" customHeight="1">
      <c r="A12" s="7">
        <v>8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6"/>
      <c r="O12" s="6"/>
      <c r="P12" s="6"/>
      <c r="Q12" s="6"/>
      <c r="R12" s="6"/>
      <c r="S12" s="2"/>
      <c r="T12" s="23" t="s">
        <v>23</v>
      </c>
      <c r="U12" s="2">
        <f>Q7</f>
        <v>0.35416666666666663</v>
      </c>
      <c r="V12" s="2">
        <f t="shared" si="5"/>
        <v>0.4375</v>
      </c>
      <c r="W12" s="2">
        <f t="shared" si="6"/>
        <v>0.57291666666666674</v>
      </c>
      <c r="X12" s="12">
        <f t="shared" si="7"/>
        <v>0</v>
      </c>
      <c r="Y12" s="2"/>
      <c r="Z12" s="2">
        <f t="shared" si="8"/>
        <v>4.2808430576173478E-2</v>
      </c>
      <c r="AA12" s="2">
        <f t="shared" si="9"/>
        <v>4.2808430576173478E-2</v>
      </c>
      <c r="AB12" s="2">
        <f t="shared" si="10"/>
        <v>5.6202826584161834E-2</v>
      </c>
      <c r="AC12" s="12">
        <f t="shared" si="12"/>
        <v>0</v>
      </c>
      <c r="AD12" s="2"/>
      <c r="AE12" s="2"/>
      <c r="AF12" s="2"/>
    </row>
    <row r="13" spans="1:32" ht="11.25" customHeight="1">
      <c r="A13" s="7">
        <v>9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6"/>
      <c r="O13" s="6"/>
      <c r="P13" s="6"/>
      <c r="Q13" s="6"/>
      <c r="R13" s="6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</row>
    <row r="14" spans="1:32" ht="11.25" customHeight="1">
      <c r="A14" s="7">
        <v>10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6"/>
      <c r="O14" s="6"/>
      <c r="P14" s="6"/>
      <c r="Q14" s="6"/>
      <c r="R14" s="6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</row>
    <row r="15" spans="1:32" ht="11.2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</row>
    <row r="16" spans="1:32" ht="11.25" customHeight="1">
      <c r="A16" s="5" t="s">
        <v>13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1:32" ht="11.25" customHeight="1">
      <c r="A17" s="6"/>
      <c r="B17" s="26" t="s">
        <v>15</v>
      </c>
      <c r="C17" s="27"/>
      <c r="D17" s="28"/>
      <c r="E17" s="29" t="s">
        <v>9</v>
      </c>
      <c r="F17" s="30"/>
      <c r="G17" s="31"/>
      <c r="H17" s="42" t="s">
        <v>15</v>
      </c>
      <c r="I17" s="33"/>
      <c r="J17" s="34"/>
      <c r="K17" s="43" t="s">
        <v>9</v>
      </c>
      <c r="L17" s="36"/>
      <c r="M17" s="37"/>
      <c r="N17" s="6"/>
      <c r="O17" s="6"/>
      <c r="P17" s="6"/>
      <c r="Q17" s="7" t="s">
        <v>4</v>
      </c>
      <c r="R17" s="8" t="s">
        <v>0</v>
      </c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spans="1:32" ht="11.25" customHeight="1">
      <c r="A18" s="9" t="s">
        <v>5</v>
      </c>
      <c r="B18" s="7" t="s">
        <v>1</v>
      </c>
      <c r="C18" s="7" t="s">
        <v>2</v>
      </c>
      <c r="D18" s="7" t="s">
        <v>3</v>
      </c>
      <c r="E18" s="7" t="s">
        <v>1</v>
      </c>
      <c r="F18" s="7" t="s">
        <v>2</v>
      </c>
      <c r="G18" s="7" t="s">
        <v>3</v>
      </c>
      <c r="H18" s="7" t="s">
        <v>1</v>
      </c>
      <c r="I18" s="7" t="s">
        <v>2</v>
      </c>
      <c r="J18" s="7" t="s">
        <v>3</v>
      </c>
      <c r="K18" s="7" t="s">
        <v>1</v>
      </c>
      <c r="L18" s="7" t="s">
        <v>2</v>
      </c>
      <c r="M18" s="7" t="s">
        <v>3</v>
      </c>
      <c r="N18" s="6"/>
      <c r="O18" s="38" t="s">
        <v>14</v>
      </c>
      <c r="P18" s="39"/>
      <c r="Q18" s="47">
        <f>AVERAGE(D19:D28)</f>
        <v>0.36458333333333331</v>
      </c>
      <c r="R18" s="7">
        <f>STDEV(D19:D28)/SQRT(6)</f>
        <v>3.7717987816667541E-2</v>
      </c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spans="1:32" ht="11.25" customHeight="1">
      <c r="A19" s="7">
        <v>1</v>
      </c>
      <c r="B19" s="7">
        <v>8</v>
      </c>
      <c r="C19" s="7">
        <v>24</v>
      </c>
      <c r="D19" s="7">
        <f t="shared" ref="D19:D22" si="13">B19/C19</f>
        <v>0.33333333333333331</v>
      </c>
      <c r="E19" s="7">
        <v>9</v>
      </c>
      <c r="F19" s="7">
        <v>24</v>
      </c>
      <c r="G19" s="7">
        <f t="shared" ref="G19:G22" si="14">E19/F19</f>
        <v>0.375</v>
      </c>
      <c r="H19" s="48">
        <v>16</v>
      </c>
      <c r="I19" s="7">
        <v>24</v>
      </c>
      <c r="J19" s="7">
        <f t="shared" ref="J19:J22" si="15">H19/I19</f>
        <v>0.66666666666666663</v>
      </c>
      <c r="K19" s="48">
        <v>14</v>
      </c>
      <c r="L19" s="7">
        <v>24</v>
      </c>
      <c r="M19" s="7">
        <f t="shared" ref="M19:M22" si="16">K19/L19</f>
        <v>0.58333333333333337</v>
      </c>
      <c r="N19" s="6"/>
      <c r="O19" s="44" t="s">
        <v>7</v>
      </c>
      <c r="P19" s="25"/>
      <c r="Q19" s="47">
        <f>AVERAGE(G19:G28)</f>
        <v>0.36458333333333337</v>
      </c>
      <c r="R19" s="7">
        <f>STDEV(D20:D29)/SQRT(6)</f>
        <v>4.5005143738943501E-2</v>
      </c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spans="1:32" ht="11.25" customHeight="1">
      <c r="A20" s="7">
        <v>2</v>
      </c>
      <c r="B20" s="7">
        <v>7</v>
      </c>
      <c r="C20" s="7">
        <v>24</v>
      </c>
      <c r="D20" s="7">
        <f t="shared" si="13"/>
        <v>0.29166666666666669</v>
      </c>
      <c r="E20" s="7">
        <v>7</v>
      </c>
      <c r="F20" s="7">
        <v>24</v>
      </c>
      <c r="G20" s="7">
        <f t="shared" si="14"/>
        <v>0.29166666666666669</v>
      </c>
      <c r="H20" s="48">
        <v>10</v>
      </c>
      <c r="I20" s="7">
        <v>24</v>
      </c>
      <c r="J20" s="7">
        <f t="shared" si="15"/>
        <v>0.41666666666666669</v>
      </c>
      <c r="K20" s="48">
        <v>10</v>
      </c>
      <c r="L20" s="7">
        <v>24</v>
      </c>
      <c r="M20" s="7">
        <f t="shared" si="16"/>
        <v>0.41666666666666669</v>
      </c>
      <c r="N20" s="6"/>
      <c r="O20" s="40" t="s">
        <v>18</v>
      </c>
      <c r="P20" s="40"/>
      <c r="Q20" s="47">
        <f>AVERAGE(J19:J28)</f>
        <v>0.47916666666666663</v>
      </c>
      <c r="R20" s="7">
        <f>STDEV(J19:J28)/SQRT(6)</f>
        <v>5.2887313235166093E-2</v>
      </c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spans="1:32" ht="11.25" customHeight="1">
      <c r="A21" s="7">
        <v>3</v>
      </c>
      <c r="B21" s="7">
        <v>8</v>
      </c>
      <c r="C21" s="7">
        <v>24</v>
      </c>
      <c r="D21" s="7">
        <f t="shared" si="13"/>
        <v>0.33333333333333331</v>
      </c>
      <c r="E21" s="7">
        <v>7</v>
      </c>
      <c r="F21" s="7">
        <v>24</v>
      </c>
      <c r="G21" s="7">
        <f t="shared" si="14"/>
        <v>0.29166666666666669</v>
      </c>
      <c r="H21" s="48">
        <v>11</v>
      </c>
      <c r="I21" s="7">
        <v>24</v>
      </c>
      <c r="J21" s="7">
        <f t="shared" si="15"/>
        <v>0.45833333333333331</v>
      </c>
      <c r="K21" s="48">
        <v>8</v>
      </c>
      <c r="L21" s="7">
        <v>24</v>
      </c>
      <c r="M21" s="7">
        <f t="shared" si="16"/>
        <v>0.33333333333333331</v>
      </c>
      <c r="N21" s="6"/>
      <c r="O21" s="45" t="s">
        <v>19</v>
      </c>
      <c r="P21" s="45"/>
      <c r="Q21" s="47">
        <f>AVERAGE(M19:M28)</f>
        <v>0.4375</v>
      </c>
      <c r="R21" s="7">
        <f>STDEV(M19:M28)/SQRT(6)</f>
        <v>4.2808430576173478E-2</v>
      </c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spans="1:32" ht="11.25" customHeight="1">
      <c r="A22" s="7">
        <v>4</v>
      </c>
      <c r="B22" s="7">
        <v>12</v>
      </c>
      <c r="C22" s="7">
        <v>24</v>
      </c>
      <c r="D22" s="7">
        <f t="shared" si="13"/>
        <v>0.5</v>
      </c>
      <c r="E22" s="7">
        <v>12</v>
      </c>
      <c r="F22" s="7">
        <v>24</v>
      </c>
      <c r="G22" s="7">
        <f t="shared" si="14"/>
        <v>0.5</v>
      </c>
      <c r="H22" s="18">
        <v>9</v>
      </c>
      <c r="I22" s="7">
        <v>24</v>
      </c>
      <c r="J22" s="7">
        <f t="shared" si="15"/>
        <v>0.375</v>
      </c>
      <c r="K22" s="18">
        <v>10</v>
      </c>
      <c r="L22" s="7">
        <v>24</v>
      </c>
      <c r="M22" s="7">
        <f t="shared" si="16"/>
        <v>0.41666666666666669</v>
      </c>
      <c r="N22" s="6"/>
      <c r="O22" s="6"/>
      <c r="P22" s="6"/>
      <c r="Q22" s="6"/>
      <c r="R22" s="6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spans="1:32" ht="11.25" customHeight="1">
      <c r="A23" s="7">
        <v>5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6"/>
      <c r="O23" s="6"/>
      <c r="P23" s="6"/>
      <c r="Q23" s="6"/>
      <c r="R23" s="6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spans="1:32" ht="11.25" customHeight="1">
      <c r="A24" s="7">
        <v>6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6"/>
      <c r="O24" s="6"/>
      <c r="P24" s="6"/>
      <c r="Q24" s="6"/>
      <c r="R24" s="6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spans="1:32" ht="11.25" customHeight="1">
      <c r="A25" s="7">
        <v>7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6"/>
      <c r="O25" s="6"/>
      <c r="P25" s="6"/>
      <c r="Q25" s="6"/>
      <c r="R25" s="6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 spans="1:32" ht="11.25" customHeight="1">
      <c r="A26" s="7">
        <v>8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6"/>
      <c r="O26" s="6"/>
      <c r="P26" s="6"/>
      <c r="Q26" s="6"/>
      <c r="R26" s="6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spans="1:32" ht="11.25" customHeight="1">
      <c r="A27" s="7">
        <v>9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6"/>
      <c r="O27" s="6"/>
      <c r="P27" s="6"/>
      <c r="Q27" s="6"/>
      <c r="R27" s="6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spans="1:32" ht="11.25" customHeight="1">
      <c r="A28" s="7">
        <v>10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6"/>
      <c r="O28" s="6"/>
      <c r="P28" s="6"/>
      <c r="Q28" s="6"/>
      <c r="R28" s="6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spans="1:32" ht="11.2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spans="1:32" ht="11.25" customHeight="1">
      <c r="A30" s="5" t="s">
        <v>13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</row>
    <row r="31" spans="1:32" ht="11.25" customHeight="1">
      <c r="A31" s="6"/>
      <c r="B31" s="26" t="s">
        <v>16</v>
      </c>
      <c r="C31" s="27"/>
      <c r="D31" s="28"/>
      <c r="E31" s="29" t="s">
        <v>10</v>
      </c>
      <c r="F31" s="30"/>
      <c r="G31" s="31"/>
      <c r="H31" s="42" t="s">
        <v>16</v>
      </c>
      <c r="I31" s="33"/>
      <c r="J31" s="34"/>
      <c r="K31" s="43" t="s">
        <v>10</v>
      </c>
      <c r="L31" s="36"/>
      <c r="M31" s="37"/>
      <c r="N31" s="6"/>
      <c r="O31" s="6"/>
      <c r="P31" s="6"/>
      <c r="Q31" s="7" t="s">
        <v>4</v>
      </c>
      <c r="R31" s="8" t="s">
        <v>0</v>
      </c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2" ht="11.25" customHeight="1">
      <c r="A32" s="9" t="s">
        <v>5</v>
      </c>
      <c r="B32" s="7" t="s">
        <v>1</v>
      </c>
      <c r="C32" s="7" t="s">
        <v>2</v>
      </c>
      <c r="D32" s="7" t="s">
        <v>3</v>
      </c>
      <c r="E32" s="7" t="s">
        <v>1</v>
      </c>
      <c r="F32" s="7" t="s">
        <v>2</v>
      </c>
      <c r="G32" s="7" t="s">
        <v>3</v>
      </c>
      <c r="H32" s="7" t="s">
        <v>1</v>
      </c>
      <c r="I32" s="7" t="s">
        <v>2</v>
      </c>
      <c r="J32" s="7" t="s">
        <v>3</v>
      </c>
      <c r="K32" s="7" t="s">
        <v>1</v>
      </c>
      <c r="L32" s="7" t="s">
        <v>2</v>
      </c>
      <c r="M32" s="7" t="s">
        <v>3</v>
      </c>
      <c r="N32" s="6"/>
      <c r="O32" s="46" t="s">
        <v>14</v>
      </c>
      <c r="P32" s="39"/>
      <c r="Q32" s="47">
        <f>AVERAGE(D33:D42)</f>
        <v>0.57291666666666674</v>
      </c>
      <c r="R32" s="7">
        <f>STDEV(D33:D42)/SQRT(6)</f>
        <v>5.7893513890739733E-2</v>
      </c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ht="11.25" customHeight="1">
      <c r="A33" s="7">
        <v>1</v>
      </c>
      <c r="B33" s="7">
        <v>15</v>
      </c>
      <c r="C33" s="7">
        <v>24</v>
      </c>
      <c r="D33" s="7">
        <f t="shared" ref="D33:D36" si="17">B33/C33</f>
        <v>0.625</v>
      </c>
      <c r="E33" s="7">
        <v>16</v>
      </c>
      <c r="F33" s="7">
        <v>24</v>
      </c>
      <c r="G33" s="7">
        <f t="shared" ref="G33:G36" si="18">E33/F33</f>
        <v>0.66666666666666663</v>
      </c>
      <c r="H33" s="48">
        <v>19</v>
      </c>
      <c r="I33" s="7">
        <v>24</v>
      </c>
      <c r="J33" s="7">
        <f t="shared" ref="J33:J36" si="19">H33/I33</f>
        <v>0.79166666666666663</v>
      </c>
      <c r="K33" s="48">
        <v>17</v>
      </c>
      <c r="L33" s="7">
        <v>24</v>
      </c>
      <c r="M33" s="7">
        <f t="shared" ref="M33:M36" si="20">K33/L33</f>
        <v>0.70833333333333337</v>
      </c>
      <c r="N33" s="6"/>
      <c r="O33" s="44" t="s">
        <v>7</v>
      </c>
      <c r="P33" s="25"/>
      <c r="Q33" s="47">
        <f>AVERAGE(G33:G42)</f>
        <v>0.5625</v>
      </c>
      <c r="R33" s="7">
        <f>STDEV(D34:D43)/SQRT(6)</f>
        <v>6.8746492615358826E-2</v>
      </c>
      <c r="S33" s="2"/>
      <c r="T33" s="2"/>
      <c r="U33" s="2" t="s">
        <v>17</v>
      </c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ht="11.25" customHeight="1">
      <c r="A34" s="7">
        <v>2</v>
      </c>
      <c r="B34" s="7">
        <v>9</v>
      </c>
      <c r="C34" s="7">
        <v>24</v>
      </c>
      <c r="D34" s="7">
        <f t="shared" si="17"/>
        <v>0.375</v>
      </c>
      <c r="E34" s="7">
        <v>8</v>
      </c>
      <c r="F34" s="7">
        <v>24</v>
      </c>
      <c r="G34" s="7">
        <f t="shared" si="18"/>
        <v>0.33333333333333331</v>
      </c>
      <c r="H34" s="48">
        <v>12</v>
      </c>
      <c r="I34" s="7">
        <v>24</v>
      </c>
      <c r="J34" s="7">
        <f t="shared" si="19"/>
        <v>0.5</v>
      </c>
      <c r="K34" s="48">
        <v>12</v>
      </c>
      <c r="L34" s="7">
        <v>24</v>
      </c>
      <c r="M34" s="7">
        <f t="shared" si="20"/>
        <v>0.5</v>
      </c>
      <c r="N34" s="6"/>
      <c r="O34" s="40" t="s">
        <v>18</v>
      </c>
      <c r="P34" s="40"/>
      <c r="Q34" s="47">
        <f>AVERAGE(J33:J42)</f>
        <v>0.59375</v>
      </c>
      <c r="R34" s="7">
        <f>STDEV(J33:J42)/SQRT(6)</f>
        <v>6.1134780769649254E-2</v>
      </c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ht="11.25" customHeight="1">
      <c r="A35" s="7">
        <v>3</v>
      </c>
      <c r="B35" s="7">
        <v>14</v>
      </c>
      <c r="C35" s="7">
        <v>24</v>
      </c>
      <c r="D35" s="7">
        <f t="shared" si="17"/>
        <v>0.58333333333333337</v>
      </c>
      <c r="E35" s="7">
        <v>14</v>
      </c>
      <c r="F35" s="7">
        <v>24</v>
      </c>
      <c r="G35" s="7">
        <f t="shared" si="18"/>
        <v>0.58333333333333337</v>
      </c>
      <c r="H35" s="48">
        <v>11</v>
      </c>
      <c r="I35" s="7">
        <v>24</v>
      </c>
      <c r="J35" s="7">
        <f t="shared" si="19"/>
        <v>0.45833333333333331</v>
      </c>
      <c r="K35" s="48">
        <v>10</v>
      </c>
      <c r="L35" s="7">
        <v>24</v>
      </c>
      <c r="M35" s="7">
        <f t="shared" si="20"/>
        <v>0.41666666666666669</v>
      </c>
      <c r="N35" s="6"/>
      <c r="O35" s="45" t="s">
        <v>19</v>
      </c>
      <c r="P35" s="45"/>
      <c r="Q35" s="47">
        <f>AVERAGE(M33:M42)</f>
        <v>0.57291666666666674</v>
      </c>
      <c r="R35" s="7">
        <f>STDEV(M33:M42)/SQRT(6)</f>
        <v>5.6202826584161834E-2</v>
      </c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1.25" customHeight="1">
      <c r="A36" s="7">
        <v>4</v>
      </c>
      <c r="B36" s="7">
        <v>17</v>
      </c>
      <c r="C36" s="7">
        <v>24</v>
      </c>
      <c r="D36" s="7">
        <f t="shared" si="17"/>
        <v>0.70833333333333337</v>
      </c>
      <c r="E36" s="7">
        <v>16</v>
      </c>
      <c r="F36" s="7">
        <v>24</v>
      </c>
      <c r="G36" s="7">
        <f t="shared" si="18"/>
        <v>0.66666666666666663</v>
      </c>
      <c r="H36" s="19">
        <v>15</v>
      </c>
      <c r="I36" s="7">
        <v>24</v>
      </c>
      <c r="J36" s="7">
        <f t="shared" si="19"/>
        <v>0.625</v>
      </c>
      <c r="K36" s="19">
        <v>16</v>
      </c>
      <c r="L36" s="7">
        <v>24</v>
      </c>
      <c r="M36" s="7">
        <f t="shared" si="20"/>
        <v>0.66666666666666663</v>
      </c>
      <c r="N36" s="6"/>
      <c r="O36" s="6"/>
      <c r="P36" s="6"/>
      <c r="Q36" s="6"/>
      <c r="R36" s="6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ht="11.25" customHeight="1">
      <c r="A37" s="7">
        <v>5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6"/>
      <c r="O37" s="6"/>
      <c r="P37" s="6"/>
      <c r="Q37" s="6"/>
      <c r="R37" s="6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</row>
    <row r="38" spans="1:32" ht="11.25" customHeight="1">
      <c r="A38" s="7">
        <v>6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6"/>
      <c r="O38" s="6"/>
      <c r="P38" s="6"/>
      <c r="Q38" s="6"/>
      <c r="R38" s="6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</row>
    <row r="39" spans="1:32" ht="11.25" customHeight="1">
      <c r="A39" s="7">
        <v>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6"/>
      <c r="O39" s="6"/>
      <c r="P39" s="6"/>
      <c r="Q39" s="6"/>
      <c r="R39" s="6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</row>
    <row r="40" spans="1:32" ht="11.25" customHeight="1">
      <c r="A40" s="7">
        <v>8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6"/>
      <c r="O40" s="6"/>
      <c r="P40" s="6"/>
      <c r="Q40" s="6"/>
      <c r="R40" s="6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</row>
    <row r="41" spans="1:32" ht="11.25" customHeight="1">
      <c r="A41" s="7">
        <v>9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6"/>
      <c r="O41" s="6"/>
      <c r="P41" s="6"/>
      <c r="Q41" s="6"/>
      <c r="R41" s="6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</row>
    <row r="42" spans="1:32" ht="11.25" customHeight="1">
      <c r="A42" s="7">
        <v>10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6"/>
      <c r="O42" s="6"/>
      <c r="P42" s="6"/>
      <c r="Q42" s="6"/>
      <c r="R42" s="6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 spans="1:32" ht="11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ht="11.25" customHeight="1">
      <c r="A44" s="10" t="s">
        <v>13</v>
      </c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2"/>
      <c r="O44" s="12"/>
      <c r="P44" s="12"/>
      <c r="Q44" s="12"/>
      <c r="R44" s="1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ht="11.25" customHeight="1">
      <c r="A45" s="11"/>
      <c r="B45" s="43" t="s">
        <v>6</v>
      </c>
      <c r="C45" s="36"/>
      <c r="D45" s="37"/>
      <c r="E45" s="43" t="s">
        <v>11</v>
      </c>
      <c r="F45" s="36"/>
      <c r="G45" s="37"/>
      <c r="H45" s="43" t="s">
        <v>6</v>
      </c>
      <c r="I45" s="36"/>
      <c r="J45" s="37"/>
      <c r="K45" s="43" t="s">
        <v>11</v>
      </c>
      <c r="L45" s="36"/>
      <c r="M45" s="37"/>
      <c r="N45" s="12"/>
      <c r="O45" s="11"/>
      <c r="P45" s="11"/>
      <c r="Q45" s="13" t="s">
        <v>4</v>
      </c>
      <c r="R45" s="14" t="s">
        <v>0</v>
      </c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ht="11.25" customHeight="1">
      <c r="A46" s="15" t="s">
        <v>5</v>
      </c>
      <c r="B46" s="13" t="s">
        <v>1</v>
      </c>
      <c r="C46" s="13" t="s">
        <v>2</v>
      </c>
      <c r="D46" s="13" t="s">
        <v>3</v>
      </c>
      <c r="E46" s="13" t="s">
        <v>1</v>
      </c>
      <c r="F46" s="13" t="s">
        <v>2</v>
      </c>
      <c r="G46" s="13" t="s">
        <v>3</v>
      </c>
      <c r="H46" s="13" t="s">
        <v>1</v>
      </c>
      <c r="I46" s="13" t="s">
        <v>2</v>
      </c>
      <c r="J46" s="13" t="s">
        <v>3</v>
      </c>
      <c r="K46" s="13" t="s">
        <v>1</v>
      </c>
      <c r="L46" s="13" t="s">
        <v>2</v>
      </c>
      <c r="M46" s="13" t="s">
        <v>3</v>
      </c>
      <c r="N46" s="12"/>
      <c r="O46" s="43" t="s">
        <v>6</v>
      </c>
      <c r="P46" s="37"/>
      <c r="Q46" s="13">
        <f>AVERAGE(D47:D56)</f>
        <v>0</v>
      </c>
      <c r="R46" s="13">
        <f>STDEV(D47:D56)/SQRT(6)</f>
        <v>0</v>
      </c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ht="11.25" customHeight="1">
      <c r="A47" s="13">
        <v>1</v>
      </c>
      <c r="B47" s="13"/>
      <c r="C47" s="13">
        <v>24</v>
      </c>
      <c r="D47" s="13">
        <f t="shared" ref="D47:D52" si="21">B47/C47</f>
        <v>0</v>
      </c>
      <c r="E47" s="13"/>
      <c r="F47" s="13">
        <v>24</v>
      </c>
      <c r="G47" s="13">
        <f t="shared" ref="G47:G52" si="22">E47/F47</f>
        <v>0</v>
      </c>
      <c r="H47" s="13"/>
      <c r="I47" s="13">
        <v>24</v>
      </c>
      <c r="J47" s="13">
        <f t="shared" ref="J47:J52" si="23">H47/I47</f>
        <v>0</v>
      </c>
      <c r="K47" s="13"/>
      <c r="L47" s="13">
        <v>24</v>
      </c>
      <c r="M47" s="13">
        <f t="shared" ref="M47:M52" si="24">K47/L47</f>
        <v>0</v>
      </c>
      <c r="N47" s="12"/>
      <c r="O47" s="43" t="s">
        <v>12</v>
      </c>
      <c r="P47" s="37"/>
      <c r="Q47" s="13">
        <f>AVERAGE(G47:G56)</f>
        <v>0</v>
      </c>
      <c r="R47" s="13">
        <f>STDEV(D48:D57)/SQRT(6)</f>
        <v>0</v>
      </c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ht="11.25" customHeight="1">
      <c r="A48" s="13">
        <v>2</v>
      </c>
      <c r="B48" s="13"/>
      <c r="C48" s="13">
        <v>24</v>
      </c>
      <c r="D48" s="13">
        <f t="shared" si="21"/>
        <v>0</v>
      </c>
      <c r="E48" s="13"/>
      <c r="F48" s="13">
        <v>24</v>
      </c>
      <c r="G48" s="13">
        <f t="shared" si="22"/>
        <v>0</v>
      </c>
      <c r="H48" s="13"/>
      <c r="I48" s="13">
        <v>24</v>
      </c>
      <c r="J48" s="13">
        <f t="shared" si="23"/>
        <v>0</v>
      </c>
      <c r="K48" s="13"/>
      <c r="L48" s="13">
        <v>24</v>
      </c>
      <c r="M48" s="13">
        <f t="shared" si="24"/>
        <v>0</v>
      </c>
      <c r="N48" s="12"/>
      <c r="O48" s="12"/>
      <c r="P48" s="12"/>
      <c r="Q48" s="13">
        <f>AVERAGE(J47:J56)</f>
        <v>0</v>
      </c>
      <c r="R48" s="13">
        <f>STDEV(J47:J56)/SQRT(6)</f>
        <v>0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ht="11.25" customHeight="1">
      <c r="A49" s="13">
        <v>3</v>
      </c>
      <c r="B49" s="13"/>
      <c r="C49" s="13">
        <v>24</v>
      </c>
      <c r="D49" s="13">
        <f t="shared" si="21"/>
        <v>0</v>
      </c>
      <c r="E49" s="13"/>
      <c r="F49" s="13">
        <v>24</v>
      </c>
      <c r="G49" s="13">
        <f t="shared" si="22"/>
        <v>0</v>
      </c>
      <c r="H49" s="13"/>
      <c r="I49" s="13">
        <v>24</v>
      </c>
      <c r="J49" s="13">
        <f t="shared" si="23"/>
        <v>0</v>
      </c>
      <c r="K49" s="13"/>
      <c r="L49" s="13">
        <v>24</v>
      </c>
      <c r="M49" s="13">
        <f t="shared" si="24"/>
        <v>0</v>
      </c>
      <c r="N49" s="12"/>
      <c r="O49" s="11"/>
      <c r="P49" s="12"/>
      <c r="Q49" s="13">
        <f>AVERAGE(M47:M56)</f>
        <v>0</v>
      </c>
      <c r="R49" s="13">
        <f>STDEV(M47:M56)/SQRT(6)</f>
        <v>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spans="1:32" ht="11.25" customHeight="1">
      <c r="A50" s="13">
        <v>4</v>
      </c>
      <c r="B50" s="13"/>
      <c r="C50" s="13">
        <v>24</v>
      </c>
      <c r="D50" s="13">
        <f t="shared" si="21"/>
        <v>0</v>
      </c>
      <c r="E50" s="13"/>
      <c r="F50" s="13">
        <v>24</v>
      </c>
      <c r="G50" s="13">
        <f t="shared" si="22"/>
        <v>0</v>
      </c>
      <c r="H50" s="13"/>
      <c r="I50" s="13">
        <v>24</v>
      </c>
      <c r="J50" s="13">
        <f t="shared" si="23"/>
        <v>0</v>
      </c>
      <c r="K50" s="13"/>
      <c r="L50" s="13">
        <v>24</v>
      </c>
      <c r="M50" s="13">
        <f t="shared" si="24"/>
        <v>0</v>
      </c>
      <c r="N50" s="12"/>
      <c r="O50" s="12"/>
      <c r="P50" s="12"/>
      <c r="Q50" s="12"/>
      <c r="R50" s="1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</row>
    <row r="51" spans="1:32" ht="11.25" customHeight="1">
      <c r="A51" s="13">
        <v>5</v>
      </c>
      <c r="B51" s="13"/>
      <c r="C51" s="13">
        <v>24</v>
      </c>
      <c r="D51" s="13">
        <f t="shared" si="21"/>
        <v>0</v>
      </c>
      <c r="E51" s="13"/>
      <c r="F51" s="13">
        <v>24</v>
      </c>
      <c r="G51" s="13">
        <f t="shared" si="22"/>
        <v>0</v>
      </c>
      <c r="H51" s="13"/>
      <c r="I51" s="13">
        <v>24</v>
      </c>
      <c r="J51" s="13">
        <f t="shared" si="23"/>
        <v>0</v>
      </c>
      <c r="K51" s="13"/>
      <c r="L51" s="13">
        <v>24</v>
      </c>
      <c r="M51" s="13">
        <f t="shared" si="24"/>
        <v>0</v>
      </c>
      <c r="N51" s="12"/>
      <c r="O51" s="12"/>
      <c r="P51" s="12"/>
      <c r="Q51" s="12"/>
      <c r="R51" s="1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</row>
    <row r="52" spans="1:32" ht="11.25" customHeight="1">
      <c r="A52" s="13">
        <v>6</v>
      </c>
      <c r="B52" s="13"/>
      <c r="C52" s="13">
        <v>24</v>
      </c>
      <c r="D52" s="13">
        <f t="shared" si="21"/>
        <v>0</v>
      </c>
      <c r="E52" s="13"/>
      <c r="F52" s="13">
        <v>24</v>
      </c>
      <c r="G52" s="13">
        <f t="shared" si="22"/>
        <v>0</v>
      </c>
      <c r="H52" s="13"/>
      <c r="I52" s="13">
        <v>24</v>
      </c>
      <c r="J52" s="13">
        <f t="shared" si="23"/>
        <v>0</v>
      </c>
      <c r="K52" s="13"/>
      <c r="L52" s="13">
        <v>24</v>
      </c>
      <c r="M52" s="13">
        <f t="shared" si="24"/>
        <v>0</v>
      </c>
      <c r="N52" s="12"/>
      <c r="O52" s="12"/>
      <c r="P52" s="12"/>
      <c r="Q52" s="12"/>
      <c r="R52" s="1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</row>
    <row r="53" spans="1:32" ht="11.25" customHeight="1">
      <c r="A53" s="13">
        <v>7</v>
      </c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2"/>
      <c r="O53" s="12"/>
      <c r="P53" s="12"/>
      <c r="Q53" s="12"/>
      <c r="R53" s="1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</row>
    <row r="54" spans="1:32" ht="11.25" customHeight="1">
      <c r="A54" s="13">
        <v>8</v>
      </c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2"/>
      <c r="O54" s="12"/>
      <c r="P54" s="12"/>
      <c r="Q54" s="12"/>
      <c r="R54" s="1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</row>
    <row r="55" spans="1:32" ht="11.25" customHeight="1">
      <c r="A55" s="13">
        <v>9</v>
      </c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2"/>
      <c r="O55" s="12"/>
      <c r="P55" s="12"/>
      <c r="Q55" s="12"/>
      <c r="R55" s="1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</row>
    <row r="56" spans="1:32" ht="11.25" customHeight="1">
      <c r="A56" s="13">
        <v>10</v>
      </c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2"/>
      <c r="O56" s="12"/>
      <c r="P56" s="12"/>
      <c r="Q56" s="12"/>
      <c r="R56" s="1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</row>
    <row r="57" spans="1:32" ht="11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</row>
    <row r="58" spans="1:32" ht="11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</row>
    <row r="59" spans="1:32" ht="11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</row>
    <row r="60" spans="1:32" ht="11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</row>
    <row r="61" spans="1:32" ht="11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</row>
    <row r="62" spans="1:32" ht="11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</row>
    <row r="63" spans="1:32" ht="11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</row>
    <row r="64" spans="1:32" ht="11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</row>
    <row r="65" spans="1:32" ht="11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</row>
    <row r="66" spans="1:32" ht="11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</row>
    <row r="67" spans="1:32" ht="11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</row>
    <row r="68" spans="1:32" ht="11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</row>
    <row r="69" spans="1:32" ht="11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</row>
    <row r="70" spans="1:32" ht="11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</row>
    <row r="71" spans="1:32" ht="11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</row>
    <row r="72" spans="1:32" ht="11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</row>
    <row r="73" spans="1:32" ht="11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</row>
    <row r="74" spans="1:32" ht="11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</row>
    <row r="75" spans="1:32" ht="11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</row>
    <row r="76" spans="1:32" ht="11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</row>
    <row r="77" spans="1:32" ht="11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</row>
    <row r="78" spans="1:32" ht="11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</row>
    <row r="79" spans="1:32" ht="11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</row>
    <row r="80" spans="1:32" ht="11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</row>
    <row r="81" spans="1:32" ht="11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</row>
    <row r="82" spans="1:32" ht="11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</row>
    <row r="83" spans="1:32" ht="11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</row>
    <row r="84" spans="1:32" ht="11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</row>
    <row r="85" spans="1:32" ht="11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</row>
    <row r="86" spans="1:32" ht="11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</row>
    <row r="87" spans="1:32" ht="11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</row>
    <row r="88" spans="1:32" ht="11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</row>
    <row r="89" spans="1:32" ht="11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</row>
    <row r="90" spans="1:32" ht="11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</row>
    <row r="91" spans="1:32" ht="11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</row>
    <row r="92" spans="1:32" ht="11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</row>
    <row r="93" spans="1:32" ht="11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</row>
    <row r="94" spans="1:32" ht="11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</row>
    <row r="95" spans="1:32" ht="11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</row>
    <row r="96" spans="1:32" ht="11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</row>
    <row r="97" spans="1:32" ht="11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</row>
    <row r="98" spans="1:32" ht="11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</row>
    <row r="99" spans="1:32" ht="11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</row>
    <row r="100" spans="1:32" ht="11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</row>
    <row r="101" spans="1:32" ht="11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</row>
    <row r="102" spans="1:32" ht="11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</row>
    <row r="103" spans="1:32" ht="11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</row>
    <row r="104" spans="1:32" ht="11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</row>
    <row r="105" spans="1:32" ht="11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</row>
    <row r="106" spans="1:32" ht="11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</row>
    <row r="107" spans="1:32" ht="11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</row>
    <row r="108" spans="1:32" ht="11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</row>
    <row r="109" spans="1:32" ht="11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</row>
    <row r="110" spans="1:32" ht="11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</row>
    <row r="111" spans="1:32" ht="11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</row>
    <row r="112" spans="1:32" ht="11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</row>
    <row r="113" spans="1:32" ht="11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</row>
    <row r="114" spans="1:32" ht="11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</row>
    <row r="115" spans="1:32" ht="11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</row>
    <row r="116" spans="1:32" ht="11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</row>
    <row r="117" spans="1:32" ht="11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</row>
    <row r="118" spans="1:32" ht="11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</row>
    <row r="119" spans="1:32" ht="11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</row>
    <row r="120" spans="1:32" ht="11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</row>
    <row r="121" spans="1:32" ht="11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</row>
    <row r="122" spans="1:32" ht="11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</row>
    <row r="123" spans="1:32" ht="11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</row>
    <row r="124" spans="1:32" ht="11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</row>
    <row r="125" spans="1:32" ht="11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</row>
    <row r="126" spans="1:32" ht="11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</row>
    <row r="127" spans="1:32" ht="11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</row>
    <row r="128" spans="1:32" ht="11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</row>
    <row r="129" spans="1:32" ht="11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</row>
    <row r="130" spans="1:32" ht="11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</row>
    <row r="131" spans="1:32" ht="11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</row>
    <row r="132" spans="1:32" ht="11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</row>
    <row r="133" spans="1:32" ht="11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</row>
    <row r="134" spans="1:32" ht="11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</row>
    <row r="135" spans="1:32" ht="11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</row>
    <row r="136" spans="1:32" ht="11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</row>
    <row r="137" spans="1:32" ht="11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</row>
    <row r="138" spans="1:32" ht="11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</row>
    <row r="139" spans="1:32" ht="11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</row>
    <row r="140" spans="1:32" ht="11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</row>
    <row r="141" spans="1:32" ht="11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</row>
    <row r="142" spans="1:32" ht="11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</row>
    <row r="143" spans="1:32" ht="11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</row>
    <row r="144" spans="1:32" ht="11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</row>
    <row r="145" spans="1:32" ht="11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</row>
    <row r="146" spans="1:32" ht="11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</row>
    <row r="147" spans="1:32" ht="11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</row>
    <row r="148" spans="1:32" ht="11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</row>
    <row r="149" spans="1:32" ht="11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</row>
    <row r="150" spans="1:32" ht="11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</row>
    <row r="151" spans="1:32" ht="11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</row>
    <row r="152" spans="1:32" ht="11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</row>
    <row r="153" spans="1:32" ht="11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</row>
    <row r="154" spans="1:32" ht="11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</row>
    <row r="155" spans="1:32" ht="11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</row>
    <row r="156" spans="1:32" ht="11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</row>
    <row r="157" spans="1:32" ht="11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</row>
    <row r="158" spans="1:32" ht="11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</row>
    <row r="159" spans="1:32" ht="11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</row>
    <row r="160" spans="1:32" ht="11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</row>
    <row r="161" spans="1:32" ht="11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</row>
    <row r="162" spans="1:32" ht="11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</row>
    <row r="163" spans="1:32" ht="11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</row>
    <row r="164" spans="1:32" ht="11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</row>
    <row r="165" spans="1:32" ht="11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</row>
    <row r="166" spans="1:32" ht="11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</row>
    <row r="167" spans="1:32" ht="11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</row>
    <row r="168" spans="1:32" ht="11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</row>
    <row r="169" spans="1:32" ht="11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</row>
    <row r="170" spans="1:32" ht="11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</row>
    <row r="171" spans="1:32" ht="11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</row>
    <row r="172" spans="1:32" ht="11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</row>
    <row r="173" spans="1:32" ht="11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</row>
    <row r="174" spans="1:32" ht="11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</row>
    <row r="175" spans="1:32" ht="11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</row>
    <row r="176" spans="1:32" ht="11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</row>
    <row r="177" spans="1:32" ht="11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</row>
    <row r="178" spans="1:32" ht="11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</row>
    <row r="179" spans="1:32" ht="11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</row>
    <row r="180" spans="1:32" ht="11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</row>
    <row r="181" spans="1:32" ht="11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</row>
    <row r="182" spans="1:32" ht="11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</row>
    <row r="183" spans="1:32" ht="11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</row>
    <row r="184" spans="1:32" ht="11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</row>
    <row r="185" spans="1:32" ht="11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</row>
    <row r="186" spans="1:32" ht="11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</row>
    <row r="187" spans="1:32" ht="11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</row>
    <row r="188" spans="1:32" ht="11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</row>
    <row r="189" spans="1:32" ht="11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</row>
    <row r="190" spans="1:32" ht="11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</row>
    <row r="191" spans="1:32" ht="11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</row>
    <row r="192" spans="1:32" ht="11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</row>
    <row r="193" spans="1:32" ht="11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</row>
    <row r="194" spans="1:32" ht="11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</row>
    <row r="195" spans="1:32" ht="11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</row>
    <row r="196" spans="1:32" ht="11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</row>
    <row r="197" spans="1:32" ht="11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</row>
    <row r="198" spans="1:32" ht="11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</row>
    <row r="199" spans="1:32" ht="11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</row>
    <row r="200" spans="1:32" ht="11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</row>
    <row r="201" spans="1:32" ht="11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</row>
    <row r="202" spans="1:32" ht="11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</row>
    <row r="203" spans="1:32" ht="11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</row>
    <row r="204" spans="1:32" ht="11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</row>
    <row r="205" spans="1:32" ht="11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</row>
    <row r="206" spans="1:32" ht="11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</row>
    <row r="207" spans="1:32" ht="11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</row>
    <row r="208" spans="1:32" ht="11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</row>
    <row r="209" spans="1:32" ht="11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</row>
    <row r="210" spans="1:32" ht="11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</row>
    <row r="211" spans="1:32" ht="11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</row>
    <row r="212" spans="1:32" ht="11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</row>
    <row r="213" spans="1:32" ht="11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</row>
    <row r="214" spans="1:32" ht="11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</row>
    <row r="215" spans="1:32" ht="11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</row>
    <row r="216" spans="1:32" ht="11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</row>
    <row r="217" spans="1:32" ht="11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</row>
    <row r="218" spans="1:32" ht="11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</row>
    <row r="219" spans="1:32" ht="11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</row>
    <row r="220" spans="1:32" ht="11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</row>
    <row r="221" spans="1:32" ht="11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</row>
    <row r="222" spans="1:32" ht="11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</row>
    <row r="223" spans="1:32" ht="11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</row>
    <row r="224" spans="1:32" ht="11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</row>
    <row r="225" spans="1:32" ht="11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</row>
    <row r="226" spans="1:32" ht="11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</row>
    <row r="227" spans="1:32" ht="11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</row>
    <row r="228" spans="1:32" ht="11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</row>
    <row r="229" spans="1:32" ht="11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</row>
    <row r="230" spans="1:32" ht="11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</row>
    <row r="231" spans="1:32" ht="11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</row>
    <row r="232" spans="1:32" ht="11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</row>
    <row r="233" spans="1:32" ht="11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</row>
    <row r="234" spans="1:32" ht="11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</row>
    <row r="235" spans="1:32" ht="11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</row>
    <row r="236" spans="1:32" ht="11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</row>
    <row r="237" spans="1:32" ht="11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</row>
    <row r="238" spans="1:32" ht="11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</row>
    <row r="239" spans="1:32" ht="11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</row>
    <row r="240" spans="1:32" ht="11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</row>
    <row r="241" spans="1:32" ht="11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</row>
    <row r="242" spans="1:32" ht="11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</row>
    <row r="243" spans="1:32" ht="11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</row>
    <row r="244" spans="1:32" ht="11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</row>
    <row r="245" spans="1:32" ht="11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</row>
    <row r="246" spans="1:32" ht="11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</row>
    <row r="247" spans="1:32" ht="11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</row>
    <row r="248" spans="1:32" ht="11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</row>
    <row r="249" spans="1:32" ht="11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</row>
    <row r="250" spans="1:32" ht="11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</row>
    <row r="251" spans="1:32" ht="11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</row>
    <row r="252" spans="1:32" ht="11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</row>
    <row r="253" spans="1:32" ht="11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</row>
    <row r="254" spans="1:32" ht="11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</row>
    <row r="255" spans="1:32" ht="11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</row>
    <row r="256" spans="1:32" ht="11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</row>
    <row r="257" spans="1:32" ht="11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</row>
    <row r="258" spans="1:32" ht="11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</row>
    <row r="259" spans="1:32" ht="11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</row>
    <row r="260" spans="1:32" ht="11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</row>
    <row r="261" spans="1:32" ht="11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</row>
    <row r="262" spans="1:32" ht="11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</row>
    <row r="263" spans="1:32" ht="11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</row>
    <row r="264" spans="1:32" ht="11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</row>
    <row r="265" spans="1:32" ht="11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</row>
    <row r="266" spans="1:32" ht="11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</row>
    <row r="267" spans="1:32" ht="11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</row>
    <row r="268" spans="1:32" ht="11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</row>
    <row r="269" spans="1:32" ht="11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</row>
    <row r="270" spans="1:32" ht="11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</row>
    <row r="271" spans="1:32" ht="11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</row>
    <row r="272" spans="1:32" ht="11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</row>
    <row r="273" spans="1:32" ht="11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</row>
    <row r="274" spans="1:32" ht="11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</row>
    <row r="275" spans="1:32" ht="11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</row>
    <row r="276" spans="1:32" ht="11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</row>
    <row r="277" spans="1:32" ht="11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</row>
    <row r="278" spans="1:32" ht="11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</row>
    <row r="279" spans="1:32" ht="11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</row>
    <row r="280" spans="1:32" ht="11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</row>
    <row r="281" spans="1:32" ht="11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</row>
    <row r="282" spans="1:32" ht="11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</row>
    <row r="283" spans="1:32" ht="11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</row>
    <row r="284" spans="1:32" ht="11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</row>
    <row r="285" spans="1:32" ht="11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</row>
    <row r="286" spans="1:32" ht="11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</row>
    <row r="287" spans="1:32" ht="11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</row>
    <row r="288" spans="1:32" ht="11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</row>
    <row r="289" spans="1:32" ht="11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</row>
    <row r="290" spans="1:32" ht="11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</row>
    <row r="291" spans="1:32" ht="11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</row>
    <row r="292" spans="1:32" ht="11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</row>
    <row r="293" spans="1:32" ht="11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</row>
    <row r="294" spans="1:32" ht="11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  <row r="295" spans="1:32" ht="11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</row>
    <row r="296" spans="1:32" ht="11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</row>
    <row r="297" spans="1:32" ht="11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</row>
    <row r="298" spans="1:32" ht="11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</row>
    <row r="299" spans="1:32" ht="11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</row>
    <row r="300" spans="1:32" ht="11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</row>
    <row r="301" spans="1:32" ht="11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</row>
    <row r="302" spans="1:32" ht="11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</row>
    <row r="303" spans="1:32" ht="11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</row>
    <row r="304" spans="1:32" ht="11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</row>
    <row r="305" spans="1:32" ht="11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</row>
    <row r="306" spans="1:32" ht="11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</row>
    <row r="307" spans="1:32" ht="11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</row>
    <row r="308" spans="1:32" ht="11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</row>
    <row r="309" spans="1:32" ht="11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</row>
    <row r="310" spans="1:32" ht="11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</row>
    <row r="311" spans="1:32" ht="11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</row>
    <row r="312" spans="1:32" ht="11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</row>
    <row r="313" spans="1:32" ht="11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</row>
    <row r="314" spans="1:32" ht="11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</row>
    <row r="315" spans="1:32" ht="11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</row>
    <row r="316" spans="1:32" ht="11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</row>
    <row r="317" spans="1:32" ht="11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</row>
    <row r="318" spans="1:32" ht="11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</row>
    <row r="319" spans="1:32" ht="11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</row>
    <row r="320" spans="1:32" ht="11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</row>
    <row r="321" spans="1:32" ht="11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</row>
    <row r="322" spans="1:32" ht="11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</row>
    <row r="323" spans="1:32" ht="11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</row>
    <row r="324" spans="1:32" ht="11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</row>
    <row r="325" spans="1:32" ht="11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</row>
    <row r="326" spans="1:32" ht="11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</row>
    <row r="327" spans="1:32" ht="11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</row>
    <row r="328" spans="1:32" ht="11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</row>
    <row r="329" spans="1:32" ht="11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</row>
    <row r="330" spans="1:32" ht="11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</row>
    <row r="331" spans="1:32" ht="11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</row>
    <row r="332" spans="1:32" ht="11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</row>
    <row r="333" spans="1:32" ht="11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</row>
    <row r="334" spans="1:32" ht="11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</row>
    <row r="335" spans="1:32" ht="11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</row>
    <row r="336" spans="1:32" ht="11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</row>
    <row r="337" spans="1:32" ht="11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</row>
    <row r="338" spans="1:32" ht="11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</row>
    <row r="339" spans="1:32" ht="11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</row>
    <row r="340" spans="1:32" ht="11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</row>
    <row r="341" spans="1:32" ht="11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</row>
    <row r="342" spans="1:32" ht="11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</row>
    <row r="343" spans="1:32" ht="11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</row>
    <row r="344" spans="1:32" ht="11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</row>
    <row r="345" spans="1:32" ht="11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</row>
    <row r="346" spans="1:32" ht="11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</row>
    <row r="347" spans="1:32" ht="11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</row>
    <row r="348" spans="1:32" ht="11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</row>
    <row r="349" spans="1:32" ht="11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</row>
    <row r="350" spans="1:32" ht="11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</row>
    <row r="351" spans="1:32" ht="11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</row>
    <row r="352" spans="1:32" ht="11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</row>
    <row r="353" spans="1:32" ht="11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</row>
    <row r="354" spans="1:32" ht="11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</row>
    <row r="355" spans="1:32" ht="11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</row>
    <row r="356" spans="1:32" ht="11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</row>
    <row r="357" spans="1:32" ht="11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</row>
    <row r="358" spans="1:32" ht="11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</row>
    <row r="359" spans="1:32" ht="11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</row>
    <row r="360" spans="1:32" ht="11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</row>
    <row r="361" spans="1:32" ht="11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</row>
    <row r="362" spans="1:32" ht="11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</row>
    <row r="363" spans="1:32" ht="11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</row>
    <row r="364" spans="1:32" ht="11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</row>
    <row r="365" spans="1:32" ht="11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</row>
    <row r="366" spans="1:32" ht="11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</row>
    <row r="367" spans="1:32" ht="11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</row>
    <row r="368" spans="1:32" ht="11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</row>
    <row r="369" spans="1:32" ht="11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</row>
    <row r="370" spans="1:32" ht="11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</row>
    <row r="371" spans="1:32" ht="11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</row>
    <row r="372" spans="1:32" ht="11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</row>
    <row r="373" spans="1:32" ht="11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</row>
    <row r="374" spans="1:32" ht="11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</row>
    <row r="375" spans="1:32" ht="11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</row>
    <row r="376" spans="1:32" ht="11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</row>
    <row r="377" spans="1:32" ht="11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</row>
    <row r="378" spans="1:32" ht="11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</row>
    <row r="379" spans="1:32" ht="11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</row>
    <row r="380" spans="1:32" ht="11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</row>
    <row r="381" spans="1:32" ht="11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</row>
    <row r="382" spans="1:32" ht="11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</row>
    <row r="383" spans="1:32" ht="11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</row>
    <row r="384" spans="1:32" ht="11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</row>
    <row r="385" spans="1:32" ht="11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</row>
    <row r="386" spans="1:32" ht="11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</row>
    <row r="387" spans="1:32" ht="11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</row>
    <row r="388" spans="1:32" ht="11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</row>
    <row r="389" spans="1:32" ht="11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</row>
    <row r="390" spans="1:32" ht="11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</row>
    <row r="391" spans="1:32" ht="11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</row>
    <row r="392" spans="1:32" ht="11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</row>
    <row r="393" spans="1:32" ht="11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</row>
    <row r="394" spans="1:32" ht="11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</row>
    <row r="395" spans="1:32" ht="11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</row>
    <row r="396" spans="1:32" ht="11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</row>
    <row r="397" spans="1:32" ht="11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</row>
    <row r="398" spans="1:32" ht="11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</row>
    <row r="399" spans="1:32" ht="11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</row>
    <row r="400" spans="1:32" ht="11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</row>
    <row r="401" spans="1:32" ht="11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</row>
    <row r="402" spans="1:32" ht="11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</row>
    <row r="403" spans="1:32" ht="11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</row>
    <row r="404" spans="1:32" ht="11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</row>
    <row r="405" spans="1:32" ht="11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</row>
    <row r="406" spans="1:32" ht="11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</row>
    <row r="407" spans="1:32" ht="11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</row>
    <row r="408" spans="1:32" ht="11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</row>
    <row r="409" spans="1:32" ht="11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</row>
    <row r="410" spans="1:32" ht="11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</row>
    <row r="411" spans="1:32" ht="11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</row>
    <row r="412" spans="1:32" ht="11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</row>
    <row r="413" spans="1:32" ht="11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</row>
    <row r="414" spans="1:32" ht="11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</row>
    <row r="415" spans="1:32" ht="11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</row>
    <row r="416" spans="1:32" ht="11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</row>
    <row r="417" spans="1:32" ht="11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</row>
    <row r="418" spans="1:32" ht="11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</row>
    <row r="419" spans="1:32" ht="11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</row>
    <row r="420" spans="1:32" ht="11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</row>
    <row r="421" spans="1:32" ht="11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</row>
    <row r="422" spans="1:32" ht="11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</row>
    <row r="423" spans="1:32" ht="11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</row>
    <row r="424" spans="1:32" ht="11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</row>
    <row r="425" spans="1:32" ht="11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</row>
    <row r="426" spans="1:32" ht="11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</row>
    <row r="427" spans="1:32" ht="11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</row>
    <row r="428" spans="1:32" ht="11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</row>
    <row r="429" spans="1:32" ht="11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</row>
    <row r="430" spans="1:32" ht="11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</row>
    <row r="431" spans="1:32" ht="11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</row>
    <row r="432" spans="1:32" ht="11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</row>
    <row r="433" spans="1:32" ht="11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</row>
    <row r="434" spans="1:32" ht="11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</row>
    <row r="435" spans="1:32" ht="11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</row>
    <row r="436" spans="1:32" ht="11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</row>
    <row r="437" spans="1:32" ht="11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</row>
    <row r="438" spans="1:32" ht="11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</row>
    <row r="439" spans="1:32" ht="11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</row>
    <row r="440" spans="1:32" ht="11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</row>
    <row r="441" spans="1:32" ht="11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</row>
    <row r="442" spans="1:32" ht="11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</row>
    <row r="443" spans="1:32" ht="11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</row>
    <row r="444" spans="1:32" ht="11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</row>
    <row r="445" spans="1:32" ht="11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</row>
    <row r="446" spans="1:32" ht="11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</row>
    <row r="447" spans="1:32" ht="11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</row>
    <row r="448" spans="1:32" ht="11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</row>
    <row r="449" spans="1:32" ht="11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</row>
    <row r="450" spans="1:32" ht="11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</row>
    <row r="451" spans="1:32" ht="11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</row>
    <row r="452" spans="1:32" ht="11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</row>
    <row r="453" spans="1:32" ht="11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</row>
    <row r="454" spans="1:32" ht="11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</row>
    <row r="455" spans="1:32" ht="11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</row>
    <row r="456" spans="1:32" ht="11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</row>
    <row r="457" spans="1:32" ht="11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</row>
    <row r="458" spans="1:32" ht="11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</row>
    <row r="459" spans="1:32" ht="11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</row>
    <row r="460" spans="1:32" ht="11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</row>
    <row r="461" spans="1:32" ht="11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</row>
    <row r="462" spans="1:32" ht="11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</row>
    <row r="463" spans="1:32" ht="11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</row>
    <row r="464" spans="1:32" ht="11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</row>
    <row r="465" spans="1:32" ht="11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</row>
    <row r="466" spans="1:32" ht="11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</row>
    <row r="467" spans="1:32" ht="11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</row>
    <row r="468" spans="1:32" ht="11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</row>
    <row r="469" spans="1:32" ht="11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</row>
    <row r="470" spans="1:32" ht="11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</row>
    <row r="471" spans="1:32" ht="11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</row>
    <row r="472" spans="1:32" ht="11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</row>
    <row r="473" spans="1:32" ht="11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</row>
    <row r="474" spans="1:32" ht="11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</row>
    <row r="475" spans="1:32" ht="11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</row>
    <row r="476" spans="1:32" ht="11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</row>
    <row r="477" spans="1:32" ht="11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</row>
    <row r="478" spans="1:32" ht="11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</row>
    <row r="479" spans="1:32" ht="11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</row>
    <row r="480" spans="1:32" ht="11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</row>
    <row r="481" spans="1:32" ht="11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</row>
    <row r="482" spans="1:32" ht="11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</row>
    <row r="483" spans="1:32" ht="11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</row>
    <row r="484" spans="1:32" ht="11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</row>
    <row r="485" spans="1:32" ht="11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</row>
    <row r="486" spans="1:32" ht="11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</row>
    <row r="487" spans="1:32" ht="11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</row>
    <row r="488" spans="1:32" ht="11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</row>
    <row r="489" spans="1:32" ht="11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</row>
    <row r="490" spans="1:32" ht="11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</row>
    <row r="491" spans="1:32" ht="11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</row>
    <row r="492" spans="1:32" ht="11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</row>
    <row r="493" spans="1:32" ht="11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</row>
    <row r="494" spans="1:32" ht="11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</row>
    <row r="495" spans="1:32" ht="11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</row>
    <row r="496" spans="1:32" ht="11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</row>
    <row r="497" spans="1:32" ht="11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</row>
    <row r="498" spans="1:32" ht="11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</row>
    <row r="499" spans="1:32" ht="11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</row>
    <row r="500" spans="1:32" ht="11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</row>
    <row r="501" spans="1:32" ht="11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</row>
    <row r="502" spans="1:32" ht="11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</row>
    <row r="503" spans="1:32" ht="11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</row>
    <row r="504" spans="1:32" ht="11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</row>
    <row r="505" spans="1:32" ht="11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</row>
    <row r="506" spans="1:32" ht="11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</row>
    <row r="507" spans="1:32" ht="11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</row>
    <row r="508" spans="1:32" ht="11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</row>
    <row r="509" spans="1:32" ht="11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</row>
    <row r="510" spans="1:32" ht="11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</row>
    <row r="511" spans="1:32" ht="11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</row>
    <row r="512" spans="1:32" ht="11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</row>
    <row r="513" spans="1:32" ht="11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</row>
    <row r="514" spans="1:32" ht="11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</row>
    <row r="515" spans="1:32" ht="11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</row>
    <row r="516" spans="1:32" ht="11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</row>
    <row r="517" spans="1:32" ht="11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</row>
    <row r="518" spans="1:32" ht="11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</row>
    <row r="519" spans="1:32" ht="11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</row>
    <row r="520" spans="1:32" ht="11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</row>
    <row r="521" spans="1:32" ht="11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</row>
    <row r="522" spans="1:32" ht="11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</row>
    <row r="523" spans="1:32" ht="11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</row>
    <row r="524" spans="1:32" ht="11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</row>
    <row r="525" spans="1:32" ht="11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</row>
    <row r="526" spans="1:32" ht="11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</row>
    <row r="527" spans="1:32" ht="11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</row>
    <row r="528" spans="1:32" ht="11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</row>
    <row r="529" spans="1:32" ht="11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</row>
    <row r="530" spans="1:32" ht="11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</row>
    <row r="531" spans="1:32" ht="11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</row>
    <row r="532" spans="1:32" ht="11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</row>
    <row r="533" spans="1:32" ht="11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</row>
    <row r="534" spans="1:32" ht="11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</row>
    <row r="535" spans="1:32" ht="11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</row>
    <row r="536" spans="1:32" ht="11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</row>
    <row r="537" spans="1:32" ht="11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</row>
    <row r="538" spans="1:32" ht="11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</row>
    <row r="539" spans="1:32" ht="11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</row>
    <row r="540" spans="1:32" ht="11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</row>
    <row r="541" spans="1:32" ht="11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</row>
    <row r="542" spans="1:32" ht="11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</row>
    <row r="543" spans="1:32" ht="11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</row>
    <row r="544" spans="1:32" ht="11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</row>
    <row r="545" spans="1:32" ht="11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</row>
    <row r="546" spans="1:32" ht="11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</row>
    <row r="547" spans="1:32" ht="11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</row>
    <row r="548" spans="1:32" ht="11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</row>
    <row r="549" spans="1:32" ht="11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</row>
    <row r="550" spans="1:32" ht="11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</row>
    <row r="551" spans="1:32" ht="11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</row>
    <row r="552" spans="1:32" ht="11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</row>
    <row r="553" spans="1:32" ht="11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</row>
    <row r="554" spans="1:32" ht="11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</row>
    <row r="555" spans="1:32" ht="11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</row>
    <row r="556" spans="1:32" ht="11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</row>
    <row r="557" spans="1:32" ht="11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</row>
    <row r="558" spans="1:32" ht="11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</row>
    <row r="559" spans="1:32" ht="11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</row>
    <row r="560" spans="1:32" ht="11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</row>
    <row r="561" spans="1:32" ht="11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</row>
    <row r="562" spans="1:32" ht="11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</row>
    <row r="563" spans="1:32" ht="11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</row>
    <row r="564" spans="1:32" ht="11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</row>
    <row r="565" spans="1:32" ht="11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</row>
    <row r="566" spans="1:32" ht="11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</row>
    <row r="567" spans="1:32" ht="11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</row>
    <row r="568" spans="1:32" ht="11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</row>
    <row r="569" spans="1:32" ht="11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</row>
    <row r="570" spans="1:32" ht="11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</row>
    <row r="571" spans="1:32" ht="11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</row>
    <row r="572" spans="1:32" ht="11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</row>
    <row r="573" spans="1:32" ht="11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</row>
    <row r="574" spans="1:32" ht="11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</row>
    <row r="575" spans="1:32" ht="11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</row>
    <row r="576" spans="1:32" ht="11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</row>
    <row r="577" spans="1:32" ht="11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</row>
    <row r="578" spans="1:32" ht="11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</row>
    <row r="579" spans="1:32" ht="11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</row>
    <row r="580" spans="1:32" ht="11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</row>
    <row r="581" spans="1:32" ht="11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</row>
    <row r="582" spans="1:32" ht="11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</row>
    <row r="583" spans="1:32" ht="11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</row>
    <row r="584" spans="1:32" ht="11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</row>
    <row r="585" spans="1:32" ht="11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</row>
    <row r="586" spans="1:32" ht="11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</row>
    <row r="587" spans="1:32" ht="11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</row>
    <row r="588" spans="1:32" ht="11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</row>
    <row r="589" spans="1:32" ht="11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</row>
    <row r="590" spans="1:32" ht="11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</row>
    <row r="591" spans="1:32" ht="11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</row>
    <row r="592" spans="1:32" ht="11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</row>
    <row r="593" spans="1:32" ht="11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</row>
    <row r="594" spans="1:32" ht="11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</row>
    <row r="595" spans="1:32" ht="11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</row>
    <row r="596" spans="1:32" ht="11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</row>
    <row r="597" spans="1:32" ht="11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</row>
    <row r="598" spans="1:32" ht="11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</row>
    <row r="599" spans="1:32" ht="11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</row>
    <row r="600" spans="1:32" ht="11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</row>
    <row r="601" spans="1:32" ht="11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</row>
    <row r="602" spans="1:32" ht="11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</row>
    <row r="603" spans="1:32" ht="11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</row>
    <row r="604" spans="1:32" ht="11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</row>
    <row r="605" spans="1:32" ht="11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</row>
    <row r="606" spans="1:32" ht="11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</row>
    <row r="607" spans="1:32" ht="11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</row>
    <row r="608" spans="1:32" ht="11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</row>
    <row r="609" spans="1:32" ht="11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</row>
    <row r="610" spans="1:32" ht="11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</row>
    <row r="611" spans="1:32" ht="11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</row>
    <row r="612" spans="1:32" ht="11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</row>
    <row r="613" spans="1:32" ht="11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</row>
    <row r="614" spans="1:32" ht="11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</row>
    <row r="615" spans="1:32" ht="11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</row>
    <row r="616" spans="1:32" ht="11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</row>
    <row r="617" spans="1:32" ht="11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</row>
    <row r="618" spans="1:32" ht="11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</row>
    <row r="619" spans="1:32" ht="11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</row>
    <row r="620" spans="1:32" ht="11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</row>
    <row r="621" spans="1:32" ht="11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</row>
    <row r="622" spans="1:32" ht="11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</row>
    <row r="623" spans="1:32" ht="11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</row>
    <row r="624" spans="1:32" ht="11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</row>
    <row r="625" spans="1:32" ht="11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</row>
    <row r="626" spans="1:32" ht="11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</row>
    <row r="627" spans="1:32" ht="11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</row>
    <row r="628" spans="1:32" ht="11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</row>
    <row r="629" spans="1:32" ht="11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</row>
    <row r="630" spans="1:32" ht="11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</row>
    <row r="631" spans="1:32" ht="11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</row>
    <row r="632" spans="1:32" ht="11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</row>
    <row r="633" spans="1:32" ht="11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</row>
    <row r="634" spans="1:32" ht="11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</row>
    <row r="635" spans="1:32" ht="11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</row>
    <row r="636" spans="1:32" ht="11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</row>
    <row r="637" spans="1:32" ht="11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</row>
    <row r="638" spans="1:32" ht="11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</row>
    <row r="639" spans="1:32" ht="11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</row>
    <row r="640" spans="1:32" ht="11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</row>
    <row r="641" spans="1:32" ht="11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</row>
    <row r="642" spans="1:32" ht="11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</row>
    <row r="643" spans="1:32" ht="11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</row>
    <row r="644" spans="1:32" ht="11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</row>
    <row r="645" spans="1:32" ht="11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</row>
    <row r="646" spans="1:32" ht="11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</row>
    <row r="647" spans="1:32" ht="11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</row>
    <row r="648" spans="1:32" ht="11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</row>
    <row r="649" spans="1:32" ht="11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</row>
    <row r="650" spans="1:32" ht="11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</row>
    <row r="651" spans="1:32" ht="11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</row>
    <row r="652" spans="1:32" ht="11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</row>
    <row r="653" spans="1:32" ht="11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</row>
    <row r="654" spans="1:32" ht="11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</row>
    <row r="655" spans="1:32" ht="11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</row>
    <row r="656" spans="1:32" ht="11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</row>
    <row r="657" spans="1:32" ht="11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</row>
    <row r="658" spans="1:32" ht="11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</row>
    <row r="659" spans="1:32" ht="11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</row>
    <row r="660" spans="1:32" ht="11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</row>
    <row r="661" spans="1:32" ht="11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</row>
    <row r="662" spans="1:32" ht="11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</row>
    <row r="663" spans="1:32" ht="11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</row>
    <row r="664" spans="1:32" ht="11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</row>
    <row r="665" spans="1:32" ht="11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</row>
    <row r="666" spans="1:32" ht="11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</row>
    <row r="667" spans="1:32" ht="11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</row>
    <row r="668" spans="1:32" ht="11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</row>
    <row r="669" spans="1:32" ht="11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</row>
    <row r="670" spans="1:32" ht="11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</row>
    <row r="671" spans="1:32" ht="11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</row>
    <row r="672" spans="1:32" ht="11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</row>
    <row r="673" spans="1:32" ht="11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</row>
    <row r="674" spans="1:32" ht="11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</row>
    <row r="675" spans="1:32" ht="11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</row>
    <row r="676" spans="1:32" ht="11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</row>
    <row r="677" spans="1:32" ht="11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</row>
    <row r="678" spans="1:32" ht="11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</row>
    <row r="679" spans="1:32" ht="11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</row>
    <row r="680" spans="1:32" ht="11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</row>
    <row r="681" spans="1:32" ht="11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</row>
    <row r="682" spans="1:32" ht="11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</row>
    <row r="683" spans="1:32" ht="11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</row>
    <row r="684" spans="1:32" ht="11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</row>
    <row r="685" spans="1:32" ht="11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</row>
    <row r="686" spans="1:32" ht="11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</row>
    <row r="687" spans="1:32" ht="11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</row>
    <row r="688" spans="1:32" ht="11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</row>
    <row r="689" spans="1:32" ht="11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</row>
    <row r="690" spans="1:32" ht="11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</row>
    <row r="691" spans="1:32" ht="11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</row>
    <row r="692" spans="1:32" ht="11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</row>
    <row r="693" spans="1:32" ht="11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</row>
    <row r="694" spans="1:32" ht="11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</row>
    <row r="695" spans="1:32" ht="11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</row>
    <row r="696" spans="1:32" ht="11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</row>
    <row r="697" spans="1:32" ht="11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</row>
    <row r="698" spans="1:32" ht="11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</row>
    <row r="699" spans="1:32" ht="11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</row>
    <row r="700" spans="1:32" ht="11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</row>
    <row r="701" spans="1:32" ht="11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</row>
    <row r="702" spans="1:32" ht="11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</row>
    <row r="703" spans="1:32" ht="11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</row>
    <row r="704" spans="1:32" ht="11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</row>
    <row r="705" spans="1:32" ht="11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</row>
    <row r="706" spans="1:32" ht="11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</row>
    <row r="707" spans="1:32" ht="11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</row>
    <row r="708" spans="1:32" ht="11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</row>
    <row r="709" spans="1:32" ht="11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</row>
    <row r="710" spans="1:32" ht="11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</row>
    <row r="711" spans="1:32" ht="11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</row>
    <row r="712" spans="1:32" ht="11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</row>
    <row r="713" spans="1:32" ht="11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</row>
    <row r="714" spans="1:32" ht="11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</row>
    <row r="715" spans="1:32" ht="11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</row>
    <row r="716" spans="1:32" ht="11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</row>
    <row r="717" spans="1:32" ht="11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</row>
    <row r="718" spans="1:32" ht="11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</row>
    <row r="719" spans="1:32" ht="11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</row>
    <row r="720" spans="1:32" ht="11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</row>
    <row r="721" spans="1:32" ht="11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</row>
    <row r="722" spans="1:32" ht="11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</row>
    <row r="723" spans="1:32" ht="11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</row>
    <row r="724" spans="1:32" ht="11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</row>
    <row r="725" spans="1:32" ht="11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</row>
    <row r="726" spans="1:32" ht="11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</row>
    <row r="727" spans="1:32" ht="11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</row>
    <row r="728" spans="1:32" ht="11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</row>
    <row r="729" spans="1:32" ht="11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</row>
    <row r="730" spans="1:32" ht="11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</row>
    <row r="731" spans="1:32" ht="11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</row>
    <row r="732" spans="1:32" ht="11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</row>
    <row r="733" spans="1:32" ht="11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</row>
    <row r="734" spans="1:32" ht="11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</row>
    <row r="735" spans="1:32" ht="11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</row>
    <row r="736" spans="1:32" ht="11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</row>
    <row r="737" spans="1:32" ht="11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</row>
    <row r="738" spans="1:32" ht="11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</row>
    <row r="739" spans="1:32" ht="11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</row>
    <row r="740" spans="1:32" ht="11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</row>
    <row r="741" spans="1:32" ht="11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</row>
    <row r="742" spans="1:32" ht="11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</row>
    <row r="743" spans="1:32" ht="11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</row>
    <row r="744" spans="1:32" ht="11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</row>
    <row r="745" spans="1:32" ht="11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</row>
    <row r="746" spans="1:32" ht="11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</row>
    <row r="747" spans="1:32" ht="11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</row>
    <row r="748" spans="1:32" ht="11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</row>
    <row r="749" spans="1:32" ht="11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</row>
    <row r="750" spans="1:32" ht="11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</row>
    <row r="751" spans="1:32" ht="11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</row>
    <row r="752" spans="1:32" ht="11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</row>
    <row r="753" spans="1:32" ht="11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</row>
    <row r="754" spans="1:32" ht="11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</row>
    <row r="755" spans="1:32" ht="11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</row>
    <row r="756" spans="1:32" ht="11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</row>
    <row r="757" spans="1:32" ht="11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</row>
    <row r="758" spans="1:32" ht="11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</row>
    <row r="759" spans="1:32" ht="11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</row>
    <row r="760" spans="1:32" ht="11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</row>
    <row r="761" spans="1:32" ht="11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</row>
    <row r="762" spans="1:32" ht="11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</row>
    <row r="763" spans="1:32" ht="11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</row>
    <row r="764" spans="1:32" ht="11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</row>
    <row r="765" spans="1:32" ht="11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</row>
    <row r="766" spans="1:32" ht="11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</row>
    <row r="767" spans="1:32" ht="11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</row>
    <row r="768" spans="1:32" ht="11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</row>
    <row r="769" spans="1:32" ht="11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</row>
    <row r="770" spans="1:32" ht="11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</row>
    <row r="771" spans="1:32" ht="11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</row>
    <row r="772" spans="1:32" ht="11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</row>
    <row r="773" spans="1:32" ht="11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</row>
    <row r="774" spans="1:32" ht="11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</row>
    <row r="775" spans="1:32" ht="11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</row>
    <row r="776" spans="1:32" ht="11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</row>
    <row r="777" spans="1:32" ht="11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</row>
    <row r="778" spans="1:32" ht="11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</row>
    <row r="779" spans="1:32" ht="11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</row>
    <row r="780" spans="1:32" ht="11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</row>
    <row r="781" spans="1:32" ht="11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</row>
    <row r="782" spans="1:32" ht="11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</row>
    <row r="783" spans="1:32" ht="11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</row>
    <row r="784" spans="1:32" ht="11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</row>
    <row r="785" spans="1:32" ht="11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</row>
    <row r="786" spans="1:32" ht="11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</row>
    <row r="787" spans="1:32" ht="11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</row>
    <row r="788" spans="1:32" ht="11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</row>
    <row r="789" spans="1:32" ht="11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</row>
    <row r="790" spans="1:32" ht="11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</row>
    <row r="791" spans="1:32" ht="11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</row>
    <row r="792" spans="1:32" ht="11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</row>
    <row r="793" spans="1:32" ht="11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</row>
    <row r="794" spans="1:32" ht="11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</row>
    <row r="795" spans="1:32" ht="11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</row>
    <row r="796" spans="1:32" ht="11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</row>
    <row r="797" spans="1:32" ht="11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</row>
    <row r="798" spans="1:32" ht="11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</row>
    <row r="799" spans="1:32" ht="11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</row>
    <row r="800" spans="1:32" ht="11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</row>
    <row r="801" spans="1:32" ht="11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</row>
    <row r="802" spans="1:32" ht="11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</row>
    <row r="803" spans="1:32" ht="11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</row>
    <row r="804" spans="1:32" ht="11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</row>
    <row r="805" spans="1:32" ht="11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</row>
    <row r="806" spans="1:32" ht="11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</row>
    <row r="807" spans="1:32" ht="11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</row>
    <row r="808" spans="1:32" ht="11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</row>
    <row r="809" spans="1:32" ht="11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</row>
    <row r="810" spans="1:32" ht="11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</row>
    <row r="811" spans="1:32" ht="11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</row>
    <row r="812" spans="1:32" ht="11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</row>
    <row r="813" spans="1:32" ht="11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</row>
    <row r="814" spans="1:32" ht="11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</row>
    <row r="815" spans="1:32" ht="11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</row>
    <row r="816" spans="1:32" ht="11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</row>
    <row r="817" spans="1:32" ht="11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</row>
    <row r="818" spans="1:32" ht="11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</row>
    <row r="819" spans="1:32" ht="11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</row>
    <row r="820" spans="1:32" ht="11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</row>
    <row r="821" spans="1:32" ht="11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</row>
    <row r="822" spans="1:32" ht="11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</row>
    <row r="823" spans="1:32" ht="11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</row>
    <row r="824" spans="1:32" ht="11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</row>
    <row r="825" spans="1:32" ht="11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</row>
    <row r="826" spans="1:32" ht="11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</row>
    <row r="827" spans="1:32" ht="11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</row>
    <row r="828" spans="1:32" ht="11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</row>
    <row r="829" spans="1:32" ht="11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</row>
    <row r="830" spans="1:32" ht="11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</row>
    <row r="831" spans="1:32" ht="11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</row>
    <row r="832" spans="1:32" ht="11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</row>
    <row r="833" spans="1:32" ht="11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</row>
    <row r="834" spans="1:32" ht="11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</row>
    <row r="835" spans="1:32" ht="11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</row>
    <row r="836" spans="1:32" ht="11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</row>
    <row r="837" spans="1:32" ht="11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</row>
    <row r="838" spans="1:32" ht="11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</row>
    <row r="839" spans="1:32" ht="11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</row>
    <row r="840" spans="1:32" ht="11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</row>
    <row r="841" spans="1:32" ht="11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</row>
    <row r="842" spans="1:32" ht="11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</row>
    <row r="843" spans="1:32" ht="11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</row>
    <row r="844" spans="1:32" ht="11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</row>
    <row r="845" spans="1:32" ht="11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</row>
    <row r="846" spans="1:32" ht="11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</row>
    <row r="847" spans="1:32" ht="11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</row>
    <row r="848" spans="1:32" ht="11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</row>
    <row r="849" spans="1:32" ht="11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</row>
    <row r="850" spans="1:32" ht="11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</row>
    <row r="851" spans="1:32" ht="11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</row>
    <row r="852" spans="1:32" ht="11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</row>
    <row r="853" spans="1:32" ht="11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</row>
    <row r="854" spans="1:32" ht="11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</row>
    <row r="855" spans="1:32" ht="11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</row>
    <row r="856" spans="1:32" ht="11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</row>
    <row r="857" spans="1:32" ht="11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</row>
    <row r="858" spans="1:32" ht="11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</row>
    <row r="859" spans="1:32" ht="11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</row>
    <row r="860" spans="1:32" ht="11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</row>
    <row r="861" spans="1:32" ht="11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</row>
    <row r="862" spans="1:32" ht="11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</row>
    <row r="863" spans="1:32" ht="11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</row>
    <row r="864" spans="1:32" ht="11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</row>
    <row r="865" spans="1:32" ht="11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</row>
    <row r="866" spans="1:32" ht="11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</row>
    <row r="867" spans="1:32" ht="11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</row>
    <row r="868" spans="1:32" ht="11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</row>
    <row r="869" spans="1:32" ht="11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</row>
    <row r="870" spans="1:32" ht="11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</row>
    <row r="871" spans="1:32" ht="11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</row>
    <row r="872" spans="1:32" ht="11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</row>
    <row r="873" spans="1:32" ht="11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</row>
    <row r="874" spans="1:32" ht="11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</row>
    <row r="875" spans="1:32" ht="11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</row>
    <row r="876" spans="1:32" ht="11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</row>
    <row r="877" spans="1:32" ht="11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</row>
    <row r="878" spans="1:32" ht="11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</row>
    <row r="879" spans="1:32" ht="11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</row>
    <row r="880" spans="1:32" ht="11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</row>
    <row r="881" spans="1:32" ht="11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</row>
    <row r="882" spans="1:32" ht="11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</row>
    <row r="883" spans="1:32" ht="11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</row>
    <row r="884" spans="1:32" ht="11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</row>
    <row r="885" spans="1:32" ht="11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</row>
    <row r="886" spans="1:32" ht="11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</row>
    <row r="887" spans="1:32" ht="11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</row>
    <row r="888" spans="1:32" ht="11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</row>
    <row r="889" spans="1:32" ht="11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</row>
    <row r="890" spans="1:32" ht="11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</row>
    <row r="891" spans="1:32" ht="11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</row>
    <row r="892" spans="1:32" ht="11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</row>
    <row r="893" spans="1:32" ht="11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</row>
    <row r="894" spans="1:32" ht="11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</row>
    <row r="895" spans="1:32" ht="11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</row>
    <row r="896" spans="1:32" ht="11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</row>
    <row r="897" spans="1:32" ht="11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</row>
    <row r="898" spans="1:32" ht="11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</row>
    <row r="899" spans="1:32" ht="11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</row>
    <row r="900" spans="1:32" ht="11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</row>
    <row r="901" spans="1:32" ht="11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</row>
    <row r="902" spans="1:32" ht="11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</row>
    <row r="903" spans="1:32" ht="11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</row>
    <row r="904" spans="1:32" ht="11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</row>
    <row r="905" spans="1:32" ht="11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</row>
    <row r="906" spans="1:32" ht="11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</row>
    <row r="907" spans="1:32" ht="11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</row>
    <row r="908" spans="1:32" ht="11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</row>
    <row r="909" spans="1:32" ht="11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</row>
    <row r="910" spans="1:32" ht="11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</row>
    <row r="911" spans="1:32" ht="11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</row>
    <row r="912" spans="1:32" ht="11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</row>
    <row r="913" spans="1:32" ht="11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</row>
    <row r="914" spans="1:32" ht="11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</row>
    <row r="915" spans="1:32" ht="11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</row>
    <row r="916" spans="1:32" ht="11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</row>
    <row r="917" spans="1:32" ht="11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</row>
    <row r="918" spans="1:32" ht="11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</row>
    <row r="919" spans="1:32" ht="11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</row>
    <row r="920" spans="1:32" ht="11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</row>
    <row r="921" spans="1:32" ht="11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</row>
    <row r="922" spans="1:32" ht="11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</row>
    <row r="923" spans="1:32" ht="11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</row>
    <row r="924" spans="1:32" ht="11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</row>
    <row r="925" spans="1:32" ht="11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</row>
    <row r="926" spans="1:32" ht="11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</row>
    <row r="927" spans="1:32" ht="11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</row>
    <row r="928" spans="1:32" ht="11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</row>
    <row r="929" spans="1:32" ht="11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</row>
    <row r="930" spans="1:32" ht="11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</row>
    <row r="931" spans="1:32" ht="11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</row>
    <row r="932" spans="1:32" ht="11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</row>
    <row r="933" spans="1:32" ht="11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</row>
    <row r="934" spans="1:32" ht="11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</row>
    <row r="935" spans="1:32" ht="11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</row>
    <row r="936" spans="1:32" ht="11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</row>
    <row r="937" spans="1:32" ht="11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</row>
    <row r="938" spans="1:32" ht="11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</row>
    <row r="939" spans="1:32" ht="11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</row>
    <row r="940" spans="1:32" ht="11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</row>
    <row r="941" spans="1:32" ht="11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</row>
    <row r="942" spans="1:32" ht="11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</row>
    <row r="943" spans="1:32" ht="11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</row>
    <row r="944" spans="1:32" ht="11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</row>
    <row r="945" spans="1:32" ht="11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</row>
    <row r="946" spans="1:32" ht="11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</row>
    <row r="947" spans="1:32" ht="11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</row>
    <row r="948" spans="1:32" ht="11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</row>
    <row r="949" spans="1:32" ht="11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</row>
    <row r="950" spans="1:32" ht="11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</row>
    <row r="951" spans="1:32" ht="11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</row>
    <row r="952" spans="1:32" ht="11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</row>
    <row r="953" spans="1:32" ht="11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</row>
    <row r="954" spans="1:32" ht="11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</row>
    <row r="955" spans="1:32" ht="11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</row>
    <row r="956" spans="1:32" ht="11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</row>
    <row r="957" spans="1:32" ht="11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</row>
    <row r="958" spans="1:32" ht="11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</row>
    <row r="959" spans="1:32" ht="11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</row>
    <row r="960" spans="1:32" ht="11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</row>
    <row r="961" spans="1:32" ht="11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</row>
    <row r="962" spans="1:32" ht="11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</row>
    <row r="963" spans="1:32" ht="11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</row>
    <row r="964" spans="1:32" ht="11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</row>
    <row r="965" spans="1:32" ht="11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</row>
    <row r="966" spans="1:32" ht="11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</row>
    <row r="967" spans="1:32" ht="11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</row>
    <row r="968" spans="1:32" ht="11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</row>
    <row r="969" spans="1:32" ht="11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</row>
    <row r="970" spans="1:32" ht="11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</row>
    <row r="971" spans="1:32" ht="11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</row>
    <row r="972" spans="1:32" ht="11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</row>
    <row r="973" spans="1:32" ht="11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</row>
    <row r="974" spans="1:32" ht="11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</row>
    <row r="975" spans="1:32" ht="11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</row>
    <row r="976" spans="1:32" ht="11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</row>
    <row r="977" spans="1:32" ht="11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</row>
    <row r="978" spans="1:32" ht="11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</row>
    <row r="979" spans="1:32" ht="11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</row>
    <row r="980" spans="1:32" ht="11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</row>
    <row r="981" spans="1:32" ht="11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</row>
    <row r="982" spans="1:32" ht="11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</row>
    <row r="983" spans="1:32" ht="11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</row>
    <row r="984" spans="1:32" ht="11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</row>
    <row r="985" spans="1:32" ht="11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</row>
    <row r="986" spans="1:32" ht="11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</row>
    <row r="987" spans="1:32" ht="11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</row>
    <row r="988" spans="1:32" ht="11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</row>
    <row r="989" spans="1:32" ht="11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</row>
    <row r="990" spans="1:32" ht="11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</row>
    <row r="991" spans="1:32" ht="11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</row>
    <row r="992" spans="1:32" ht="11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</row>
    <row r="993" spans="1:32" ht="11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</row>
    <row r="994" spans="1:32" ht="11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</row>
    <row r="995" spans="1:32" ht="11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</row>
    <row r="996" spans="1:32" ht="11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</row>
    <row r="997" spans="1:32" ht="11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</row>
  </sheetData>
  <mergeCells count="30">
    <mergeCell ref="O46:P46"/>
    <mergeCell ref="O47:P47"/>
    <mergeCell ref="O32:P32"/>
    <mergeCell ref="O33:P33"/>
    <mergeCell ref="O34:P34"/>
    <mergeCell ref="O35:P35"/>
    <mergeCell ref="B45:D45"/>
    <mergeCell ref="E45:G45"/>
    <mergeCell ref="H45:J45"/>
    <mergeCell ref="K45:M45"/>
    <mergeCell ref="O18:P18"/>
    <mergeCell ref="O19:P19"/>
    <mergeCell ref="O20:P20"/>
    <mergeCell ref="O21:P21"/>
    <mergeCell ref="B31:D31"/>
    <mergeCell ref="E31:G31"/>
    <mergeCell ref="H31:J31"/>
    <mergeCell ref="K31:M31"/>
    <mergeCell ref="O6:P6"/>
    <mergeCell ref="O7:P7"/>
    <mergeCell ref="B17:D17"/>
    <mergeCell ref="E17:G17"/>
    <mergeCell ref="H17:J17"/>
    <mergeCell ref="K17:M17"/>
    <mergeCell ref="B3:D3"/>
    <mergeCell ref="E3:G3"/>
    <mergeCell ref="H3:J3"/>
    <mergeCell ref="K3:M3"/>
    <mergeCell ref="O4:P4"/>
    <mergeCell ref="O5:P5"/>
  </mergeCells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1F289-112A-41FC-A372-23F50CDA009C}">
  <dimension ref="A1:AF997"/>
  <sheetViews>
    <sheetView zoomScale="80" zoomScaleNormal="80" workbookViewId="0"/>
  </sheetViews>
  <sheetFormatPr defaultColWidth="14.44140625" defaultRowHeight="15" customHeight="1"/>
  <cols>
    <col min="1" max="32" width="9" style="4" customWidth="1"/>
    <col min="33" max="16384" width="14.44140625" style="4"/>
  </cols>
  <sheetData>
    <row r="1" spans="1:32" ht="14.2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3"/>
      <c r="AE1" s="3"/>
      <c r="AF1" s="3"/>
    </row>
    <row r="2" spans="1:32" ht="11.25" customHeight="1">
      <c r="A2" s="17" t="s">
        <v>30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2"/>
      <c r="T2" s="3"/>
      <c r="U2" s="3"/>
      <c r="V2" s="3"/>
      <c r="W2" s="2"/>
      <c r="X2" s="2"/>
      <c r="Y2" s="2"/>
      <c r="Z2" s="2"/>
      <c r="AA2" s="2"/>
      <c r="AB2" s="2"/>
      <c r="AC2" s="2"/>
      <c r="AD2" s="2"/>
      <c r="AE2" s="2"/>
      <c r="AF2" s="2"/>
    </row>
    <row r="3" spans="1:32" ht="11.25" customHeight="1">
      <c r="A3" s="6"/>
      <c r="B3" s="26" t="s">
        <v>14</v>
      </c>
      <c r="C3" s="27"/>
      <c r="D3" s="28"/>
      <c r="E3" s="29" t="s">
        <v>8</v>
      </c>
      <c r="F3" s="30"/>
      <c r="G3" s="31"/>
      <c r="H3" s="32" t="s">
        <v>18</v>
      </c>
      <c r="I3" s="33"/>
      <c r="J3" s="34"/>
      <c r="K3" s="35" t="s">
        <v>19</v>
      </c>
      <c r="L3" s="36"/>
      <c r="M3" s="37"/>
      <c r="N3" s="6"/>
      <c r="O3" s="6"/>
      <c r="P3" s="6"/>
      <c r="Q3" s="7" t="s">
        <v>4</v>
      </c>
      <c r="R3" s="8" t="s">
        <v>0</v>
      </c>
      <c r="S3" s="2"/>
      <c r="T3" s="3"/>
      <c r="U3" s="3"/>
      <c r="V3" s="3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ht="11.25" customHeight="1">
      <c r="A4" s="9" t="s">
        <v>5</v>
      </c>
      <c r="B4" s="7" t="s">
        <v>1</v>
      </c>
      <c r="C4" s="7" t="s">
        <v>2</v>
      </c>
      <c r="D4" s="7" t="s">
        <v>3</v>
      </c>
      <c r="E4" s="7" t="s">
        <v>1</v>
      </c>
      <c r="F4" s="7" t="s">
        <v>2</v>
      </c>
      <c r="G4" s="7" t="s">
        <v>3</v>
      </c>
      <c r="H4" s="7" t="s">
        <v>1</v>
      </c>
      <c r="I4" s="7" t="s">
        <v>2</v>
      </c>
      <c r="J4" s="7" t="s">
        <v>3</v>
      </c>
      <c r="K4" s="7" t="s">
        <v>1</v>
      </c>
      <c r="L4" s="7" t="s">
        <v>2</v>
      </c>
      <c r="M4" s="7" t="s">
        <v>3</v>
      </c>
      <c r="N4" s="6"/>
      <c r="O4" s="38" t="s">
        <v>14</v>
      </c>
      <c r="P4" s="39"/>
      <c r="Q4" s="7">
        <f>AVERAGE(D5:D14)</f>
        <v>7.2916666666666671E-2</v>
      </c>
      <c r="R4" s="7">
        <f>STDEV(D5:D14)/SQRT(6)</f>
        <v>2.9050695365766512E-2</v>
      </c>
      <c r="S4" s="2"/>
      <c r="T4" s="3"/>
      <c r="U4" s="3"/>
      <c r="V4" s="3"/>
      <c r="W4" s="2"/>
      <c r="X4" s="2"/>
      <c r="Y4" s="2"/>
      <c r="Z4" s="2"/>
      <c r="AA4" s="2"/>
      <c r="AB4" s="2"/>
      <c r="AC4" s="2"/>
      <c r="AD4" s="2"/>
      <c r="AE4" s="2"/>
      <c r="AF4" s="2"/>
    </row>
    <row r="5" spans="1:32" ht="11.25" customHeight="1">
      <c r="A5" s="7">
        <v>1</v>
      </c>
      <c r="B5" s="7">
        <v>0</v>
      </c>
      <c r="C5" s="7">
        <v>24</v>
      </c>
      <c r="D5" s="7">
        <f t="shared" ref="D5:D8" si="0">B5/C5</f>
        <v>0</v>
      </c>
      <c r="E5" s="7">
        <v>0</v>
      </c>
      <c r="F5" s="7">
        <v>24</v>
      </c>
      <c r="G5" s="7">
        <f t="shared" ref="G5:G8" si="1">E5/F5</f>
        <v>0</v>
      </c>
      <c r="H5" s="18">
        <v>1</v>
      </c>
      <c r="I5" s="7">
        <v>24</v>
      </c>
      <c r="J5" s="7">
        <f t="shared" ref="J5:J8" si="2">H5/I5</f>
        <v>4.1666666666666664E-2</v>
      </c>
      <c r="K5" s="18">
        <v>0</v>
      </c>
      <c r="L5" s="7">
        <v>24</v>
      </c>
      <c r="M5" s="7">
        <f t="shared" ref="M5:M8" si="3">K5/L5</f>
        <v>0</v>
      </c>
      <c r="N5" s="6"/>
      <c r="O5" s="24" t="s">
        <v>7</v>
      </c>
      <c r="P5" s="25"/>
      <c r="Q5" s="7">
        <f>AVERAGE(G5:G14)</f>
        <v>2.0833333333333332E-2</v>
      </c>
      <c r="R5" s="7">
        <f>STDEV(D6:D15)/SQRT(6)</f>
        <v>2.5983731852596812E-2</v>
      </c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2" ht="11.25" customHeight="1">
      <c r="A6" s="7">
        <v>2</v>
      </c>
      <c r="B6" s="7">
        <v>2</v>
      </c>
      <c r="C6" s="7">
        <v>24</v>
      </c>
      <c r="D6" s="7">
        <f t="shared" si="0"/>
        <v>8.3333333333333329E-2</v>
      </c>
      <c r="E6" s="7">
        <v>0</v>
      </c>
      <c r="F6" s="7">
        <v>24</v>
      </c>
      <c r="G6" s="7">
        <f t="shared" si="1"/>
        <v>0</v>
      </c>
      <c r="H6" s="18">
        <v>0</v>
      </c>
      <c r="I6" s="7">
        <v>24</v>
      </c>
      <c r="J6" s="7">
        <f t="shared" si="2"/>
        <v>0</v>
      </c>
      <c r="K6" s="18">
        <v>2</v>
      </c>
      <c r="L6" s="7">
        <v>24</v>
      </c>
      <c r="M6" s="7">
        <f t="shared" si="3"/>
        <v>8.3333333333333329E-2</v>
      </c>
      <c r="N6" s="6"/>
      <c r="O6" s="40" t="s">
        <v>18</v>
      </c>
      <c r="P6" s="40"/>
      <c r="Q6" s="7">
        <f>AVERAGE(J5:J14)</f>
        <v>1.0416666666666666E-2</v>
      </c>
      <c r="R6" s="7">
        <f>STDEV(J5:J14)/SQRT(6)</f>
        <v>8.5051727179971462E-3</v>
      </c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</row>
    <row r="7" spans="1:32" ht="11.25" customHeight="1">
      <c r="A7" s="7">
        <v>3</v>
      </c>
      <c r="B7" s="7">
        <v>4</v>
      </c>
      <c r="C7" s="7">
        <v>24</v>
      </c>
      <c r="D7" s="7">
        <f t="shared" si="0"/>
        <v>0.16666666666666666</v>
      </c>
      <c r="E7" s="7">
        <v>1</v>
      </c>
      <c r="F7" s="7">
        <v>24</v>
      </c>
      <c r="G7" s="7">
        <f t="shared" si="1"/>
        <v>4.1666666666666664E-2</v>
      </c>
      <c r="H7" s="18">
        <v>0</v>
      </c>
      <c r="I7" s="7">
        <v>24</v>
      </c>
      <c r="J7" s="7">
        <f t="shared" si="2"/>
        <v>0</v>
      </c>
      <c r="K7" s="18">
        <v>0</v>
      </c>
      <c r="L7" s="7">
        <v>24</v>
      </c>
      <c r="M7" s="7">
        <f t="shared" si="3"/>
        <v>0</v>
      </c>
      <c r="N7" s="6"/>
      <c r="O7" s="41" t="s">
        <v>19</v>
      </c>
      <c r="P7" s="41"/>
      <c r="Q7" s="7">
        <f>AVERAGE(M5:M14)</f>
        <v>2.0833333333333332E-2</v>
      </c>
      <c r="R7" s="7">
        <f>STDEV(M5:M14)/SQRT(6)</f>
        <v>1.7010345435994292E-2</v>
      </c>
      <c r="S7" s="2"/>
      <c r="T7" s="2"/>
      <c r="U7" s="5" t="s">
        <v>4</v>
      </c>
      <c r="V7" s="2"/>
      <c r="W7" s="2"/>
      <c r="X7" s="2"/>
      <c r="Y7" s="2"/>
      <c r="Z7" s="1" t="s">
        <v>0</v>
      </c>
      <c r="AA7" s="2"/>
      <c r="AB7" s="2"/>
      <c r="AC7" s="2"/>
      <c r="AD7" s="2"/>
      <c r="AE7" s="2"/>
      <c r="AF7" s="2"/>
    </row>
    <row r="8" spans="1:32" ht="11.25" customHeight="1">
      <c r="A8" s="7">
        <v>4</v>
      </c>
      <c r="B8" s="7">
        <v>1</v>
      </c>
      <c r="C8" s="7">
        <v>24</v>
      </c>
      <c r="D8" s="7">
        <f t="shared" si="0"/>
        <v>4.1666666666666664E-2</v>
      </c>
      <c r="E8" s="7">
        <v>1</v>
      </c>
      <c r="F8" s="7">
        <v>24</v>
      </c>
      <c r="G8" s="7">
        <f t="shared" si="1"/>
        <v>4.1666666666666664E-2</v>
      </c>
      <c r="H8" s="18">
        <v>0</v>
      </c>
      <c r="I8" s="7">
        <v>24</v>
      </c>
      <c r="J8" s="7">
        <f t="shared" si="2"/>
        <v>0</v>
      </c>
      <c r="K8" s="18">
        <v>0</v>
      </c>
      <c r="L8" s="7">
        <v>24</v>
      </c>
      <c r="M8" s="7">
        <f t="shared" si="3"/>
        <v>0</v>
      </c>
      <c r="N8" s="6"/>
      <c r="O8" s="6"/>
      <c r="P8" s="6"/>
      <c r="Q8" s="6"/>
      <c r="R8" s="6"/>
      <c r="S8" s="2"/>
      <c r="T8" s="1"/>
      <c r="U8" s="1">
        <v>10</v>
      </c>
      <c r="V8" s="1">
        <v>50</v>
      </c>
      <c r="W8" s="1">
        <v>100</v>
      </c>
      <c r="X8" s="16">
        <v>500</v>
      </c>
      <c r="Y8" s="1"/>
      <c r="Z8" s="1">
        <v>10</v>
      </c>
      <c r="AA8" s="1">
        <v>50</v>
      </c>
      <c r="AB8" s="1">
        <v>100</v>
      </c>
      <c r="AC8" s="16">
        <v>500</v>
      </c>
      <c r="AD8" s="2"/>
      <c r="AE8" s="2"/>
      <c r="AF8" s="2"/>
    </row>
    <row r="9" spans="1:32" ht="11.25" customHeight="1">
      <c r="A9" s="7">
        <v>5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6"/>
      <c r="O9" s="6"/>
      <c r="P9" s="6"/>
      <c r="Q9" s="6"/>
      <c r="R9" s="6"/>
      <c r="S9" s="2"/>
      <c r="T9" s="21" t="s">
        <v>20</v>
      </c>
      <c r="U9" s="2">
        <f t="shared" ref="U9:U10" si="4">Q4</f>
        <v>7.2916666666666671E-2</v>
      </c>
      <c r="V9" s="2">
        <f t="shared" ref="V9:V12" si="5">Q18</f>
        <v>9.375E-2</v>
      </c>
      <c r="W9" s="2">
        <f t="shared" ref="W9:W12" si="6">Q32</f>
        <v>0.1875</v>
      </c>
      <c r="X9" s="12">
        <f t="shared" ref="X9:X12" si="7">Q46</f>
        <v>0</v>
      </c>
      <c r="Y9" s="2"/>
      <c r="Z9" s="2">
        <f t="shared" ref="Z9:Z12" si="8">R4</f>
        <v>2.9050695365766512E-2</v>
      </c>
      <c r="AA9" s="2">
        <f t="shared" ref="AA9:AA12" si="9">R18</f>
        <v>3.2200064220471204E-2</v>
      </c>
      <c r="AB9" s="2">
        <f t="shared" ref="AB9:AB12" si="10">R32</f>
        <v>3.5409857733283236E-2</v>
      </c>
      <c r="AC9" s="12">
        <f t="shared" ref="AC9" si="11">R46</f>
        <v>0</v>
      </c>
      <c r="AD9" s="2"/>
      <c r="AE9" s="2"/>
      <c r="AF9" s="2"/>
    </row>
    <row r="10" spans="1:32" ht="11.25" customHeight="1">
      <c r="A10" s="7">
        <v>6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6"/>
      <c r="O10" s="6"/>
      <c r="P10" s="6"/>
      <c r="Q10" s="6"/>
      <c r="R10" s="6"/>
      <c r="S10" s="2"/>
      <c r="T10" s="22" t="s">
        <v>21</v>
      </c>
      <c r="U10" s="2">
        <f t="shared" si="4"/>
        <v>2.0833333333333332E-2</v>
      </c>
      <c r="V10" s="2">
        <f t="shared" si="5"/>
        <v>7.2916666666666657E-2</v>
      </c>
      <c r="W10" s="2">
        <f t="shared" si="6"/>
        <v>0.16666666666666666</v>
      </c>
      <c r="X10" s="12">
        <f t="shared" si="7"/>
        <v>0</v>
      </c>
      <c r="Y10" s="2"/>
      <c r="Z10" s="2">
        <f t="shared" si="8"/>
        <v>2.5983731852596812E-2</v>
      </c>
      <c r="AA10" s="2">
        <f t="shared" si="9"/>
        <v>3.5409857733283229E-2</v>
      </c>
      <c r="AB10" s="2">
        <f t="shared" si="10"/>
        <v>4.2808430576173451E-2</v>
      </c>
      <c r="AC10" s="12">
        <f>R47</f>
        <v>0</v>
      </c>
      <c r="AD10" s="2"/>
      <c r="AE10" s="2"/>
      <c r="AF10" s="2"/>
    </row>
    <row r="11" spans="1:32" ht="11.25" customHeight="1">
      <c r="A11" s="7">
        <v>7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6"/>
      <c r="O11" s="6"/>
      <c r="P11" s="6"/>
      <c r="Q11" s="6"/>
      <c r="R11" s="6"/>
      <c r="S11" s="2"/>
      <c r="T11" s="20" t="s">
        <v>22</v>
      </c>
      <c r="U11" s="2">
        <f>Q6</f>
        <v>1.0416666666666666E-2</v>
      </c>
      <c r="V11" s="2">
        <f t="shared" si="5"/>
        <v>0.27083333333333331</v>
      </c>
      <c r="W11" s="2">
        <f t="shared" si="6"/>
        <v>0.33333333333333331</v>
      </c>
      <c r="X11" s="12">
        <f t="shared" si="7"/>
        <v>0</v>
      </c>
      <c r="Y11" s="2"/>
      <c r="Z11" s="2">
        <f t="shared" si="8"/>
        <v>8.5051727179971462E-3</v>
      </c>
      <c r="AA11" s="2">
        <f t="shared" si="9"/>
        <v>4.0492721491981305E-2</v>
      </c>
      <c r="AB11" s="2">
        <f t="shared" si="10"/>
        <v>6.9444444444444461E-2</v>
      </c>
      <c r="AC11" s="12">
        <f t="shared" ref="AC11:AC12" si="12">R48</f>
        <v>0</v>
      </c>
      <c r="AD11" s="2"/>
      <c r="AE11" s="2"/>
      <c r="AF11" s="2"/>
    </row>
    <row r="12" spans="1:32" ht="11.25" customHeight="1">
      <c r="A12" s="7">
        <v>8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6"/>
      <c r="O12" s="6"/>
      <c r="P12" s="6"/>
      <c r="Q12" s="6"/>
      <c r="R12" s="6"/>
      <c r="S12" s="2"/>
      <c r="T12" s="23" t="s">
        <v>23</v>
      </c>
      <c r="U12" s="2">
        <f>Q7</f>
        <v>2.0833333333333332E-2</v>
      </c>
      <c r="V12" s="2">
        <f t="shared" si="5"/>
        <v>0.23958333333333334</v>
      </c>
      <c r="W12" s="2">
        <f t="shared" si="6"/>
        <v>0.3125</v>
      </c>
      <c r="X12" s="12">
        <f t="shared" si="7"/>
        <v>0</v>
      </c>
      <c r="Y12" s="2"/>
      <c r="Z12" s="2">
        <f t="shared" si="8"/>
        <v>1.7010345435994292E-2</v>
      </c>
      <c r="AA12" s="2">
        <f t="shared" si="9"/>
        <v>5.7893513890739816E-2</v>
      </c>
      <c r="AB12" s="2">
        <f t="shared" si="10"/>
        <v>5.6416933365527493E-2</v>
      </c>
      <c r="AC12" s="12">
        <f t="shared" si="12"/>
        <v>0</v>
      </c>
      <c r="AD12" s="2"/>
      <c r="AE12" s="2"/>
      <c r="AF12" s="2"/>
    </row>
    <row r="13" spans="1:32" ht="11.25" customHeight="1">
      <c r="A13" s="7">
        <v>9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6"/>
      <c r="O13" s="6"/>
      <c r="P13" s="6"/>
      <c r="Q13" s="6"/>
      <c r="R13" s="6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</row>
    <row r="14" spans="1:32" ht="11.25" customHeight="1">
      <c r="A14" s="7">
        <v>10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6"/>
      <c r="O14" s="6"/>
      <c r="P14" s="6"/>
      <c r="Q14" s="6"/>
      <c r="R14" s="6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</row>
    <row r="15" spans="1:32" ht="11.2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</row>
    <row r="16" spans="1:32" ht="11.25" customHeight="1">
      <c r="A16" s="5" t="s">
        <v>13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1:32" ht="11.25" customHeight="1">
      <c r="A17" s="6"/>
      <c r="B17" s="26" t="s">
        <v>15</v>
      </c>
      <c r="C17" s="27"/>
      <c r="D17" s="28"/>
      <c r="E17" s="29" t="s">
        <v>9</v>
      </c>
      <c r="F17" s="30"/>
      <c r="G17" s="31"/>
      <c r="H17" s="42" t="s">
        <v>15</v>
      </c>
      <c r="I17" s="33"/>
      <c r="J17" s="34"/>
      <c r="K17" s="43" t="s">
        <v>9</v>
      </c>
      <c r="L17" s="36"/>
      <c r="M17" s="37"/>
      <c r="N17" s="6"/>
      <c r="O17" s="6"/>
      <c r="P17" s="6"/>
      <c r="Q17" s="7" t="s">
        <v>4</v>
      </c>
      <c r="R17" s="8" t="s">
        <v>0</v>
      </c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spans="1:32" ht="11.25" customHeight="1">
      <c r="A18" s="9" t="s">
        <v>5</v>
      </c>
      <c r="B18" s="7" t="s">
        <v>1</v>
      </c>
      <c r="C18" s="7" t="s">
        <v>2</v>
      </c>
      <c r="D18" s="7" t="s">
        <v>3</v>
      </c>
      <c r="E18" s="7" t="s">
        <v>1</v>
      </c>
      <c r="F18" s="7" t="s">
        <v>2</v>
      </c>
      <c r="G18" s="7" t="s">
        <v>3</v>
      </c>
      <c r="H18" s="7" t="s">
        <v>1</v>
      </c>
      <c r="I18" s="7" t="s">
        <v>2</v>
      </c>
      <c r="J18" s="7" t="s">
        <v>3</v>
      </c>
      <c r="K18" s="7" t="s">
        <v>1</v>
      </c>
      <c r="L18" s="7" t="s">
        <v>2</v>
      </c>
      <c r="M18" s="7" t="s">
        <v>3</v>
      </c>
      <c r="N18" s="6"/>
      <c r="O18" s="38" t="s">
        <v>14</v>
      </c>
      <c r="P18" s="39"/>
      <c r="Q18" s="7">
        <f>AVERAGE(D19:D28)</f>
        <v>9.375E-2</v>
      </c>
      <c r="R18" s="7">
        <f>STDEV(D19:D28)/SQRT(6)</f>
        <v>3.2200064220471204E-2</v>
      </c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spans="1:32" ht="11.25" customHeight="1">
      <c r="A19" s="7">
        <v>1</v>
      </c>
      <c r="B19" s="7">
        <v>1</v>
      </c>
      <c r="C19" s="7">
        <v>24</v>
      </c>
      <c r="D19" s="7">
        <f t="shared" ref="D19:D22" si="13">B19/C19</f>
        <v>4.1666666666666664E-2</v>
      </c>
      <c r="E19" s="7">
        <v>2</v>
      </c>
      <c r="F19" s="7">
        <v>24</v>
      </c>
      <c r="G19" s="7">
        <f t="shared" ref="G19:G22" si="14">E19/F19</f>
        <v>8.3333333333333329E-2</v>
      </c>
      <c r="H19" s="18">
        <v>3</v>
      </c>
      <c r="I19" s="7">
        <v>24</v>
      </c>
      <c r="J19" s="7">
        <f t="shared" ref="J19:J22" si="15">H19/I19</f>
        <v>0.125</v>
      </c>
      <c r="K19" s="18">
        <v>1</v>
      </c>
      <c r="L19" s="7">
        <v>24</v>
      </c>
      <c r="M19" s="7">
        <f t="shared" ref="M19:M22" si="16">K19/L19</f>
        <v>4.1666666666666664E-2</v>
      </c>
      <c r="N19" s="6"/>
      <c r="O19" s="44" t="s">
        <v>7</v>
      </c>
      <c r="P19" s="25"/>
      <c r="Q19" s="7">
        <f>AVERAGE(G19:G28)</f>
        <v>7.2916666666666657E-2</v>
      </c>
      <c r="R19" s="7">
        <f>STDEV(D20:D29)/SQRT(6)</f>
        <v>3.5409857733283229E-2</v>
      </c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spans="1:32" ht="11.25" customHeight="1">
      <c r="A20" s="7">
        <v>2</v>
      </c>
      <c r="B20" s="7">
        <v>5</v>
      </c>
      <c r="C20" s="7">
        <v>24</v>
      </c>
      <c r="D20" s="7">
        <f t="shared" si="13"/>
        <v>0.20833333333333334</v>
      </c>
      <c r="E20" s="7">
        <v>3</v>
      </c>
      <c r="F20" s="7">
        <v>24</v>
      </c>
      <c r="G20" s="7">
        <f t="shared" si="14"/>
        <v>0.125</v>
      </c>
      <c r="H20" s="18">
        <v>8</v>
      </c>
      <c r="I20" s="7">
        <v>24</v>
      </c>
      <c r="J20" s="7">
        <f t="shared" si="15"/>
        <v>0.33333333333333331</v>
      </c>
      <c r="K20" s="18">
        <v>9</v>
      </c>
      <c r="L20" s="7">
        <v>24</v>
      </c>
      <c r="M20" s="7">
        <f t="shared" si="16"/>
        <v>0.375</v>
      </c>
      <c r="N20" s="6"/>
      <c r="O20" s="40" t="s">
        <v>18</v>
      </c>
      <c r="P20" s="40"/>
      <c r="Q20" s="7">
        <f>AVERAGE(J19:J28)</f>
        <v>0.27083333333333331</v>
      </c>
      <c r="R20" s="7">
        <f>STDEV(J19:J28)/SQRT(6)</f>
        <v>4.0492721491981305E-2</v>
      </c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spans="1:32" ht="11.25" customHeight="1">
      <c r="A21" s="7">
        <v>3</v>
      </c>
      <c r="B21" s="7">
        <v>2</v>
      </c>
      <c r="C21" s="7">
        <v>24</v>
      </c>
      <c r="D21" s="7">
        <f t="shared" si="13"/>
        <v>8.3333333333333329E-2</v>
      </c>
      <c r="E21" s="7">
        <v>2</v>
      </c>
      <c r="F21" s="7">
        <v>24</v>
      </c>
      <c r="G21" s="7">
        <f t="shared" si="14"/>
        <v>8.3333333333333329E-2</v>
      </c>
      <c r="H21" s="18">
        <v>8</v>
      </c>
      <c r="I21" s="7">
        <v>24</v>
      </c>
      <c r="J21" s="7">
        <f t="shared" si="15"/>
        <v>0.33333333333333331</v>
      </c>
      <c r="K21" s="18">
        <v>7</v>
      </c>
      <c r="L21" s="7">
        <v>24</v>
      </c>
      <c r="M21" s="7">
        <f t="shared" si="16"/>
        <v>0.29166666666666669</v>
      </c>
      <c r="N21" s="6"/>
      <c r="O21" s="45" t="s">
        <v>19</v>
      </c>
      <c r="P21" s="45"/>
      <c r="Q21" s="7">
        <f>AVERAGE(M19:M28)</f>
        <v>0.23958333333333334</v>
      </c>
      <c r="R21" s="7">
        <f>STDEV(M19:M28)/SQRT(6)</f>
        <v>5.7893513890739816E-2</v>
      </c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spans="1:32" ht="11.25" customHeight="1">
      <c r="A22" s="7">
        <v>4</v>
      </c>
      <c r="B22" s="7">
        <v>1</v>
      </c>
      <c r="C22" s="7">
        <v>24</v>
      </c>
      <c r="D22" s="7">
        <f t="shared" si="13"/>
        <v>4.1666666666666664E-2</v>
      </c>
      <c r="E22" s="7">
        <v>0</v>
      </c>
      <c r="F22" s="7">
        <v>24</v>
      </c>
      <c r="G22" s="7">
        <f t="shared" si="14"/>
        <v>0</v>
      </c>
      <c r="H22" s="18">
        <v>7</v>
      </c>
      <c r="I22" s="7">
        <v>24</v>
      </c>
      <c r="J22" s="7">
        <f t="shared" si="15"/>
        <v>0.29166666666666669</v>
      </c>
      <c r="K22" s="18">
        <v>6</v>
      </c>
      <c r="L22" s="7">
        <v>24</v>
      </c>
      <c r="M22" s="7">
        <f t="shared" si="16"/>
        <v>0.25</v>
      </c>
      <c r="N22" s="6"/>
      <c r="O22" s="6"/>
      <c r="P22" s="6"/>
      <c r="Q22" s="6"/>
      <c r="R22" s="6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spans="1:32" ht="11.25" customHeight="1">
      <c r="A23" s="7">
        <v>5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6"/>
      <c r="O23" s="6"/>
      <c r="P23" s="6"/>
      <c r="Q23" s="6"/>
      <c r="R23" s="6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spans="1:32" ht="11.25" customHeight="1">
      <c r="A24" s="7">
        <v>6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6"/>
      <c r="O24" s="6"/>
      <c r="P24" s="6"/>
      <c r="Q24" s="6"/>
      <c r="R24" s="6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spans="1:32" ht="11.25" customHeight="1">
      <c r="A25" s="7">
        <v>7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6"/>
      <c r="O25" s="6"/>
      <c r="P25" s="6"/>
      <c r="Q25" s="6"/>
      <c r="R25" s="6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 spans="1:32" ht="11.25" customHeight="1">
      <c r="A26" s="7">
        <v>8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6"/>
      <c r="O26" s="6"/>
      <c r="P26" s="6"/>
      <c r="Q26" s="6"/>
      <c r="R26" s="6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spans="1:32" ht="11.25" customHeight="1">
      <c r="A27" s="7">
        <v>9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6"/>
      <c r="O27" s="6"/>
      <c r="P27" s="6"/>
      <c r="Q27" s="6"/>
      <c r="R27" s="6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spans="1:32" ht="11.25" customHeight="1">
      <c r="A28" s="7">
        <v>10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6"/>
      <c r="O28" s="6"/>
      <c r="P28" s="6"/>
      <c r="Q28" s="6"/>
      <c r="R28" s="6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spans="1:32" ht="11.2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spans="1:32" ht="11.25" customHeight="1">
      <c r="A30" s="5" t="s">
        <v>13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</row>
    <row r="31" spans="1:32" ht="11.25" customHeight="1">
      <c r="A31" s="6"/>
      <c r="B31" s="26" t="s">
        <v>16</v>
      </c>
      <c r="C31" s="27"/>
      <c r="D31" s="28"/>
      <c r="E31" s="29" t="s">
        <v>10</v>
      </c>
      <c r="F31" s="30"/>
      <c r="G31" s="31"/>
      <c r="H31" s="42" t="s">
        <v>16</v>
      </c>
      <c r="I31" s="33"/>
      <c r="J31" s="34"/>
      <c r="K31" s="43" t="s">
        <v>10</v>
      </c>
      <c r="L31" s="36"/>
      <c r="M31" s="37"/>
      <c r="N31" s="6"/>
      <c r="O31" s="6"/>
      <c r="P31" s="6"/>
      <c r="Q31" s="7" t="s">
        <v>4</v>
      </c>
      <c r="R31" s="8" t="s">
        <v>0</v>
      </c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2" ht="11.25" customHeight="1">
      <c r="A32" s="9" t="s">
        <v>5</v>
      </c>
      <c r="B32" s="7" t="s">
        <v>1</v>
      </c>
      <c r="C32" s="7" t="s">
        <v>2</v>
      </c>
      <c r="D32" s="7" t="s">
        <v>3</v>
      </c>
      <c r="E32" s="7" t="s">
        <v>1</v>
      </c>
      <c r="F32" s="7" t="s">
        <v>2</v>
      </c>
      <c r="G32" s="7" t="s">
        <v>3</v>
      </c>
      <c r="H32" s="7" t="s">
        <v>1</v>
      </c>
      <c r="I32" s="7" t="s">
        <v>2</v>
      </c>
      <c r="J32" s="7" t="s">
        <v>3</v>
      </c>
      <c r="K32" s="7" t="s">
        <v>1</v>
      </c>
      <c r="L32" s="7" t="s">
        <v>2</v>
      </c>
      <c r="M32" s="7" t="s">
        <v>3</v>
      </c>
      <c r="N32" s="6"/>
      <c r="O32" s="46" t="s">
        <v>14</v>
      </c>
      <c r="P32" s="39"/>
      <c r="Q32" s="7">
        <f>AVERAGE(D33:D42)</f>
        <v>0.1875</v>
      </c>
      <c r="R32" s="7">
        <f>STDEV(D33:D42)/SQRT(6)</f>
        <v>3.5409857733283236E-2</v>
      </c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ht="11.25" customHeight="1">
      <c r="A33" s="7">
        <v>1</v>
      </c>
      <c r="B33" s="7">
        <v>5</v>
      </c>
      <c r="C33" s="7">
        <v>24</v>
      </c>
      <c r="D33" s="7">
        <f t="shared" ref="D33:D36" si="17">B33/C33</f>
        <v>0.20833333333333334</v>
      </c>
      <c r="E33" s="7">
        <v>4</v>
      </c>
      <c r="F33" s="7">
        <v>24</v>
      </c>
      <c r="G33" s="7">
        <f t="shared" ref="G33:G36" si="18">E33/F33</f>
        <v>0.16666666666666666</v>
      </c>
      <c r="H33" s="19">
        <v>5</v>
      </c>
      <c r="I33" s="7">
        <v>24</v>
      </c>
      <c r="J33" s="7">
        <f t="shared" ref="J33:J36" si="19">H33/I33</f>
        <v>0.20833333333333334</v>
      </c>
      <c r="K33" s="19">
        <v>8</v>
      </c>
      <c r="L33" s="7">
        <v>24</v>
      </c>
      <c r="M33" s="7">
        <f t="shared" ref="M33:M36" si="20">K33/L33</f>
        <v>0.33333333333333331</v>
      </c>
      <c r="N33" s="6"/>
      <c r="O33" s="44" t="s">
        <v>7</v>
      </c>
      <c r="P33" s="25"/>
      <c r="Q33" s="7">
        <f>AVERAGE(G33:G42)</f>
        <v>0.16666666666666666</v>
      </c>
      <c r="R33" s="7">
        <f>STDEV(D34:D43)/SQRT(6)</f>
        <v>4.2808430576173451E-2</v>
      </c>
      <c r="S33" s="2"/>
      <c r="T33" s="2"/>
      <c r="U33" s="2" t="s">
        <v>17</v>
      </c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ht="11.25" customHeight="1">
      <c r="A34" s="7">
        <v>2</v>
      </c>
      <c r="B34" s="7">
        <v>7</v>
      </c>
      <c r="C34" s="7">
        <v>24</v>
      </c>
      <c r="D34" s="7">
        <f t="shared" si="17"/>
        <v>0.29166666666666669</v>
      </c>
      <c r="E34" s="7">
        <v>5</v>
      </c>
      <c r="F34" s="7">
        <v>24</v>
      </c>
      <c r="G34" s="7">
        <f t="shared" si="18"/>
        <v>0.20833333333333334</v>
      </c>
      <c r="H34" s="19">
        <v>11</v>
      </c>
      <c r="I34" s="7">
        <v>24</v>
      </c>
      <c r="J34" s="7">
        <f t="shared" si="19"/>
        <v>0.45833333333333331</v>
      </c>
      <c r="K34" s="19">
        <v>11</v>
      </c>
      <c r="L34" s="7">
        <v>24</v>
      </c>
      <c r="M34" s="7">
        <f t="shared" si="20"/>
        <v>0.45833333333333331</v>
      </c>
      <c r="N34" s="6"/>
      <c r="O34" s="40" t="s">
        <v>18</v>
      </c>
      <c r="P34" s="40"/>
      <c r="Q34" s="7">
        <f>AVERAGE(J33:J42)</f>
        <v>0.33333333333333331</v>
      </c>
      <c r="R34" s="7">
        <f>STDEV(J33:J42)/SQRT(6)</f>
        <v>6.9444444444444461E-2</v>
      </c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ht="11.25" customHeight="1">
      <c r="A35" s="7">
        <v>3</v>
      </c>
      <c r="B35" s="7">
        <v>4</v>
      </c>
      <c r="C35" s="7">
        <v>24</v>
      </c>
      <c r="D35" s="7">
        <f t="shared" si="17"/>
        <v>0.16666666666666666</v>
      </c>
      <c r="E35" s="7">
        <v>4</v>
      </c>
      <c r="F35" s="7">
        <v>24</v>
      </c>
      <c r="G35" s="7">
        <f t="shared" si="18"/>
        <v>0.16666666666666666</v>
      </c>
      <c r="H35" s="19">
        <v>4</v>
      </c>
      <c r="I35" s="7">
        <v>24</v>
      </c>
      <c r="J35" s="7">
        <f t="shared" si="19"/>
        <v>0.16666666666666666</v>
      </c>
      <c r="K35" s="19">
        <v>3</v>
      </c>
      <c r="L35" s="7">
        <v>24</v>
      </c>
      <c r="M35" s="7">
        <f t="shared" si="20"/>
        <v>0.125</v>
      </c>
      <c r="N35" s="6"/>
      <c r="O35" s="45" t="s">
        <v>19</v>
      </c>
      <c r="P35" s="45"/>
      <c r="Q35" s="7">
        <f>AVERAGE(M33:M42)</f>
        <v>0.3125</v>
      </c>
      <c r="R35" s="7">
        <f>STDEV(M33:M42)/SQRT(6)</f>
        <v>5.6416933365527493E-2</v>
      </c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1.25" customHeight="1">
      <c r="A36" s="7">
        <v>4</v>
      </c>
      <c r="B36" s="7">
        <v>2</v>
      </c>
      <c r="C36" s="7">
        <v>24</v>
      </c>
      <c r="D36" s="7">
        <f t="shared" si="17"/>
        <v>8.3333333333333329E-2</v>
      </c>
      <c r="E36" s="7">
        <v>3</v>
      </c>
      <c r="F36" s="7">
        <v>24</v>
      </c>
      <c r="G36" s="7">
        <f t="shared" si="18"/>
        <v>0.125</v>
      </c>
      <c r="H36" s="19">
        <v>12</v>
      </c>
      <c r="I36" s="7">
        <v>24</v>
      </c>
      <c r="J36" s="7">
        <f t="shared" si="19"/>
        <v>0.5</v>
      </c>
      <c r="K36" s="19">
        <v>8</v>
      </c>
      <c r="L36" s="7">
        <v>24</v>
      </c>
      <c r="M36" s="7">
        <f t="shared" si="20"/>
        <v>0.33333333333333331</v>
      </c>
      <c r="N36" s="6"/>
      <c r="O36" s="6"/>
      <c r="P36" s="6"/>
      <c r="Q36" s="6"/>
      <c r="R36" s="6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ht="11.25" customHeight="1">
      <c r="A37" s="7">
        <v>5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6"/>
      <c r="O37" s="6"/>
      <c r="P37" s="6"/>
      <c r="Q37" s="6"/>
      <c r="R37" s="6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</row>
    <row r="38" spans="1:32" ht="11.25" customHeight="1">
      <c r="A38" s="7">
        <v>6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6"/>
      <c r="O38" s="6"/>
      <c r="P38" s="6"/>
      <c r="Q38" s="6"/>
      <c r="R38" s="6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</row>
    <row r="39" spans="1:32" ht="11.25" customHeight="1">
      <c r="A39" s="7">
        <v>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6"/>
      <c r="O39" s="6"/>
      <c r="P39" s="6"/>
      <c r="Q39" s="6"/>
      <c r="R39" s="6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</row>
    <row r="40" spans="1:32" ht="11.25" customHeight="1">
      <c r="A40" s="7">
        <v>8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6"/>
      <c r="O40" s="6"/>
      <c r="P40" s="6"/>
      <c r="Q40" s="6"/>
      <c r="R40" s="6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</row>
    <row r="41" spans="1:32" ht="11.25" customHeight="1">
      <c r="A41" s="7">
        <v>9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6"/>
      <c r="O41" s="6"/>
      <c r="P41" s="6"/>
      <c r="Q41" s="6"/>
      <c r="R41" s="6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</row>
    <row r="42" spans="1:32" ht="11.25" customHeight="1">
      <c r="A42" s="7">
        <v>10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6"/>
      <c r="O42" s="6"/>
      <c r="P42" s="6"/>
      <c r="Q42" s="6"/>
      <c r="R42" s="6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 spans="1:32" ht="11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ht="11.25" customHeight="1">
      <c r="A44" s="10" t="s">
        <v>13</v>
      </c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2"/>
      <c r="O44" s="12"/>
      <c r="P44" s="12"/>
      <c r="Q44" s="12"/>
      <c r="R44" s="1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ht="11.25" customHeight="1">
      <c r="A45" s="11"/>
      <c r="B45" s="43" t="s">
        <v>6</v>
      </c>
      <c r="C45" s="36"/>
      <c r="D45" s="37"/>
      <c r="E45" s="43" t="s">
        <v>11</v>
      </c>
      <c r="F45" s="36"/>
      <c r="G45" s="37"/>
      <c r="H45" s="43" t="s">
        <v>6</v>
      </c>
      <c r="I45" s="36"/>
      <c r="J45" s="37"/>
      <c r="K45" s="43" t="s">
        <v>11</v>
      </c>
      <c r="L45" s="36"/>
      <c r="M45" s="37"/>
      <c r="N45" s="12"/>
      <c r="O45" s="11"/>
      <c r="P45" s="11"/>
      <c r="Q45" s="13" t="s">
        <v>4</v>
      </c>
      <c r="R45" s="14" t="s">
        <v>0</v>
      </c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ht="11.25" customHeight="1">
      <c r="A46" s="15" t="s">
        <v>5</v>
      </c>
      <c r="B46" s="13" t="s">
        <v>1</v>
      </c>
      <c r="C46" s="13" t="s">
        <v>2</v>
      </c>
      <c r="D46" s="13" t="s">
        <v>3</v>
      </c>
      <c r="E46" s="13" t="s">
        <v>1</v>
      </c>
      <c r="F46" s="13" t="s">
        <v>2</v>
      </c>
      <c r="G46" s="13" t="s">
        <v>3</v>
      </c>
      <c r="H46" s="13" t="s">
        <v>1</v>
      </c>
      <c r="I46" s="13" t="s">
        <v>2</v>
      </c>
      <c r="J46" s="13" t="s">
        <v>3</v>
      </c>
      <c r="K46" s="13" t="s">
        <v>1</v>
      </c>
      <c r="L46" s="13" t="s">
        <v>2</v>
      </c>
      <c r="M46" s="13" t="s">
        <v>3</v>
      </c>
      <c r="N46" s="12"/>
      <c r="O46" s="43" t="s">
        <v>6</v>
      </c>
      <c r="P46" s="37"/>
      <c r="Q46" s="13">
        <f>AVERAGE(D47:D56)</f>
        <v>0</v>
      </c>
      <c r="R46" s="13">
        <f>STDEV(D47:D56)/SQRT(6)</f>
        <v>0</v>
      </c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ht="11.25" customHeight="1">
      <c r="A47" s="13">
        <v>1</v>
      </c>
      <c r="B47" s="13"/>
      <c r="C47" s="13">
        <v>24</v>
      </c>
      <c r="D47" s="13">
        <f t="shared" ref="D47:D52" si="21">B47/C47</f>
        <v>0</v>
      </c>
      <c r="E47" s="13"/>
      <c r="F47" s="13">
        <v>24</v>
      </c>
      <c r="G47" s="13">
        <f t="shared" ref="G47:G52" si="22">E47/F47</f>
        <v>0</v>
      </c>
      <c r="H47" s="13"/>
      <c r="I47" s="13">
        <v>24</v>
      </c>
      <c r="J47" s="13">
        <f t="shared" ref="J47:J52" si="23">H47/I47</f>
        <v>0</v>
      </c>
      <c r="K47" s="13"/>
      <c r="L47" s="13">
        <v>24</v>
      </c>
      <c r="M47" s="13">
        <f t="shared" ref="M47:M52" si="24">K47/L47</f>
        <v>0</v>
      </c>
      <c r="N47" s="12"/>
      <c r="O47" s="43" t="s">
        <v>12</v>
      </c>
      <c r="P47" s="37"/>
      <c r="Q47" s="13">
        <f>AVERAGE(G47:G56)</f>
        <v>0</v>
      </c>
      <c r="R47" s="13">
        <f>STDEV(D48:D57)/SQRT(6)</f>
        <v>0</v>
      </c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ht="11.25" customHeight="1">
      <c r="A48" s="13">
        <v>2</v>
      </c>
      <c r="B48" s="13"/>
      <c r="C48" s="13">
        <v>24</v>
      </c>
      <c r="D48" s="13">
        <f t="shared" si="21"/>
        <v>0</v>
      </c>
      <c r="E48" s="13"/>
      <c r="F48" s="13">
        <v>24</v>
      </c>
      <c r="G48" s="13">
        <f t="shared" si="22"/>
        <v>0</v>
      </c>
      <c r="H48" s="13"/>
      <c r="I48" s="13">
        <v>24</v>
      </c>
      <c r="J48" s="13">
        <f t="shared" si="23"/>
        <v>0</v>
      </c>
      <c r="K48" s="13"/>
      <c r="L48" s="13">
        <v>24</v>
      </c>
      <c r="M48" s="13">
        <f t="shared" si="24"/>
        <v>0</v>
      </c>
      <c r="N48" s="12"/>
      <c r="O48" s="12"/>
      <c r="P48" s="12"/>
      <c r="Q48" s="13">
        <f>AVERAGE(J47:J56)</f>
        <v>0</v>
      </c>
      <c r="R48" s="13">
        <f>STDEV(J47:J56)/SQRT(6)</f>
        <v>0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ht="11.25" customHeight="1">
      <c r="A49" s="13">
        <v>3</v>
      </c>
      <c r="B49" s="13"/>
      <c r="C49" s="13">
        <v>24</v>
      </c>
      <c r="D49" s="13">
        <f t="shared" si="21"/>
        <v>0</v>
      </c>
      <c r="E49" s="13"/>
      <c r="F49" s="13">
        <v>24</v>
      </c>
      <c r="G49" s="13">
        <f t="shared" si="22"/>
        <v>0</v>
      </c>
      <c r="H49" s="13"/>
      <c r="I49" s="13">
        <v>24</v>
      </c>
      <c r="J49" s="13">
        <f t="shared" si="23"/>
        <v>0</v>
      </c>
      <c r="K49" s="13"/>
      <c r="L49" s="13">
        <v>24</v>
      </c>
      <c r="M49" s="13">
        <f t="shared" si="24"/>
        <v>0</v>
      </c>
      <c r="N49" s="12"/>
      <c r="O49" s="11"/>
      <c r="P49" s="12"/>
      <c r="Q49" s="13">
        <f>AVERAGE(M47:M56)</f>
        <v>0</v>
      </c>
      <c r="R49" s="13">
        <f>STDEV(M47:M56)/SQRT(6)</f>
        <v>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spans="1:32" ht="11.25" customHeight="1">
      <c r="A50" s="13">
        <v>4</v>
      </c>
      <c r="B50" s="13"/>
      <c r="C50" s="13">
        <v>24</v>
      </c>
      <c r="D50" s="13">
        <f t="shared" si="21"/>
        <v>0</v>
      </c>
      <c r="E50" s="13"/>
      <c r="F50" s="13">
        <v>24</v>
      </c>
      <c r="G50" s="13">
        <f t="shared" si="22"/>
        <v>0</v>
      </c>
      <c r="H50" s="13"/>
      <c r="I50" s="13">
        <v>24</v>
      </c>
      <c r="J50" s="13">
        <f t="shared" si="23"/>
        <v>0</v>
      </c>
      <c r="K50" s="13"/>
      <c r="L50" s="13">
        <v>24</v>
      </c>
      <c r="M50" s="13">
        <f t="shared" si="24"/>
        <v>0</v>
      </c>
      <c r="N50" s="12"/>
      <c r="O50" s="12"/>
      <c r="P50" s="12"/>
      <c r="Q50" s="12"/>
      <c r="R50" s="1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</row>
    <row r="51" spans="1:32" ht="11.25" customHeight="1">
      <c r="A51" s="13">
        <v>5</v>
      </c>
      <c r="B51" s="13"/>
      <c r="C51" s="13">
        <v>24</v>
      </c>
      <c r="D51" s="13">
        <f t="shared" si="21"/>
        <v>0</v>
      </c>
      <c r="E51" s="13"/>
      <c r="F51" s="13">
        <v>24</v>
      </c>
      <c r="G51" s="13">
        <f t="shared" si="22"/>
        <v>0</v>
      </c>
      <c r="H51" s="13"/>
      <c r="I51" s="13">
        <v>24</v>
      </c>
      <c r="J51" s="13">
        <f t="shared" si="23"/>
        <v>0</v>
      </c>
      <c r="K51" s="13"/>
      <c r="L51" s="13">
        <v>24</v>
      </c>
      <c r="M51" s="13">
        <f t="shared" si="24"/>
        <v>0</v>
      </c>
      <c r="N51" s="12"/>
      <c r="O51" s="12"/>
      <c r="P51" s="12"/>
      <c r="Q51" s="12"/>
      <c r="R51" s="1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</row>
    <row r="52" spans="1:32" ht="11.25" customHeight="1">
      <c r="A52" s="13">
        <v>6</v>
      </c>
      <c r="B52" s="13"/>
      <c r="C52" s="13">
        <v>24</v>
      </c>
      <c r="D52" s="13">
        <f t="shared" si="21"/>
        <v>0</v>
      </c>
      <c r="E52" s="13"/>
      <c r="F52" s="13">
        <v>24</v>
      </c>
      <c r="G52" s="13">
        <f t="shared" si="22"/>
        <v>0</v>
      </c>
      <c r="H52" s="13"/>
      <c r="I52" s="13">
        <v>24</v>
      </c>
      <c r="J52" s="13">
        <f t="shared" si="23"/>
        <v>0</v>
      </c>
      <c r="K52" s="13"/>
      <c r="L52" s="13">
        <v>24</v>
      </c>
      <c r="M52" s="13">
        <f t="shared" si="24"/>
        <v>0</v>
      </c>
      <c r="N52" s="12"/>
      <c r="O52" s="12"/>
      <c r="P52" s="12"/>
      <c r="Q52" s="12"/>
      <c r="R52" s="1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</row>
    <row r="53" spans="1:32" ht="11.25" customHeight="1">
      <c r="A53" s="13">
        <v>7</v>
      </c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2"/>
      <c r="O53" s="12"/>
      <c r="P53" s="12"/>
      <c r="Q53" s="12"/>
      <c r="R53" s="1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</row>
    <row r="54" spans="1:32" ht="11.25" customHeight="1">
      <c r="A54" s="13">
        <v>8</v>
      </c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2"/>
      <c r="O54" s="12"/>
      <c r="P54" s="12"/>
      <c r="Q54" s="12"/>
      <c r="R54" s="1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</row>
    <row r="55" spans="1:32" ht="11.25" customHeight="1">
      <c r="A55" s="13">
        <v>9</v>
      </c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2"/>
      <c r="O55" s="12"/>
      <c r="P55" s="12"/>
      <c r="Q55" s="12"/>
      <c r="R55" s="1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</row>
    <row r="56" spans="1:32" ht="11.25" customHeight="1">
      <c r="A56" s="13">
        <v>10</v>
      </c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2"/>
      <c r="O56" s="12"/>
      <c r="P56" s="12"/>
      <c r="Q56" s="12"/>
      <c r="R56" s="1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</row>
    <row r="57" spans="1:32" ht="11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</row>
    <row r="58" spans="1:32" ht="11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</row>
    <row r="59" spans="1:32" ht="11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</row>
    <row r="60" spans="1:32" ht="11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</row>
    <row r="61" spans="1:32" ht="11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</row>
    <row r="62" spans="1:32" ht="11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</row>
    <row r="63" spans="1:32" ht="11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</row>
    <row r="64" spans="1:32" ht="11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</row>
    <row r="65" spans="1:32" ht="11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</row>
    <row r="66" spans="1:32" ht="11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</row>
    <row r="67" spans="1:32" ht="11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</row>
    <row r="68" spans="1:32" ht="11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</row>
    <row r="69" spans="1:32" ht="11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</row>
    <row r="70" spans="1:32" ht="11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</row>
    <row r="71" spans="1:32" ht="11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</row>
    <row r="72" spans="1:32" ht="11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</row>
    <row r="73" spans="1:32" ht="11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</row>
    <row r="74" spans="1:32" ht="11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</row>
    <row r="75" spans="1:32" ht="11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</row>
    <row r="76" spans="1:32" ht="11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</row>
    <row r="77" spans="1:32" ht="11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</row>
    <row r="78" spans="1:32" ht="11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</row>
    <row r="79" spans="1:32" ht="11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</row>
    <row r="80" spans="1:32" ht="11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</row>
    <row r="81" spans="1:32" ht="11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</row>
    <row r="82" spans="1:32" ht="11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</row>
    <row r="83" spans="1:32" ht="11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</row>
    <row r="84" spans="1:32" ht="11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</row>
    <row r="85" spans="1:32" ht="11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</row>
    <row r="86" spans="1:32" ht="11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</row>
    <row r="87" spans="1:32" ht="11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</row>
    <row r="88" spans="1:32" ht="11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</row>
    <row r="89" spans="1:32" ht="11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</row>
    <row r="90" spans="1:32" ht="11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</row>
    <row r="91" spans="1:32" ht="11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</row>
    <row r="92" spans="1:32" ht="11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</row>
    <row r="93" spans="1:32" ht="11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</row>
    <row r="94" spans="1:32" ht="11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</row>
    <row r="95" spans="1:32" ht="11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</row>
    <row r="96" spans="1:32" ht="11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</row>
    <row r="97" spans="1:32" ht="11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</row>
    <row r="98" spans="1:32" ht="11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</row>
    <row r="99" spans="1:32" ht="11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</row>
    <row r="100" spans="1:32" ht="11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</row>
    <row r="101" spans="1:32" ht="11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</row>
    <row r="102" spans="1:32" ht="11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</row>
    <row r="103" spans="1:32" ht="11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</row>
    <row r="104" spans="1:32" ht="11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</row>
    <row r="105" spans="1:32" ht="11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</row>
    <row r="106" spans="1:32" ht="11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</row>
    <row r="107" spans="1:32" ht="11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</row>
    <row r="108" spans="1:32" ht="11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</row>
    <row r="109" spans="1:32" ht="11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</row>
    <row r="110" spans="1:32" ht="11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</row>
    <row r="111" spans="1:32" ht="11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</row>
    <row r="112" spans="1:32" ht="11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</row>
    <row r="113" spans="1:32" ht="11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</row>
    <row r="114" spans="1:32" ht="11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</row>
    <row r="115" spans="1:32" ht="11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</row>
    <row r="116" spans="1:32" ht="11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</row>
    <row r="117" spans="1:32" ht="11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</row>
    <row r="118" spans="1:32" ht="11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</row>
    <row r="119" spans="1:32" ht="11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</row>
    <row r="120" spans="1:32" ht="11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</row>
    <row r="121" spans="1:32" ht="11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</row>
    <row r="122" spans="1:32" ht="11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</row>
    <row r="123" spans="1:32" ht="11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</row>
    <row r="124" spans="1:32" ht="11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</row>
    <row r="125" spans="1:32" ht="11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</row>
    <row r="126" spans="1:32" ht="11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</row>
    <row r="127" spans="1:32" ht="11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</row>
    <row r="128" spans="1:32" ht="11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</row>
    <row r="129" spans="1:32" ht="11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</row>
    <row r="130" spans="1:32" ht="11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</row>
    <row r="131" spans="1:32" ht="11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</row>
    <row r="132" spans="1:32" ht="11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</row>
    <row r="133" spans="1:32" ht="11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</row>
    <row r="134" spans="1:32" ht="11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</row>
    <row r="135" spans="1:32" ht="11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</row>
    <row r="136" spans="1:32" ht="11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</row>
    <row r="137" spans="1:32" ht="11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</row>
    <row r="138" spans="1:32" ht="11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</row>
    <row r="139" spans="1:32" ht="11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</row>
    <row r="140" spans="1:32" ht="11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</row>
    <row r="141" spans="1:32" ht="11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</row>
    <row r="142" spans="1:32" ht="11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</row>
    <row r="143" spans="1:32" ht="11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</row>
    <row r="144" spans="1:32" ht="11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</row>
    <row r="145" spans="1:32" ht="11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</row>
    <row r="146" spans="1:32" ht="11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</row>
    <row r="147" spans="1:32" ht="11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</row>
    <row r="148" spans="1:32" ht="11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</row>
    <row r="149" spans="1:32" ht="11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</row>
    <row r="150" spans="1:32" ht="11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</row>
    <row r="151" spans="1:32" ht="11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</row>
    <row r="152" spans="1:32" ht="11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</row>
    <row r="153" spans="1:32" ht="11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</row>
    <row r="154" spans="1:32" ht="11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</row>
    <row r="155" spans="1:32" ht="11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</row>
    <row r="156" spans="1:32" ht="11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</row>
    <row r="157" spans="1:32" ht="11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</row>
    <row r="158" spans="1:32" ht="11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</row>
    <row r="159" spans="1:32" ht="11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</row>
    <row r="160" spans="1:32" ht="11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</row>
    <row r="161" spans="1:32" ht="11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</row>
    <row r="162" spans="1:32" ht="11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</row>
    <row r="163" spans="1:32" ht="11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</row>
    <row r="164" spans="1:32" ht="11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</row>
    <row r="165" spans="1:32" ht="11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</row>
    <row r="166" spans="1:32" ht="11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</row>
    <row r="167" spans="1:32" ht="11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</row>
    <row r="168" spans="1:32" ht="11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</row>
    <row r="169" spans="1:32" ht="11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</row>
    <row r="170" spans="1:32" ht="11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</row>
    <row r="171" spans="1:32" ht="11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</row>
    <row r="172" spans="1:32" ht="11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</row>
    <row r="173" spans="1:32" ht="11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</row>
    <row r="174" spans="1:32" ht="11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</row>
    <row r="175" spans="1:32" ht="11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</row>
    <row r="176" spans="1:32" ht="11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</row>
    <row r="177" spans="1:32" ht="11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</row>
    <row r="178" spans="1:32" ht="11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</row>
    <row r="179" spans="1:32" ht="11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</row>
    <row r="180" spans="1:32" ht="11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</row>
    <row r="181" spans="1:32" ht="11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</row>
    <row r="182" spans="1:32" ht="11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</row>
    <row r="183" spans="1:32" ht="11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</row>
    <row r="184" spans="1:32" ht="11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</row>
    <row r="185" spans="1:32" ht="11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</row>
    <row r="186" spans="1:32" ht="11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</row>
    <row r="187" spans="1:32" ht="11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</row>
    <row r="188" spans="1:32" ht="11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</row>
    <row r="189" spans="1:32" ht="11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</row>
    <row r="190" spans="1:32" ht="11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</row>
    <row r="191" spans="1:32" ht="11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</row>
    <row r="192" spans="1:32" ht="11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</row>
    <row r="193" spans="1:32" ht="11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</row>
    <row r="194" spans="1:32" ht="11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</row>
    <row r="195" spans="1:32" ht="11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</row>
    <row r="196" spans="1:32" ht="11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</row>
    <row r="197" spans="1:32" ht="11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</row>
    <row r="198" spans="1:32" ht="11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</row>
    <row r="199" spans="1:32" ht="11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</row>
    <row r="200" spans="1:32" ht="11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</row>
    <row r="201" spans="1:32" ht="11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</row>
    <row r="202" spans="1:32" ht="11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</row>
    <row r="203" spans="1:32" ht="11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</row>
    <row r="204" spans="1:32" ht="11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</row>
    <row r="205" spans="1:32" ht="11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</row>
    <row r="206" spans="1:32" ht="11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</row>
    <row r="207" spans="1:32" ht="11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</row>
    <row r="208" spans="1:32" ht="11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</row>
    <row r="209" spans="1:32" ht="11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</row>
    <row r="210" spans="1:32" ht="11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</row>
    <row r="211" spans="1:32" ht="11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</row>
    <row r="212" spans="1:32" ht="11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</row>
    <row r="213" spans="1:32" ht="11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</row>
    <row r="214" spans="1:32" ht="11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</row>
    <row r="215" spans="1:32" ht="11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</row>
    <row r="216" spans="1:32" ht="11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</row>
    <row r="217" spans="1:32" ht="11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</row>
    <row r="218" spans="1:32" ht="11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</row>
    <row r="219" spans="1:32" ht="11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</row>
    <row r="220" spans="1:32" ht="11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</row>
    <row r="221" spans="1:32" ht="11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</row>
    <row r="222" spans="1:32" ht="11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</row>
    <row r="223" spans="1:32" ht="11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</row>
    <row r="224" spans="1:32" ht="11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</row>
    <row r="225" spans="1:32" ht="11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</row>
    <row r="226" spans="1:32" ht="11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</row>
    <row r="227" spans="1:32" ht="11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</row>
    <row r="228" spans="1:32" ht="11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</row>
    <row r="229" spans="1:32" ht="11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</row>
    <row r="230" spans="1:32" ht="11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</row>
    <row r="231" spans="1:32" ht="11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</row>
    <row r="232" spans="1:32" ht="11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</row>
    <row r="233" spans="1:32" ht="11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</row>
    <row r="234" spans="1:32" ht="11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</row>
    <row r="235" spans="1:32" ht="11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</row>
    <row r="236" spans="1:32" ht="11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</row>
    <row r="237" spans="1:32" ht="11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</row>
    <row r="238" spans="1:32" ht="11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</row>
    <row r="239" spans="1:32" ht="11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</row>
    <row r="240" spans="1:32" ht="11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</row>
    <row r="241" spans="1:32" ht="11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</row>
    <row r="242" spans="1:32" ht="11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</row>
    <row r="243" spans="1:32" ht="11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</row>
    <row r="244" spans="1:32" ht="11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</row>
    <row r="245" spans="1:32" ht="11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</row>
    <row r="246" spans="1:32" ht="11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</row>
    <row r="247" spans="1:32" ht="11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</row>
    <row r="248" spans="1:32" ht="11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</row>
    <row r="249" spans="1:32" ht="11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</row>
    <row r="250" spans="1:32" ht="11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</row>
    <row r="251" spans="1:32" ht="11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</row>
    <row r="252" spans="1:32" ht="11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</row>
    <row r="253" spans="1:32" ht="11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</row>
    <row r="254" spans="1:32" ht="11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</row>
    <row r="255" spans="1:32" ht="11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</row>
    <row r="256" spans="1:32" ht="11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</row>
    <row r="257" spans="1:32" ht="11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</row>
    <row r="258" spans="1:32" ht="11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</row>
    <row r="259" spans="1:32" ht="11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</row>
    <row r="260" spans="1:32" ht="11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</row>
    <row r="261" spans="1:32" ht="11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</row>
    <row r="262" spans="1:32" ht="11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</row>
    <row r="263" spans="1:32" ht="11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</row>
    <row r="264" spans="1:32" ht="11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</row>
    <row r="265" spans="1:32" ht="11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</row>
    <row r="266" spans="1:32" ht="11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</row>
    <row r="267" spans="1:32" ht="11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</row>
    <row r="268" spans="1:32" ht="11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</row>
    <row r="269" spans="1:32" ht="11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</row>
    <row r="270" spans="1:32" ht="11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</row>
    <row r="271" spans="1:32" ht="11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</row>
    <row r="272" spans="1:32" ht="11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</row>
    <row r="273" spans="1:32" ht="11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</row>
    <row r="274" spans="1:32" ht="11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</row>
    <row r="275" spans="1:32" ht="11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</row>
    <row r="276" spans="1:32" ht="11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</row>
    <row r="277" spans="1:32" ht="11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</row>
    <row r="278" spans="1:32" ht="11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</row>
    <row r="279" spans="1:32" ht="11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</row>
    <row r="280" spans="1:32" ht="11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</row>
    <row r="281" spans="1:32" ht="11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</row>
    <row r="282" spans="1:32" ht="11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</row>
    <row r="283" spans="1:32" ht="11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</row>
    <row r="284" spans="1:32" ht="11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</row>
    <row r="285" spans="1:32" ht="11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</row>
    <row r="286" spans="1:32" ht="11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</row>
    <row r="287" spans="1:32" ht="11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</row>
    <row r="288" spans="1:32" ht="11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</row>
    <row r="289" spans="1:32" ht="11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</row>
    <row r="290" spans="1:32" ht="11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</row>
    <row r="291" spans="1:32" ht="11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</row>
    <row r="292" spans="1:32" ht="11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</row>
    <row r="293" spans="1:32" ht="11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</row>
    <row r="294" spans="1:32" ht="11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  <row r="295" spans="1:32" ht="11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</row>
    <row r="296" spans="1:32" ht="11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</row>
    <row r="297" spans="1:32" ht="11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</row>
    <row r="298" spans="1:32" ht="11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</row>
    <row r="299" spans="1:32" ht="11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</row>
    <row r="300" spans="1:32" ht="11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</row>
    <row r="301" spans="1:32" ht="11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</row>
    <row r="302" spans="1:32" ht="11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</row>
    <row r="303" spans="1:32" ht="11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</row>
    <row r="304" spans="1:32" ht="11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</row>
    <row r="305" spans="1:32" ht="11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</row>
    <row r="306" spans="1:32" ht="11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</row>
    <row r="307" spans="1:32" ht="11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</row>
    <row r="308" spans="1:32" ht="11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</row>
    <row r="309" spans="1:32" ht="11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</row>
    <row r="310" spans="1:32" ht="11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</row>
    <row r="311" spans="1:32" ht="11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</row>
    <row r="312" spans="1:32" ht="11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</row>
    <row r="313" spans="1:32" ht="11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</row>
    <row r="314" spans="1:32" ht="11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</row>
    <row r="315" spans="1:32" ht="11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</row>
    <row r="316" spans="1:32" ht="11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</row>
    <row r="317" spans="1:32" ht="11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</row>
    <row r="318" spans="1:32" ht="11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</row>
    <row r="319" spans="1:32" ht="11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</row>
    <row r="320" spans="1:32" ht="11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</row>
    <row r="321" spans="1:32" ht="11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</row>
    <row r="322" spans="1:32" ht="11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</row>
    <row r="323" spans="1:32" ht="11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</row>
    <row r="324" spans="1:32" ht="11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</row>
    <row r="325" spans="1:32" ht="11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</row>
    <row r="326" spans="1:32" ht="11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</row>
    <row r="327" spans="1:32" ht="11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</row>
    <row r="328" spans="1:32" ht="11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</row>
    <row r="329" spans="1:32" ht="11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</row>
    <row r="330" spans="1:32" ht="11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</row>
    <row r="331" spans="1:32" ht="11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</row>
    <row r="332" spans="1:32" ht="11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</row>
    <row r="333" spans="1:32" ht="11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</row>
    <row r="334" spans="1:32" ht="11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</row>
    <row r="335" spans="1:32" ht="11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</row>
    <row r="336" spans="1:32" ht="11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</row>
    <row r="337" spans="1:32" ht="11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</row>
    <row r="338" spans="1:32" ht="11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</row>
    <row r="339" spans="1:32" ht="11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</row>
    <row r="340" spans="1:32" ht="11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</row>
    <row r="341" spans="1:32" ht="11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</row>
    <row r="342" spans="1:32" ht="11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</row>
    <row r="343" spans="1:32" ht="11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</row>
    <row r="344" spans="1:32" ht="11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</row>
    <row r="345" spans="1:32" ht="11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</row>
    <row r="346" spans="1:32" ht="11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</row>
    <row r="347" spans="1:32" ht="11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</row>
    <row r="348" spans="1:32" ht="11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</row>
    <row r="349" spans="1:32" ht="11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</row>
    <row r="350" spans="1:32" ht="11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</row>
    <row r="351" spans="1:32" ht="11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</row>
    <row r="352" spans="1:32" ht="11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</row>
    <row r="353" spans="1:32" ht="11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</row>
    <row r="354" spans="1:32" ht="11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</row>
    <row r="355" spans="1:32" ht="11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</row>
    <row r="356" spans="1:32" ht="11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</row>
    <row r="357" spans="1:32" ht="11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</row>
    <row r="358" spans="1:32" ht="11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</row>
    <row r="359" spans="1:32" ht="11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</row>
    <row r="360" spans="1:32" ht="11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</row>
    <row r="361" spans="1:32" ht="11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</row>
    <row r="362" spans="1:32" ht="11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</row>
    <row r="363" spans="1:32" ht="11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</row>
    <row r="364" spans="1:32" ht="11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</row>
    <row r="365" spans="1:32" ht="11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</row>
    <row r="366" spans="1:32" ht="11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</row>
    <row r="367" spans="1:32" ht="11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</row>
    <row r="368" spans="1:32" ht="11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</row>
    <row r="369" spans="1:32" ht="11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</row>
    <row r="370" spans="1:32" ht="11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</row>
    <row r="371" spans="1:32" ht="11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</row>
    <row r="372" spans="1:32" ht="11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</row>
    <row r="373" spans="1:32" ht="11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</row>
    <row r="374" spans="1:32" ht="11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</row>
    <row r="375" spans="1:32" ht="11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</row>
    <row r="376" spans="1:32" ht="11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</row>
    <row r="377" spans="1:32" ht="11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</row>
    <row r="378" spans="1:32" ht="11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</row>
    <row r="379" spans="1:32" ht="11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</row>
    <row r="380" spans="1:32" ht="11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</row>
    <row r="381" spans="1:32" ht="11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</row>
    <row r="382" spans="1:32" ht="11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</row>
    <row r="383" spans="1:32" ht="11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</row>
    <row r="384" spans="1:32" ht="11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</row>
    <row r="385" spans="1:32" ht="11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</row>
    <row r="386" spans="1:32" ht="11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</row>
    <row r="387" spans="1:32" ht="11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</row>
    <row r="388" spans="1:32" ht="11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</row>
    <row r="389" spans="1:32" ht="11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</row>
    <row r="390" spans="1:32" ht="11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</row>
    <row r="391" spans="1:32" ht="11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</row>
    <row r="392" spans="1:32" ht="11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</row>
    <row r="393" spans="1:32" ht="11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</row>
    <row r="394" spans="1:32" ht="11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</row>
    <row r="395" spans="1:32" ht="11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</row>
    <row r="396" spans="1:32" ht="11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</row>
    <row r="397" spans="1:32" ht="11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</row>
    <row r="398" spans="1:32" ht="11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</row>
    <row r="399" spans="1:32" ht="11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</row>
    <row r="400" spans="1:32" ht="11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</row>
    <row r="401" spans="1:32" ht="11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</row>
    <row r="402" spans="1:32" ht="11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</row>
    <row r="403" spans="1:32" ht="11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</row>
    <row r="404" spans="1:32" ht="11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</row>
    <row r="405" spans="1:32" ht="11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</row>
    <row r="406" spans="1:32" ht="11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</row>
    <row r="407" spans="1:32" ht="11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</row>
    <row r="408" spans="1:32" ht="11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</row>
    <row r="409" spans="1:32" ht="11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</row>
    <row r="410" spans="1:32" ht="11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</row>
    <row r="411" spans="1:32" ht="11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</row>
    <row r="412" spans="1:32" ht="11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</row>
    <row r="413" spans="1:32" ht="11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</row>
    <row r="414" spans="1:32" ht="11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</row>
    <row r="415" spans="1:32" ht="11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</row>
    <row r="416" spans="1:32" ht="11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</row>
    <row r="417" spans="1:32" ht="11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</row>
    <row r="418" spans="1:32" ht="11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</row>
    <row r="419" spans="1:32" ht="11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</row>
    <row r="420" spans="1:32" ht="11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</row>
    <row r="421" spans="1:32" ht="11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</row>
    <row r="422" spans="1:32" ht="11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</row>
    <row r="423" spans="1:32" ht="11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</row>
    <row r="424" spans="1:32" ht="11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</row>
    <row r="425" spans="1:32" ht="11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</row>
    <row r="426" spans="1:32" ht="11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</row>
    <row r="427" spans="1:32" ht="11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</row>
    <row r="428" spans="1:32" ht="11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</row>
    <row r="429" spans="1:32" ht="11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</row>
    <row r="430" spans="1:32" ht="11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</row>
    <row r="431" spans="1:32" ht="11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</row>
    <row r="432" spans="1:32" ht="11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</row>
    <row r="433" spans="1:32" ht="11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</row>
    <row r="434" spans="1:32" ht="11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</row>
    <row r="435" spans="1:32" ht="11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</row>
    <row r="436" spans="1:32" ht="11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</row>
    <row r="437" spans="1:32" ht="11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</row>
    <row r="438" spans="1:32" ht="11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</row>
    <row r="439" spans="1:32" ht="11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</row>
    <row r="440" spans="1:32" ht="11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</row>
    <row r="441" spans="1:32" ht="11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</row>
    <row r="442" spans="1:32" ht="11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</row>
    <row r="443" spans="1:32" ht="11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</row>
    <row r="444" spans="1:32" ht="11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</row>
    <row r="445" spans="1:32" ht="11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</row>
    <row r="446" spans="1:32" ht="11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</row>
    <row r="447" spans="1:32" ht="11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</row>
    <row r="448" spans="1:32" ht="11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</row>
    <row r="449" spans="1:32" ht="11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</row>
    <row r="450" spans="1:32" ht="11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</row>
    <row r="451" spans="1:32" ht="11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</row>
    <row r="452" spans="1:32" ht="11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</row>
    <row r="453" spans="1:32" ht="11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</row>
    <row r="454" spans="1:32" ht="11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</row>
    <row r="455" spans="1:32" ht="11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</row>
    <row r="456" spans="1:32" ht="11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</row>
    <row r="457" spans="1:32" ht="11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</row>
    <row r="458" spans="1:32" ht="11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</row>
    <row r="459" spans="1:32" ht="11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</row>
    <row r="460" spans="1:32" ht="11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</row>
    <row r="461" spans="1:32" ht="11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</row>
    <row r="462" spans="1:32" ht="11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</row>
    <row r="463" spans="1:32" ht="11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</row>
    <row r="464" spans="1:32" ht="11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</row>
    <row r="465" spans="1:32" ht="11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</row>
    <row r="466" spans="1:32" ht="11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</row>
    <row r="467" spans="1:32" ht="11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</row>
    <row r="468" spans="1:32" ht="11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</row>
    <row r="469" spans="1:32" ht="11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</row>
    <row r="470" spans="1:32" ht="11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</row>
    <row r="471" spans="1:32" ht="11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</row>
    <row r="472" spans="1:32" ht="11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</row>
    <row r="473" spans="1:32" ht="11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</row>
    <row r="474" spans="1:32" ht="11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</row>
    <row r="475" spans="1:32" ht="11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</row>
    <row r="476" spans="1:32" ht="11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</row>
    <row r="477" spans="1:32" ht="11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</row>
    <row r="478" spans="1:32" ht="11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</row>
    <row r="479" spans="1:32" ht="11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</row>
    <row r="480" spans="1:32" ht="11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</row>
    <row r="481" spans="1:32" ht="11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</row>
    <row r="482" spans="1:32" ht="11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</row>
    <row r="483" spans="1:32" ht="11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</row>
    <row r="484" spans="1:32" ht="11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</row>
    <row r="485" spans="1:32" ht="11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</row>
    <row r="486" spans="1:32" ht="11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</row>
    <row r="487" spans="1:32" ht="11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</row>
    <row r="488" spans="1:32" ht="11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</row>
    <row r="489" spans="1:32" ht="11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</row>
    <row r="490" spans="1:32" ht="11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</row>
    <row r="491" spans="1:32" ht="11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</row>
    <row r="492" spans="1:32" ht="11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</row>
    <row r="493" spans="1:32" ht="11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</row>
    <row r="494" spans="1:32" ht="11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</row>
    <row r="495" spans="1:32" ht="11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</row>
    <row r="496" spans="1:32" ht="11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</row>
    <row r="497" spans="1:32" ht="11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</row>
    <row r="498" spans="1:32" ht="11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</row>
    <row r="499" spans="1:32" ht="11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</row>
    <row r="500" spans="1:32" ht="11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</row>
    <row r="501" spans="1:32" ht="11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</row>
    <row r="502" spans="1:32" ht="11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</row>
    <row r="503" spans="1:32" ht="11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</row>
    <row r="504" spans="1:32" ht="11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</row>
    <row r="505" spans="1:32" ht="11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</row>
    <row r="506" spans="1:32" ht="11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</row>
    <row r="507" spans="1:32" ht="11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</row>
    <row r="508" spans="1:32" ht="11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</row>
    <row r="509" spans="1:32" ht="11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</row>
    <row r="510" spans="1:32" ht="11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</row>
    <row r="511" spans="1:32" ht="11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</row>
    <row r="512" spans="1:32" ht="11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</row>
    <row r="513" spans="1:32" ht="11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</row>
    <row r="514" spans="1:32" ht="11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</row>
    <row r="515" spans="1:32" ht="11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</row>
    <row r="516" spans="1:32" ht="11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</row>
    <row r="517" spans="1:32" ht="11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</row>
    <row r="518" spans="1:32" ht="11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</row>
    <row r="519" spans="1:32" ht="11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</row>
    <row r="520" spans="1:32" ht="11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</row>
    <row r="521" spans="1:32" ht="11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</row>
    <row r="522" spans="1:32" ht="11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</row>
    <row r="523" spans="1:32" ht="11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</row>
    <row r="524" spans="1:32" ht="11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</row>
    <row r="525" spans="1:32" ht="11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</row>
    <row r="526" spans="1:32" ht="11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</row>
    <row r="527" spans="1:32" ht="11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</row>
    <row r="528" spans="1:32" ht="11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</row>
    <row r="529" spans="1:32" ht="11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</row>
    <row r="530" spans="1:32" ht="11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</row>
    <row r="531" spans="1:32" ht="11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</row>
    <row r="532" spans="1:32" ht="11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</row>
    <row r="533" spans="1:32" ht="11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</row>
    <row r="534" spans="1:32" ht="11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</row>
    <row r="535" spans="1:32" ht="11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</row>
    <row r="536" spans="1:32" ht="11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</row>
    <row r="537" spans="1:32" ht="11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</row>
    <row r="538" spans="1:32" ht="11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</row>
    <row r="539" spans="1:32" ht="11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</row>
    <row r="540" spans="1:32" ht="11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</row>
    <row r="541" spans="1:32" ht="11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</row>
    <row r="542" spans="1:32" ht="11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</row>
    <row r="543" spans="1:32" ht="11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</row>
    <row r="544" spans="1:32" ht="11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</row>
    <row r="545" spans="1:32" ht="11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</row>
    <row r="546" spans="1:32" ht="11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</row>
    <row r="547" spans="1:32" ht="11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</row>
    <row r="548" spans="1:32" ht="11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</row>
    <row r="549" spans="1:32" ht="11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</row>
    <row r="550" spans="1:32" ht="11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</row>
    <row r="551" spans="1:32" ht="11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</row>
    <row r="552" spans="1:32" ht="11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</row>
    <row r="553" spans="1:32" ht="11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</row>
    <row r="554" spans="1:32" ht="11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</row>
    <row r="555" spans="1:32" ht="11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</row>
    <row r="556" spans="1:32" ht="11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</row>
    <row r="557" spans="1:32" ht="11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</row>
    <row r="558" spans="1:32" ht="11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</row>
    <row r="559" spans="1:32" ht="11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</row>
    <row r="560" spans="1:32" ht="11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</row>
    <row r="561" spans="1:32" ht="11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</row>
    <row r="562" spans="1:32" ht="11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</row>
    <row r="563" spans="1:32" ht="11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</row>
    <row r="564" spans="1:32" ht="11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</row>
    <row r="565" spans="1:32" ht="11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</row>
    <row r="566" spans="1:32" ht="11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</row>
    <row r="567" spans="1:32" ht="11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</row>
    <row r="568" spans="1:32" ht="11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</row>
    <row r="569" spans="1:32" ht="11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</row>
    <row r="570" spans="1:32" ht="11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</row>
    <row r="571" spans="1:32" ht="11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</row>
    <row r="572" spans="1:32" ht="11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</row>
    <row r="573" spans="1:32" ht="11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</row>
    <row r="574" spans="1:32" ht="11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</row>
    <row r="575" spans="1:32" ht="11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</row>
    <row r="576" spans="1:32" ht="11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</row>
    <row r="577" spans="1:32" ht="11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</row>
    <row r="578" spans="1:32" ht="11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</row>
    <row r="579" spans="1:32" ht="11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</row>
    <row r="580" spans="1:32" ht="11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</row>
    <row r="581" spans="1:32" ht="11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</row>
    <row r="582" spans="1:32" ht="11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</row>
    <row r="583" spans="1:32" ht="11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</row>
    <row r="584" spans="1:32" ht="11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</row>
    <row r="585" spans="1:32" ht="11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</row>
    <row r="586" spans="1:32" ht="11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</row>
    <row r="587" spans="1:32" ht="11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</row>
    <row r="588" spans="1:32" ht="11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</row>
    <row r="589" spans="1:32" ht="11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</row>
    <row r="590" spans="1:32" ht="11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</row>
    <row r="591" spans="1:32" ht="11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</row>
    <row r="592" spans="1:32" ht="11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</row>
    <row r="593" spans="1:32" ht="11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</row>
    <row r="594" spans="1:32" ht="11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</row>
    <row r="595" spans="1:32" ht="11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</row>
    <row r="596" spans="1:32" ht="11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</row>
    <row r="597" spans="1:32" ht="11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</row>
    <row r="598" spans="1:32" ht="11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</row>
    <row r="599" spans="1:32" ht="11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</row>
    <row r="600" spans="1:32" ht="11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</row>
    <row r="601" spans="1:32" ht="11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</row>
    <row r="602" spans="1:32" ht="11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</row>
    <row r="603" spans="1:32" ht="11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</row>
    <row r="604" spans="1:32" ht="11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</row>
    <row r="605" spans="1:32" ht="11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</row>
    <row r="606" spans="1:32" ht="11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</row>
    <row r="607" spans="1:32" ht="11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</row>
    <row r="608" spans="1:32" ht="11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</row>
    <row r="609" spans="1:32" ht="11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</row>
    <row r="610" spans="1:32" ht="11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</row>
    <row r="611" spans="1:32" ht="11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</row>
    <row r="612" spans="1:32" ht="11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</row>
    <row r="613" spans="1:32" ht="11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</row>
    <row r="614" spans="1:32" ht="11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</row>
    <row r="615" spans="1:32" ht="11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</row>
    <row r="616" spans="1:32" ht="11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</row>
    <row r="617" spans="1:32" ht="11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</row>
    <row r="618" spans="1:32" ht="11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</row>
    <row r="619" spans="1:32" ht="11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</row>
    <row r="620" spans="1:32" ht="11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</row>
    <row r="621" spans="1:32" ht="11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</row>
    <row r="622" spans="1:32" ht="11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</row>
    <row r="623" spans="1:32" ht="11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</row>
    <row r="624" spans="1:32" ht="11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</row>
    <row r="625" spans="1:32" ht="11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</row>
    <row r="626" spans="1:32" ht="11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</row>
    <row r="627" spans="1:32" ht="11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</row>
    <row r="628" spans="1:32" ht="11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</row>
    <row r="629" spans="1:32" ht="11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</row>
    <row r="630" spans="1:32" ht="11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</row>
    <row r="631" spans="1:32" ht="11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</row>
    <row r="632" spans="1:32" ht="11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</row>
    <row r="633" spans="1:32" ht="11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</row>
    <row r="634" spans="1:32" ht="11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</row>
    <row r="635" spans="1:32" ht="11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</row>
    <row r="636" spans="1:32" ht="11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</row>
    <row r="637" spans="1:32" ht="11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</row>
    <row r="638" spans="1:32" ht="11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</row>
    <row r="639" spans="1:32" ht="11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</row>
    <row r="640" spans="1:32" ht="11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</row>
    <row r="641" spans="1:32" ht="11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</row>
    <row r="642" spans="1:32" ht="11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</row>
    <row r="643" spans="1:32" ht="11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</row>
    <row r="644" spans="1:32" ht="11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</row>
    <row r="645" spans="1:32" ht="11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</row>
    <row r="646" spans="1:32" ht="11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</row>
    <row r="647" spans="1:32" ht="11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</row>
    <row r="648" spans="1:32" ht="11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</row>
    <row r="649" spans="1:32" ht="11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</row>
    <row r="650" spans="1:32" ht="11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</row>
    <row r="651" spans="1:32" ht="11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</row>
    <row r="652" spans="1:32" ht="11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</row>
    <row r="653" spans="1:32" ht="11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</row>
    <row r="654" spans="1:32" ht="11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</row>
    <row r="655" spans="1:32" ht="11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</row>
    <row r="656" spans="1:32" ht="11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</row>
    <row r="657" spans="1:32" ht="11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</row>
    <row r="658" spans="1:32" ht="11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</row>
    <row r="659" spans="1:32" ht="11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</row>
    <row r="660" spans="1:32" ht="11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</row>
    <row r="661" spans="1:32" ht="11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</row>
    <row r="662" spans="1:32" ht="11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</row>
    <row r="663" spans="1:32" ht="11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</row>
    <row r="664" spans="1:32" ht="11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</row>
    <row r="665" spans="1:32" ht="11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</row>
    <row r="666" spans="1:32" ht="11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</row>
    <row r="667" spans="1:32" ht="11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</row>
    <row r="668" spans="1:32" ht="11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</row>
    <row r="669" spans="1:32" ht="11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</row>
    <row r="670" spans="1:32" ht="11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</row>
    <row r="671" spans="1:32" ht="11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</row>
    <row r="672" spans="1:32" ht="11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</row>
    <row r="673" spans="1:32" ht="11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</row>
    <row r="674" spans="1:32" ht="11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</row>
    <row r="675" spans="1:32" ht="11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</row>
    <row r="676" spans="1:32" ht="11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</row>
    <row r="677" spans="1:32" ht="11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</row>
    <row r="678" spans="1:32" ht="11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</row>
    <row r="679" spans="1:32" ht="11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</row>
    <row r="680" spans="1:32" ht="11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</row>
    <row r="681" spans="1:32" ht="11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</row>
    <row r="682" spans="1:32" ht="11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</row>
    <row r="683" spans="1:32" ht="11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</row>
    <row r="684" spans="1:32" ht="11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</row>
    <row r="685" spans="1:32" ht="11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</row>
    <row r="686" spans="1:32" ht="11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</row>
    <row r="687" spans="1:32" ht="11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</row>
    <row r="688" spans="1:32" ht="11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</row>
    <row r="689" spans="1:32" ht="11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</row>
    <row r="690" spans="1:32" ht="11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</row>
    <row r="691" spans="1:32" ht="11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</row>
    <row r="692" spans="1:32" ht="11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</row>
    <row r="693" spans="1:32" ht="11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</row>
    <row r="694" spans="1:32" ht="11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</row>
    <row r="695" spans="1:32" ht="11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</row>
    <row r="696" spans="1:32" ht="11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</row>
    <row r="697" spans="1:32" ht="11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</row>
    <row r="698" spans="1:32" ht="11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</row>
    <row r="699" spans="1:32" ht="11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</row>
    <row r="700" spans="1:32" ht="11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</row>
    <row r="701" spans="1:32" ht="11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</row>
    <row r="702" spans="1:32" ht="11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</row>
    <row r="703" spans="1:32" ht="11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</row>
    <row r="704" spans="1:32" ht="11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</row>
    <row r="705" spans="1:32" ht="11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</row>
    <row r="706" spans="1:32" ht="11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</row>
    <row r="707" spans="1:32" ht="11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</row>
    <row r="708" spans="1:32" ht="11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</row>
    <row r="709" spans="1:32" ht="11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</row>
    <row r="710" spans="1:32" ht="11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</row>
    <row r="711" spans="1:32" ht="11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</row>
    <row r="712" spans="1:32" ht="11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</row>
    <row r="713" spans="1:32" ht="11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</row>
    <row r="714" spans="1:32" ht="11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</row>
    <row r="715" spans="1:32" ht="11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</row>
    <row r="716" spans="1:32" ht="11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</row>
    <row r="717" spans="1:32" ht="11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</row>
    <row r="718" spans="1:32" ht="11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</row>
    <row r="719" spans="1:32" ht="11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</row>
    <row r="720" spans="1:32" ht="11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</row>
    <row r="721" spans="1:32" ht="11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</row>
    <row r="722" spans="1:32" ht="11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</row>
    <row r="723" spans="1:32" ht="11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</row>
    <row r="724" spans="1:32" ht="11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</row>
    <row r="725" spans="1:32" ht="11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</row>
    <row r="726" spans="1:32" ht="11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</row>
    <row r="727" spans="1:32" ht="11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</row>
    <row r="728" spans="1:32" ht="11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</row>
    <row r="729" spans="1:32" ht="11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</row>
    <row r="730" spans="1:32" ht="11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</row>
    <row r="731" spans="1:32" ht="11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</row>
    <row r="732" spans="1:32" ht="11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</row>
    <row r="733" spans="1:32" ht="11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</row>
    <row r="734" spans="1:32" ht="11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</row>
    <row r="735" spans="1:32" ht="11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</row>
    <row r="736" spans="1:32" ht="11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</row>
    <row r="737" spans="1:32" ht="11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</row>
    <row r="738" spans="1:32" ht="11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</row>
    <row r="739" spans="1:32" ht="11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</row>
    <row r="740" spans="1:32" ht="11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</row>
    <row r="741" spans="1:32" ht="11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</row>
    <row r="742" spans="1:32" ht="11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</row>
    <row r="743" spans="1:32" ht="11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</row>
    <row r="744" spans="1:32" ht="11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</row>
    <row r="745" spans="1:32" ht="11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</row>
    <row r="746" spans="1:32" ht="11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</row>
    <row r="747" spans="1:32" ht="11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</row>
    <row r="748" spans="1:32" ht="11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</row>
    <row r="749" spans="1:32" ht="11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</row>
    <row r="750" spans="1:32" ht="11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</row>
    <row r="751" spans="1:32" ht="11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</row>
    <row r="752" spans="1:32" ht="11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</row>
    <row r="753" spans="1:32" ht="11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</row>
    <row r="754" spans="1:32" ht="11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</row>
    <row r="755" spans="1:32" ht="11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</row>
    <row r="756" spans="1:32" ht="11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</row>
    <row r="757" spans="1:32" ht="11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</row>
    <row r="758" spans="1:32" ht="11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</row>
    <row r="759" spans="1:32" ht="11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</row>
    <row r="760" spans="1:32" ht="11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</row>
    <row r="761" spans="1:32" ht="11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</row>
    <row r="762" spans="1:32" ht="11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</row>
    <row r="763" spans="1:32" ht="11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</row>
    <row r="764" spans="1:32" ht="11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</row>
    <row r="765" spans="1:32" ht="11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</row>
    <row r="766" spans="1:32" ht="11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</row>
    <row r="767" spans="1:32" ht="11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</row>
    <row r="768" spans="1:32" ht="11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</row>
    <row r="769" spans="1:32" ht="11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</row>
    <row r="770" spans="1:32" ht="11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</row>
    <row r="771" spans="1:32" ht="11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</row>
    <row r="772" spans="1:32" ht="11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</row>
    <row r="773" spans="1:32" ht="11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</row>
    <row r="774" spans="1:32" ht="11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</row>
    <row r="775" spans="1:32" ht="11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</row>
    <row r="776" spans="1:32" ht="11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</row>
    <row r="777" spans="1:32" ht="11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</row>
    <row r="778" spans="1:32" ht="11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</row>
    <row r="779" spans="1:32" ht="11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</row>
    <row r="780" spans="1:32" ht="11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</row>
    <row r="781" spans="1:32" ht="11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</row>
    <row r="782" spans="1:32" ht="11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</row>
    <row r="783" spans="1:32" ht="11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</row>
    <row r="784" spans="1:32" ht="11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</row>
    <row r="785" spans="1:32" ht="11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</row>
    <row r="786" spans="1:32" ht="11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</row>
    <row r="787" spans="1:32" ht="11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</row>
    <row r="788" spans="1:32" ht="11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</row>
    <row r="789" spans="1:32" ht="11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</row>
    <row r="790" spans="1:32" ht="11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</row>
    <row r="791" spans="1:32" ht="11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</row>
    <row r="792" spans="1:32" ht="11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</row>
    <row r="793" spans="1:32" ht="11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</row>
    <row r="794" spans="1:32" ht="11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</row>
    <row r="795" spans="1:32" ht="11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</row>
    <row r="796" spans="1:32" ht="11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</row>
    <row r="797" spans="1:32" ht="11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</row>
    <row r="798" spans="1:32" ht="11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</row>
    <row r="799" spans="1:32" ht="11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</row>
    <row r="800" spans="1:32" ht="11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</row>
    <row r="801" spans="1:32" ht="11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</row>
    <row r="802" spans="1:32" ht="11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</row>
    <row r="803" spans="1:32" ht="11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</row>
    <row r="804" spans="1:32" ht="11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</row>
    <row r="805" spans="1:32" ht="11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</row>
    <row r="806" spans="1:32" ht="11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</row>
    <row r="807" spans="1:32" ht="11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</row>
    <row r="808" spans="1:32" ht="11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</row>
    <row r="809" spans="1:32" ht="11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</row>
    <row r="810" spans="1:32" ht="11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</row>
    <row r="811" spans="1:32" ht="11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</row>
    <row r="812" spans="1:32" ht="11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</row>
    <row r="813" spans="1:32" ht="11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</row>
    <row r="814" spans="1:32" ht="11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</row>
    <row r="815" spans="1:32" ht="11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</row>
    <row r="816" spans="1:32" ht="11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</row>
    <row r="817" spans="1:32" ht="11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</row>
    <row r="818" spans="1:32" ht="11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</row>
    <row r="819" spans="1:32" ht="11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</row>
    <row r="820" spans="1:32" ht="11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</row>
    <row r="821" spans="1:32" ht="11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</row>
    <row r="822" spans="1:32" ht="11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</row>
    <row r="823" spans="1:32" ht="11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</row>
    <row r="824" spans="1:32" ht="11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</row>
    <row r="825" spans="1:32" ht="11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</row>
    <row r="826" spans="1:32" ht="11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</row>
    <row r="827" spans="1:32" ht="11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</row>
    <row r="828" spans="1:32" ht="11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</row>
    <row r="829" spans="1:32" ht="11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</row>
    <row r="830" spans="1:32" ht="11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</row>
    <row r="831" spans="1:32" ht="11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</row>
    <row r="832" spans="1:32" ht="11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</row>
    <row r="833" spans="1:32" ht="11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</row>
    <row r="834" spans="1:32" ht="11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</row>
    <row r="835" spans="1:32" ht="11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</row>
    <row r="836" spans="1:32" ht="11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</row>
    <row r="837" spans="1:32" ht="11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</row>
    <row r="838" spans="1:32" ht="11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</row>
    <row r="839" spans="1:32" ht="11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</row>
    <row r="840" spans="1:32" ht="11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</row>
    <row r="841" spans="1:32" ht="11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</row>
    <row r="842" spans="1:32" ht="11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</row>
    <row r="843" spans="1:32" ht="11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</row>
    <row r="844" spans="1:32" ht="11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</row>
    <row r="845" spans="1:32" ht="11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</row>
    <row r="846" spans="1:32" ht="11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</row>
    <row r="847" spans="1:32" ht="11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</row>
    <row r="848" spans="1:32" ht="11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</row>
    <row r="849" spans="1:32" ht="11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</row>
    <row r="850" spans="1:32" ht="11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</row>
    <row r="851" spans="1:32" ht="11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</row>
    <row r="852" spans="1:32" ht="11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</row>
    <row r="853" spans="1:32" ht="11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</row>
    <row r="854" spans="1:32" ht="11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</row>
    <row r="855" spans="1:32" ht="11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</row>
    <row r="856" spans="1:32" ht="11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</row>
    <row r="857" spans="1:32" ht="11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</row>
    <row r="858" spans="1:32" ht="11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</row>
    <row r="859" spans="1:32" ht="11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</row>
    <row r="860" spans="1:32" ht="11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</row>
    <row r="861" spans="1:32" ht="11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</row>
    <row r="862" spans="1:32" ht="11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</row>
    <row r="863" spans="1:32" ht="11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</row>
    <row r="864" spans="1:32" ht="11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</row>
    <row r="865" spans="1:32" ht="11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</row>
    <row r="866" spans="1:32" ht="11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</row>
    <row r="867" spans="1:32" ht="11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</row>
    <row r="868" spans="1:32" ht="11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</row>
    <row r="869" spans="1:32" ht="11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</row>
    <row r="870" spans="1:32" ht="11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</row>
    <row r="871" spans="1:32" ht="11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</row>
    <row r="872" spans="1:32" ht="11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</row>
    <row r="873" spans="1:32" ht="11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</row>
    <row r="874" spans="1:32" ht="11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</row>
    <row r="875" spans="1:32" ht="11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</row>
    <row r="876" spans="1:32" ht="11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</row>
    <row r="877" spans="1:32" ht="11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</row>
    <row r="878" spans="1:32" ht="11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</row>
    <row r="879" spans="1:32" ht="11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</row>
    <row r="880" spans="1:32" ht="11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</row>
    <row r="881" spans="1:32" ht="11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</row>
    <row r="882" spans="1:32" ht="11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</row>
    <row r="883" spans="1:32" ht="11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</row>
    <row r="884" spans="1:32" ht="11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</row>
    <row r="885" spans="1:32" ht="11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</row>
    <row r="886" spans="1:32" ht="11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</row>
    <row r="887" spans="1:32" ht="11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</row>
    <row r="888" spans="1:32" ht="11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</row>
    <row r="889" spans="1:32" ht="11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</row>
    <row r="890" spans="1:32" ht="11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</row>
    <row r="891" spans="1:32" ht="11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</row>
    <row r="892" spans="1:32" ht="11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</row>
    <row r="893" spans="1:32" ht="11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</row>
    <row r="894" spans="1:32" ht="11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</row>
    <row r="895" spans="1:32" ht="11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</row>
    <row r="896" spans="1:32" ht="11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</row>
    <row r="897" spans="1:32" ht="11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</row>
    <row r="898" spans="1:32" ht="11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</row>
    <row r="899" spans="1:32" ht="11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</row>
    <row r="900" spans="1:32" ht="11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</row>
    <row r="901" spans="1:32" ht="11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</row>
    <row r="902" spans="1:32" ht="11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</row>
    <row r="903" spans="1:32" ht="11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</row>
    <row r="904" spans="1:32" ht="11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</row>
    <row r="905" spans="1:32" ht="11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</row>
    <row r="906" spans="1:32" ht="11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</row>
    <row r="907" spans="1:32" ht="11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</row>
    <row r="908" spans="1:32" ht="11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</row>
    <row r="909" spans="1:32" ht="11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</row>
    <row r="910" spans="1:32" ht="11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</row>
    <row r="911" spans="1:32" ht="11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</row>
    <row r="912" spans="1:32" ht="11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</row>
    <row r="913" spans="1:32" ht="11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</row>
    <row r="914" spans="1:32" ht="11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</row>
    <row r="915" spans="1:32" ht="11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</row>
    <row r="916" spans="1:32" ht="11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</row>
    <row r="917" spans="1:32" ht="11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</row>
    <row r="918" spans="1:32" ht="11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</row>
    <row r="919" spans="1:32" ht="11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</row>
    <row r="920" spans="1:32" ht="11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</row>
    <row r="921" spans="1:32" ht="11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</row>
    <row r="922" spans="1:32" ht="11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</row>
    <row r="923" spans="1:32" ht="11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</row>
    <row r="924" spans="1:32" ht="11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</row>
    <row r="925" spans="1:32" ht="11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</row>
    <row r="926" spans="1:32" ht="11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</row>
    <row r="927" spans="1:32" ht="11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</row>
    <row r="928" spans="1:32" ht="11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</row>
    <row r="929" spans="1:32" ht="11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</row>
    <row r="930" spans="1:32" ht="11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</row>
    <row r="931" spans="1:32" ht="11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</row>
    <row r="932" spans="1:32" ht="11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</row>
    <row r="933" spans="1:32" ht="11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</row>
    <row r="934" spans="1:32" ht="11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</row>
    <row r="935" spans="1:32" ht="11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</row>
    <row r="936" spans="1:32" ht="11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</row>
    <row r="937" spans="1:32" ht="11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</row>
    <row r="938" spans="1:32" ht="11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</row>
    <row r="939" spans="1:32" ht="11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</row>
    <row r="940" spans="1:32" ht="11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</row>
    <row r="941" spans="1:32" ht="11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</row>
    <row r="942" spans="1:32" ht="11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</row>
    <row r="943" spans="1:32" ht="11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</row>
    <row r="944" spans="1:32" ht="11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</row>
    <row r="945" spans="1:32" ht="11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</row>
    <row r="946" spans="1:32" ht="11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</row>
    <row r="947" spans="1:32" ht="11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</row>
    <row r="948" spans="1:32" ht="11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</row>
    <row r="949" spans="1:32" ht="11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</row>
    <row r="950" spans="1:32" ht="11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</row>
    <row r="951" spans="1:32" ht="11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</row>
    <row r="952" spans="1:32" ht="11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</row>
    <row r="953" spans="1:32" ht="11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</row>
    <row r="954" spans="1:32" ht="11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</row>
    <row r="955" spans="1:32" ht="11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</row>
    <row r="956" spans="1:32" ht="11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</row>
    <row r="957" spans="1:32" ht="11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</row>
    <row r="958" spans="1:32" ht="11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</row>
    <row r="959" spans="1:32" ht="11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</row>
    <row r="960" spans="1:32" ht="11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</row>
    <row r="961" spans="1:32" ht="11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</row>
    <row r="962" spans="1:32" ht="11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</row>
    <row r="963" spans="1:32" ht="11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</row>
    <row r="964" spans="1:32" ht="11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</row>
    <row r="965" spans="1:32" ht="11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</row>
    <row r="966" spans="1:32" ht="11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</row>
    <row r="967" spans="1:32" ht="11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</row>
    <row r="968" spans="1:32" ht="11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</row>
    <row r="969" spans="1:32" ht="11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</row>
    <row r="970" spans="1:32" ht="11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</row>
    <row r="971" spans="1:32" ht="11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</row>
    <row r="972" spans="1:32" ht="11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</row>
    <row r="973" spans="1:32" ht="11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</row>
    <row r="974" spans="1:32" ht="11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</row>
    <row r="975" spans="1:32" ht="11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</row>
    <row r="976" spans="1:32" ht="11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</row>
    <row r="977" spans="1:32" ht="11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</row>
    <row r="978" spans="1:32" ht="11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</row>
    <row r="979" spans="1:32" ht="11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</row>
    <row r="980" spans="1:32" ht="11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</row>
    <row r="981" spans="1:32" ht="11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</row>
    <row r="982" spans="1:32" ht="11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</row>
    <row r="983" spans="1:32" ht="11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</row>
    <row r="984" spans="1:32" ht="11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</row>
    <row r="985" spans="1:32" ht="11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</row>
    <row r="986" spans="1:32" ht="11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</row>
    <row r="987" spans="1:32" ht="11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</row>
    <row r="988" spans="1:32" ht="11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</row>
    <row r="989" spans="1:32" ht="11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</row>
    <row r="990" spans="1:32" ht="11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</row>
    <row r="991" spans="1:32" ht="11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</row>
    <row r="992" spans="1:32" ht="11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</row>
    <row r="993" spans="1:32" ht="11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</row>
    <row r="994" spans="1:32" ht="11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</row>
    <row r="995" spans="1:32" ht="11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</row>
    <row r="996" spans="1:32" ht="11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</row>
    <row r="997" spans="1:32" ht="11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</row>
  </sheetData>
  <mergeCells count="30">
    <mergeCell ref="O46:P46"/>
    <mergeCell ref="O47:P47"/>
    <mergeCell ref="O32:P32"/>
    <mergeCell ref="O33:P33"/>
    <mergeCell ref="O34:P34"/>
    <mergeCell ref="O35:P35"/>
    <mergeCell ref="B45:D45"/>
    <mergeCell ref="E45:G45"/>
    <mergeCell ref="H45:J45"/>
    <mergeCell ref="K45:M45"/>
    <mergeCell ref="O18:P18"/>
    <mergeCell ref="O19:P19"/>
    <mergeCell ref="O20:P20"/>
    <mergeCell ref="O21:P21"/>
    <mergeCell ref="B31:D31"/>
    <mergeCell ref="E31:G31"/>
    <mergeCell ref="H31:J31"/>
    <mergeCell ref="K31:M31"/>
    <mergeCell ref="O6:P6"/>
    <mergeCell ref="O7:P7"/>
    <mergeCell ref="B17:D17"/>
    <mergeCell ref="E17:G17"/>
    <mergeCell ref="H17:J17"/>
    <mergeCell ref="K17:M17"/>
    <mergeCell ref="B3:D3"/>
    <mergeCell ref="E3:G3"/>
    <mergeCell ref="H3:J3"/>
    <mergeCell ref="K3:M3"/>
    <mergeCell ref="O4:P4"/>
    <mergeCell ref="O5:P5"/>
  </mergeCells>
  <pageMargins left="0.7" right="0.7" top="0.75" bottom="0.75" header="0" footer="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97F2B-2331-4704-B4E3-8E5B937FF66C}">
  <dimension ref="A1:AF997"/>
  <sheetViews>
    <sheetView zoomScale="80" zoomScaleNormal="80" workbookViewId="0"/>
  </sheetViews>
  <sheetFormatPr defaultColWidth="14.44140625" defaultRowHeight="15" customHeight="1"/>
  <cols>
    <col min="1" max="32" width="9" style="4" customWidth="1"/>
    <col min="33" max="16384" width="14.44140625" style="4"/>
  </cols>
  <sheetData>
    <row r="1" spans="1:32" ht="14.2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3"/>
      <c r="AE1" s="3"/>
      <c r="AF1" s="3"/>
    </row>
    <row r="2" spans="1:32" ht="11.25" customHeight="1">
      <c r="A2" s="17" t="s">
        <v>27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2"/>
      <c r="T2" s="3"/>
      <c r="U2" s="3"/>
      <c r="V2" s="3"/>
      <c r="W2" s="2"/>
      <c r="X2" s="2"/>
      <c r="Y2" s="2"/>
      <c r="Z2" s="2"/>
      <c r="AA2" s="2"/>
      <c r="AB2" s="2"/>
      <c r="AC2" s="2"/>
      <c r="AD2" s="2"/>
      <c r="AE2" s="2"/>
      <c r="AF2" s="2"/>
    </row>
    <row r="3" spans="1:32" ht="11.25" customHeight="1">
      <c r="A3" s="6"/>
      <c r="B3" s="26" t="s">
        <v>14</v>
      </c>
      <c r="C3" s="27"/>
      <c r="D3" s="28"/>
      <c r="E3" s="29" t="s">
        <v>8</v>
      </c>
      <c r="F3" s="30"/>
      <c r="G3" s="31"/>
      <c r="H3" s="32" t="s">
        <v>18</v>
      </c>
      <c r="I3" s="33"/>
      <c r="J3" s="34"/>
      <c r="K3" s="35" t="s">
        <v>19</v>
      </c>
      <c r="L3" s="36"/>
      <c r="M3" s="37"/>
      <c r="N3" s="6"/>
      <c r="O3" s="6"/>
      <c r="P3" s="6"/>
      <c r="Q3" s="7" t="s">
        <v>4</v>
      </c>
      <c r="R3" s="8" t="s">
        <v>0</v>
      </c>
      <c r="S3" s="2"/>
      <c r="T3" s="3"/>
      <c r="U3" s="3"/>
      <c r="V3" s="3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ht="11.25" customHeight="1">
      <c r="A4" s="9" t="s">
        <v>5</v>
      </c>
      <c r="B4" s="7" t="s">
        <v>1</v>
      </c>
      <c r="C4" s="7" t="s">
        <v>2</v>
      </c>
      <c r="D4" s="7" t="s">
        <v>3</v>
      </c>
      <c r="E4" s="7" t="s">
        <v>1</v>
      </c>
      <c r="F4" s="7" t="s">
        <v>2</v>
      </c>
      <c r="G4" s="7" t="s">
        <v>3</v>
      </c>
      <c r="H4" s="7" t="s">
        <v>1</v>
      </c>
      <c r="I4" s="7" t="s">
        <v>2</v>
      </c>
      <c r="J4" s="7" t="s">
        <v>3</v>
      </c>
      <c r="K4" s="7" t="s">
        <v>1</v>
      </c>
      <c r="L4" s="7" t="s">
        <v>2</v>
      </c>
      <c r="M4" s="7" t="s">
        <v>3</v>
      </c>
      <c r="N4" s="6"/>
      <c r="O4" s="38" t="s">
        <v>14</v>
      </c>
      <c r="P4" s="39"/>
      <c r="Q4" s="7">
        <f>AVERAGE(D5:D14)</f>
        <v>5.2083333333333329E-2</v>
      </c>
      <c r="R4" s="7">
        <f>STDEV(D5:D14)/SQRT(6)</f>
        <v>3.2200064220471197E-2</v>
      </c>
      <c r="S4" s="2"/>
      <c r="T4" s="3"/>
      <c r="U4" s="3"/>
      <c r="V4" s="3"/>
      <c r="W4" s="2"/>
      <c r="X4" s="2"/>
      <c r="Y4" s="2"/>
      <c r="Z4" s="2"/>
      <c r="AA4" s="2"/>
      <c r="AB4" s="2"/>
      <c r="AC4" s="2"/>
      <c r="AD4" s="2"/>
      <c r="AE4" s="2"/>
      <c r="AF4" s="2"/>
    </row>
    <row r="5" spans="1:32" ht="11.25" customHeight="1">
      <c r="A5" s="7">
        <v>1</v>
      </c>
      <c r="B5" s="7">
        <v>1</v>
      </c>
      <c r="C5" s="7">
        <v>24</v>
      </c>
      <c r="D5" s="7">
        <f t="shared" ref="D5:D8" si="0">B5/C5</f>
        <v>4.1666666666666664E-2</v>
      </c>
      <c r="E5" s="7">
        <v>1</v>
      </c>
      <c r="F5" s="7">
        <v>24</v>
      </c>
      <c r="G5" s="7">
        <f t="shared" ref="G5:G8" si="1">E5/F5</f>
        <v>4.1666666666666664E-2</v>
      </c>
      <c r="H5" s="18">
        <v>3</v>
      </c>
      <c r="I5" s="7">
        <v>24</v>
      </c>
      <c r="J5" s="7">
        <f t="shared" ref="J5:J8" si="2">H5/I5</f>
        <v>0.125</v>
      </c>
      <c r="K5" s="18">
        <v>2</v>
      </c>
      <c r="L5" s="7">
        <v>24</v>
      </c>
      <c r="M5" s="7">
        <f t="shared" ref="M5:M8" si="3">K5/L5</f>
        <v>8.3333333333333329E-2</v>
      </c>
      <c r="N5" s="6"/>
      <c r="O5" s="24" t="s">
        <v>7</v>
      </c>
      <c r="P5" s="25"/>
      <c r="Q5" s="7">
        <f>AVERAGE(G5:G14)</f>
        <v>3.125E-2</v>
      </c>
      <c r="R5" s="7">
        <f>STDEV(D6:D15)/SQRT(6)</f>
        <v>3.9283710065919311E-2</v>
      </c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2" ht="11.25" customHeight="1">
      <c r="A6" s="7">
        <v>2</v>
      </c>
      <c r="B6" s="7">
        <v>4</v>
      </c>
      <c r="C6" s="7">
        <v>24</v>
      </c>
      <c r="D6" s="7">
        <f t="shared" si="0"/>
        <v>0.16666666666666666</v>
      </c>
      <c r="E6" s="7">
        <v>2</v>
      </c>
      <c r="F6" s="7">
        <v>24</v>
      </c>
      <c r="G6" s="7">
        <f t="shared" si="1"/>
        <v>8.3333333333333329E-2</v>
      </c>
      <c r="H6" s="18">
        <v>1</v>
      </c>
      <c r="I6" s="7">
        <v>24</v>
      </c>
      <c r="J6" s="7">
        <f t="shared" si="2"/>
        <v>4.1666666666666664E-2</v>
      </c>
      <c r="K6" s="18">
        <v>1</v>
      </c>
      <c r="L6" s="7">
        <v>24</v>
      </c>
      <c r="M6" s="7">
        <f t="shared" si="3"/>
        <v>4.1666666666666664E-2</v>
      </c>
      <c r="N6" s="6"/>
      <c r="O6" s="40" t="s">
        <v>18</v>
      </c>
      <c r="P6" s="40"/>
      <c r="Q6" s="7">
        <f>AVERAGE(J5:J14)</f>
        <v>6.25E-2</v>
      </c>
      <c r="R6" s="7">
        <f>STDEV(J5:J14)/SQRT(6)</f>
        <v>2.1960261528947082E-2</v>
      </c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</row>
    <row r="7" spans="1:32" ht="11.25" customHeight="1">
      <c r="A7" s="7">
        <v>3</v>
      </c>
      <c r="B7" s="7">
        <v>0</v>
      </c>
      <c r="C7" s="7">
        <v>24</v>
      </c>
      <c r="D7" s="7">
        <f t="shared" si="0"/>
        <v>0</v>
      </c>
      <c r="E7" s="7">
        <v>0</v>
      </c>
      <c r="F7" s="7">
        <v>24</v>
      </c>
      <c r="G7" s="7">
        <f t="shared" si="1"/>
        <v>0</v>
      </c>
      <c r="H7" s="18">
        <v>2</v>
      </c>
      <c r="I7" s="7">
        <v>24</v>
      </c>
      <c r="J7" s="7">
        <f t="shared" si="2"/>
        <v>8.3333333333333329E-2</v>
      </c>
      <c r="K7" s="18">
        <v>0</v>
      </c>
      <c r="L7" s="7">
        <v>24</v>
      </c>
      <c r="M7" s="7">
        <f t="shared" si="3"/>
        <v>0</v>
      </c>
      <c r="N7" s="6"/>
      <c r="O7" s="41" t="s">
        <v>19</v>
      </c>
      <c r="P7" s="41"/>
      <c r="Q7" s="7">
        <f>AVERAGE(M5:M14)</f>
        <v>4.1666666666666664E-2</v>
      </c>
      <c r="R7" s="7">
        <f>STDEV(M5:M14)/SQRT(6)</f>
        <v>1.3888888888888893E-2</v>
      </c>
      <c r="S7" s="2"/>
      <c r="T7" s="2"/>
      <c r="U7" s="5" t="s">
        <v>4</v>
      </c>
      <c r="V7" s="2"/>
      <c r="W7" s="2"/>
      <c r="X7" s="2"/>
      <c r="Y7" s="2"/>
      <c r="Z7" s="1" t="s">
        <v>0</v>
      </c>
      <c r="AA7" s="2"/>
      <c r="AB7" s="2"/>
      <c r="AC7" s="2"/>
      <c r="AD7" s="2"/>
      <c r="AE7" s="2"/>
      <c r="AF7" s="2"/>
    </row>
    <row r="8" spans="1:32" ht="11.25" customHeight="1">
      <c r="A8" s="7">
        <v>4</v>
      </c>
      <c r="B8" s="7">
        <v>0</v>
      </c>
      <c r="C8" s="7">
        <v>24</v>
      </c>
      <c r="D8" s="7">
        <f t="shared" si="0"/>
        <v>0</v>
      </c>
      <c r="E8" s="7">
        <v>0</v>
      </c>
      <c r="F8" s="7">
        <v>24</v>
      </c>
      <c r="G8" s="7">
        <f t="shared" si="1"/>
        <v>0</v>
      </c>
      <c r="H8" s="18">
        <v>0</v>
      </c>
      <c r="I8" s="7">
        <v>24</v>
      </c>
      <c r="J8" s="7">
        <f t="shared" si="2"/>
        <v>0</v>
      </c>
      <c r="K8" s="18">
        <v>1</v>
      </c>
      <c r="L8" s="7">
        <v>24</v>
      </c>
      <c r="M8" s="7">
        <f t="shared" si="3"/>
        <v>4.1666666666666664E-2</v>
      </c>
      <c r="N8" s="6"/>
      <c r="O8" s="6"/>
      <c r="P8" s="6"/>
      <c r="Q8" s="6"/>
      <c r="R8" s="6"/>
      <c r="S8" s="2"/>
      <c r="T8" s="1"/>
      <c r="U8" s="1">
        <v>10</v>
      </c>
      <c r="V8" s="1">
        <v>50</v>
      </c>
      <c r="W8" s="1">
        <v>100</v>
      </c>
      <c r="X8" s="16">
        <v>500</v>
      </c>
      <c r="Y8" s="1"/>
      <c r="Z8" s="1">
        <v>10</v>
      </c>
      <c r="AA8" s="1">
        <v>50</v>
      </c>
      <c r="AB8" s="1">
        <v>100</v>
      </c>
      <c r="AC8" s="16">
        <v>500</v>
      </c>
      <c r="AD8" s="2"/>
      <c r="AE8" s="2"/>
      <c r="AF8" s="2"/>
    </row>
    <row r="9" spans="1:32" ht="11.25" customHeight="1">
      <c r="A9" s="7">
        <v>5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6"/>
      <c r="O9" s="6"/>
      <c r="P9" s="6"/>
      <c r="Q9" s="6"/>
      <c r="R9" s="6"/>
      <c r="S9" s="2"/>
      <c r="T9" s="21" t="s">
        <v>20</v>
      </c>
      <c r="U9" s="2">
        <f t="shared" ref="U9:U10" si="4">Q4</f>
        <v>5.2083333333333329E-2</v>
      </c>
      <c r="V9" s="2">
        <f t="shared" ref="V9:V12" si="5">Q18</f>
        <v>0.19791666666666666</v>
      </c>
      <c r="W9" s="2">
        <f t="shared" ref="W9:W12" si="6">Q32</f>
        <v>0.39583333333333331</v>
      </c>
      <c r="X9" s="12">
        <f t="shared" ref="X9:X12" si="7">Q46</f>
        <v>0</v>
      </c>
      <c r="Y9" s="2"/>
      <c r="Z9" s="2">
        <f t="shared" ref="Z9:Z12" si="8">R4</f>
        <v>3.2200064220471197E-2</v>
      </c>
      <c r="AA9" s="2">
        <f t="shared" ref="AA9:AA12" si="9">R18</f>
        <v>5.4459677574160176E-2</v>
      </c>
      <c r="AB9" s="2">
        <f t="shared" ref="AB9:AB12" si="10">R32</f>
        <v>5.8101390731533059E-2</v>
      </c>
      <c r="AC9" s="12">
        <f t="shared" ref="AC9" si="11">R46</f>
        <v>0</v>
      </c>
      <c r="AD9" s="2"/>
      <c r="AE9" s="2"/>
      <c r="AF9" s="2"/>
    </row>
    <row r="10" spans="1:32" ht="11.25" customHeight="1">
      <c r="A10" s="7">
        <v>6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6"/>
      <c r="O10" s="6"/>
      <c r="P10" s="6"/>
      <c r="Q10" s="6"/>
      <c r="R10" s="6"/>
      <c r="S10" s="2"/>
      <c r="T10" s="22" t="s">
        <v>21</v>
      </c>
      <c r="U10" s="2">
        <f t="shared" si="4"/>
        <v>3.125E-2</v>
      </c>
      <c r="V10" s="2">
        <f t="shared" si="5"/>
        <v>0.16666666666666666</v>
      </c>
      <c r="W10" s="2">
        <f t="shared" si="6"/>
        <v>0.375</v>
      </c>
      <c r="X10" s="12">
        <f t="shared" si="7"/>
        <v>0</v>
      </c>
      <c r="Y10" s="2"/>
      <c r="Z10" s="2">
        <f t="shared" si="8"/>
        <v>3.9283710065919311E-2</v>
      </c>
      <c r="AA10" s="2">
        <f t="shared" si="9"/>
        <v>5.468061023619316E-2</v>
      </c>
      <c r="AB10" s="2">
        <f t="shared" si="10"/>
        <v>3.402069087198839E-2</v>
      </c>
      <c r="AC10" s="12">
        <f>R47</f>
        <v>0</v>
      </c>
      <c r="AD10" s="2"/>
      <c r="AE10" s="2"/>
      <c r="AF10" s="2"/>
    </row>
    <row r="11" spans="1:32" ht="11.25" customHeight="1">
      <c r="A11" s="7">
        <v>7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6"/>
      <c r="O11" s="6"/>
      <c r="P11" s="6"/>
      <c r="Q11" s="6"/>
      <c r="R11" s="6"/>
      <c r="S11" s="2"/>
      <c r="T11" s="20" t="s">
        <v>22</v>
      </c>
      <c r="U11" s="2">
        <f>Q6</f>
        <v>6.25E-2</v>
      </c>
      <c r="V11" s="2">
        <f t="shared" si="5"/>
        <v>0.27083333333333331</v>
      </c>
      <c r="W11" s="2">
        <f t="shared" si="6"/>
        <v>0.41666666666666663</v>
      </c>
      <c r="X11" s="12">
        <f t="shared" si="7"/>
        <v>0</v>
      </c>
      <c r="Y11" s="2"/>
      <c r="Z11" s="2">
        <f t="shared" si="8"/>
        <v>2.1960261528947082E-2</v>
      </c>
      <c r="AA11" s="2">
        <f t="shared" si="9"/>
        <v>4.0492721491981305E-2</v>
      </c>
      <c r="AB11" s="2">
        <f t="shared" si="10"/>
        <v>4.1666666666666741E-2</v>
      </c>
      <c r="AC11" s="12">
        <f t="shared" ref="AC11:AC12" si="12">R48</f>
        <v>0</v>
      </c>
      <c r="AD11" s="2"/>
      <c r="AE11" s="2"/>
      <c r="AF11" s="2"/>
    </row>
    <row r="12" spans="1:32" ht="11.25" customHeight="1">
      <c r="A12" s="7">
        <v>8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6"/>
      <c r="O12" s="6"/>
      <c r="P12" s="6"/>
      <c r="Q12" s="6"/>
      <c r="R12" s="6"/>
      <c r="S12" s="2"/>
      <c r="T12" s="23" t="s">
        <v>23</v>
      </c>
      <c r="U12" s="2">
        <f>Q7</f>
        <v>4.1666666666666664E-2</v>
      </c>
      <c r="V12" s="2">
        <f t="shared" si="5"/>
        <v>0.26041666666666663</v>
      </c>
      <c r="W12" s="2">
        <f t="shared" si="6"/>
        <v>0.42708333333333337</v>
      </c>
      <c r="X12" s="12">
        <f t="shared" si="7"/>
        <v>0</v>
      </c>
      <c r="Y12" s="2"/>
      <c r="Z12" s="2">
        <f t="shared" si="8"/>
        <v>1.3888888888888893E-2</v>
      </c>
      <c r="AA12" s="2">
        <f t="shared" si="9"/>
        <v>4.4736453912240071E-2</v>
      </c>
      <c r="AB12" s="2">
        <f t="shared" si="10"/>
        <v>4.4736453912240036E-2</v>
      </c>
      <c r="AC12" s="12">
        <f t="shared" si="12"/>
        <v>0</v>
      </c>
      <c r="AD12" s="2"/>
      <c r="AE12" s="2"/>
      <c r="AF12" s="2"/>
    </row>
    <row r="13" spans="1:32" ht="11.25" customHeight="1">
      <c r="A13" s="7">
        <v>9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6"/>
      <c r="O13" s="6"/>
      <c r="P13" s="6"/>
      <c r="Q13" s="6"/>
      <c r="R13" s="6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</row>
    <row r="14" spans="1:32" ht="11.25" customHeight="1">
      <c r="A14" s="7">
        <v>10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6"/>
      <c r="O14" s="6"/>
      <c r="P14" s="6"/>
      <c r="Q14" s="6"/>
      <c r="R14" s="6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</row>
    <row r="15" spans="1:32" ht="11.2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</row>
    <row r="16" spans="1:32" ht="11.25" customHeight="1">
      <c r="A16" s="5" t="s">
        <v>13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1:32" ht="11.25" customHeight="1">
      <c r="A17" s="6"/>
      <c r="B17" s="26" t="s">
        <v>15</v>
      </c>
      <c r="C17" s="27"/>
      <c r="D17" s="28"/>
      <c r="E17" s="29" t="s">
        <v>9</v>
      </c>
      <c r="F17" s="30"/>
      <c r="G17" s="31"/>
      <c r="H17" s="42" t="s">
        <v>15</v>
      </c>
      <c r="I17" s="33"/>
      <c r="J17" s="34"/>
      <c r="K17" s="43" t="s">
        <v>9</v>
      </c>
      <c r="L17" s="36"/>
      <c r="M17" s="37"/>
      <c r="N17" s="6"/>
      <c r="O17" s="6"/>
      <c r="P17" s="6"/>
      <c r="Q17" s="7" t="s">
        <v>4</v>
      </c>
      <c r="R17" s="8" t="s">
        <v>0</v>
      </c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spans="1:32" ht="11.25" customHeight="1">
      <c r="A18" s="9" t="s">
        <v>5</v>
      </c>
      <c r="B18" s="7" t="s">
        <v>1</v>
      </c>
      <c r="C18" s="7" t="s">
        <v>2</v>
      </c>
      <c r="D18" s="7" t="s">
        <v>3</v>
      </c>
      <c r="E18" s="7" t="s">
        <v>1</v>
      </c>
      <c r="F18" s="7" t="s">
        <v>2</v>
      </c>
      <c r="G18" s="7" t="s">
        <v>3</v>
      </c>
      <c r="H18" s="7" t="s">
        <v>1</v>
      </c>
      <c r="I18" s="7" t="s">
        <v>2</v>
      </c>
      <c r="J18" s="7" t="s">
        <v>3</v>
      </c>
      <c r="K18" s="7" t="s">
        <v>1</v>
      </c>
      <c r="L18" s="7" t="s">
        <v>2</v>
      </c>
      <c r="M18" s="7" t="s">
        <v>3</v>
      </c>
      <c r="N18" s="6"/>
      <c r="O18" s="38" t="s">
        <v>14</v>
      </c>
      <c r="P18" s="39"/>
      <c r="Q18" s="7">
        <f>AVERAGE(D19:D28)</f>
        <v>0.19791666666666666</v>
      </c>
      <c r="R18" s="7">
        <f>STDEV(D19:D28)/SQRT(6)</f>
        <v>5.4459677574160176E-2</v>
      </c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spans="1:32" ht="11.25" customHeight="1">
      <c r="A19" s="7">
        <v>1</v>
      </c>
      <c r="B19" s="7">
        <v>2</v>
      </c>
      <c r="C19" s="7">
        <v>24</v>
      </c>
      <c r="D19" s="7">
        <f t="shared" ref="D19:D22" si="13">B19/C19</f>
        <v>8.3333333333333329E-2</v>
      </c>
      <c r="E19" s="7">
        <v>2</v>
      </c>
      <c r="F19" s="7">
        <v>24</v>
      </c>
      <c r="G19" s="7">
        <f t="shared" ref="G19:G22" si="14">E19/F19</f>
        <v>8.3333333333333329E-2</v>
      </c>
      <c r="H19" s="18">
        <v>8</v>
      </c>
      <c r="I19" s="7">
        <v>24</v>
      </c>
      <c r="J19" s="7">
        <f t="shared" ref="J19:J22" si="15">H19/I19</f>
        <v>0.33333333333333331</v>
      </c>
      <c r="K19" s="18">
        <v>4</v>
      </c>
      <c r="L19" s="7">
        <v>24</v>
      </c>
      <c r="M19" s="7">
        <f t="shared" ref="M19:M22" si="16">K19/L19</f>
        <v>0.16666666666666666</v>
      </c>
      <c r="N19" s="6"/>
      <c r="O19" s="44" t="s">
        <v>7</v>
      </c>
      <c r="P19" s="25"/>
      <c r="Q19" s="7">
        <f>AVERAGE(G19:G28)</f>
        <v>0.16666666666666666</v>
      </c>
      <c r="R19" s="7">
        <f>STDEV(D20:D29)/SQRT(6)</f>
        <v>5.468061023619316E-2</v>
      </c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spans="1:32" ht="11.25" customHeight="1">
      <c r="A20" s="7">
        <v>2</v>
      </c>
      <c r="B20" s="7">
        <v>8</v>
      </c>
      <c r="C20" s="7">
        <v>24</v>
      </c>
      <c r="D20" s="7">
        <f t="shared" si="13"/>
        <v>0.33333333333333331</v>
      </c>
      <c r="E20" s="7">
        <v>7</v>
      </c>
      <c r="F20" s="7">
        <v>24</v>
      </c>
      <c r="G20" s="7">
        <f t="shared" si="14"/>
        <v>0.29166666666666669</v>
      </c>
      <c r="H20" s="18">
        <v>5</v>
      </c>
      <c r="I20" s="7">
        <v>24</v>
      </c>
      <c r="J20" s="7">
        <f t="shared" si="15"/>
        <v>0.20833333333333334</v>
      </c>
      <c r="K20" s="18">
        <v>6</v>
      </c>
      <c r="L20" s="7">
        <v>24</v>
      </c>
      <c r="M20" s="7">
        <f t="shared" si="16"/>
        <v>0.25</v>
      </c>
      <c r="N20" s="6"/>
      <c r="O20" s="40" t="s">
        <v>18</v>
      </c>
      <c r="P20" s="40"/>
      <c r="Q20" s="7">
        <f>AVERAGE(J19:J28)</f>
        <v>0.27083333333333331</v>
      </c>
      <c r="R20" s="7">
        <f>STDEV(J19:J28)/SQRT(6)</f>
        <v>4.0492721491981305E-2</v>
      </c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spans="1:32" ht="11.25" customHeight="1">
      <c r="A21" s="7">
        <v>3</v>
      </c>
      <c r="B21" s="7">
        <v>2</v>
      </c>
      <c r="C21" s="7">
        <v>24</v>
      </c>
      <c r="D21" s="7">
        <f t="shared" si="13"/>
        <v>8.3333333333333329E-2</v>
      </c>
      <c r="E21" s="7">
        <v>2</v>
      </c>
      <c r="F21" s="7">
        <v>24</v>
      </c>
      <c r="G21" s="7">
        <f t="shared" si="14"/>
        <v>8.3333333333333329E-2</v>
      </c>
      <c r="H21" s="18">
        <v>9</v>
      </c>
      <c r="I21" s="7">
        <v>24</v>
      </c>
      <c r="J21" s="7">
        <f t="shared" si="15"/>
        <v>0.375</v>
      </c>
      <c r="K21" s="18">
        <v>10</v>
      </c>
      <c r="L21" s="7">
        <v>24</v>
      </c>
      <c r="M21" s="7">
        <f t="shared" si="16"/>
        <v>0.41666666666666669</v>
      </c>
      <c r="N21" s="6"/>
      <c r="O21" s="45" t="s">
        <v>19</v>
      </c>
      <c r="P21" s="45"/>
      <c r="Q21" s="7">
        <f>AVERAGE(M19:M28)</f>
        <v>0.26041666666666663</v>
      </c>
      <c r="R21" s="7">
        <f>STDEV(M19:M28)/SQRT(6)</f>
        <v>4.4736453912240071E-2</v>
      </c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spans="1:32" ht="11.25" customHeight="1">
      <c r="A22" s="7">
        <v>4</v>
      </c>
      <c r="B22" s="7">
        <v>7</v>
      </c>
      <c r="C22" s="7">
        <v>24</v>
      </c>
      <c r="D22" s="7">
        <f t="shared" si="13"/>
        <v>0.29166666666666669</v>
      </c>
      <c r="E22" s="7">
        <v>5</v>
      </c>
      <c r="F22" s="7">
        <v>24</v>
      </c>
      <c r="G22" s="7">
        <f t="shared" si="14"/>
        <v>0.20833333333333334</v>
      </c>
      <c r="H22" s="18">
        <v>4</v>
      </c>
      <c r="I22" s="7">
        <v>24</v>
      </c>
      <c r="J22" s="7">
        <f t="shared" si="15"/>
        <v>0.16666666666666666</v>
      </c>
      <c r="K22" s="18">
        <v>5</v>
      </c>
      <c r="L22" s="7">
        <v>24</v>
      </c>
      <c r="M22" s="7">
        <f t="shared" si="16"/>
        <v>0.20833333333333334</v>
      </c>
      <c r="N22" s="6"/>
      <c r="O22" s="6"/>
      <c r="P22" s="6"/>
      <c r="Q22" s="6"/>
      <c r="R22" s="6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spans="1:32" ht="11.25" customHeight="1">
      <c r="A23" s="7">
        <v>5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6"/>
      <c r="O23" s="6"/>
      <c r="P23" s="6"/>
      <c r="Q23" s="6"/>
      <c r="R23" s="6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spans="1:32" ht="11.25" customHeight="1">
      <c r="A24" s="7">
        <v>6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6"/>
      <c r="O24" s="6"/>
      <c r="P24" s="6"/>
      <c r="Q24" s="6"/>
      <c r="R24" s="6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spans="1:32" ht="11.25" customHeight="1">
      <c r="A25" s="7">
        <v>7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6"/>
      <c r="O25" s="6"/>
      <c r="P25" s="6"/>
      <c r="Q25" s="6"/>
      <c r="R25" s="6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 spans="1:32" ht="11.25" customHeight="1">
      <c r="A26" s="7">
        <v>8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6"/>
      <c r="O26" s="6"/>
      <c r="P26" s="6"/>
      <c r="Q26" s="6"/>
      <c r="R26" s="6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spans="1:32" ht="11.25" customHeight="1">
      <c r="A27" s="7">
        <v>9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6"/>
      <c r="O27" s="6"/>
      <c r="P27" s="6"/>
      <c r="Q27" s="6"/>
      <c r="R27" s="6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spans="1:32" ht="11.25" customHeight="1">
      <c r="A28" s="7">
        <v>10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6"/>
      <c r="O28" s="6"/>
      <c r="P28" s="6"/>
      <c r="Q28" s="6"/>
      <c r="R28" s="6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spans="1:32" ht="11.2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spans="1:32" ht="11.25" customHeight="1">
      <c r="A30" s="5" t="s">
        <v>13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</row>
    <row r="31" spans="1:32" ht="11.25" customHeight="1">
      <c r="A31" s="6"/>
      <c r="B31" s="26" t="s">
        <v>16</v>
      </c>
      <c r="C31" s="27"/>
      <c r="D31" s="28"/>
      <c r="E31" s="29" t="s">
        <v>10</v>
      </c>
      <c r="F31" s="30"/>
      <c r="G31" s="31"/>
      <c r="H31" s="42" t="s">
        <v>16</v>
      </c>
      <c r="I31" s="33"/>
      <c r="J31" s="34"/>
      <c r="K31" s="43" t="s">
        <v>10</v>
      </c>
      <c r="L31" s="36"/>
      <c r="M31" s="37"/>
      <c r="N31" s="6"/>
      <c r="O31" s="6"/>
      <c r="P31" s="6"/>
      <c r="Q31" s="7" t="s">
        <v>4</v>
      </c>
      <c r="R31" s="8" t="s">
        <v>0</v>
      </c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2" ht="11.25" customHeight="1">
      <c r="A32" s="9" t="s">
        <v>5</v>
      </c>
      <c r="B32" s="7" t="s">
        <v>1</v>
      </c>
      <c r="C32" s="7" t="s">
        <v>2</v>
      </c>
      <c r="D32" s="7" t="s">
        <v>3</v>
      </c>
      <c r="E32" s="7" t="s">
        <v>1</v>
      </c>
      <c r="F32" s="7" t="s">
        <v>2</v>
      </c>
      <c r="G32" s="7" t="s">
        <v>3</v>
      </c>
      <c r="H32" s="7" t="s">
        <v>1</v>
      </c>
      <c r="I32" s="7" t="s">
        <v>2</v>
      </c>
      <c r="J32" s="7" t="s">
        <v>3</v>
      </c>
      <c r="K32" s="7" t="s">
        <v>1</v>
      </c>
      <c r="L32" s="7" t="s">
        <v>2</v>
      </c>
      <c r="M32" s="7" t="s">
        <v>3</v>
      </c>
      <c r="N32" s="6"/>
      <c r="O32" s="46" t="s">
        <v>14</v>
      </c>
      <c r="P32" s="39"/>
      <c r="Q32" s="7">
        <f>AVERAGE(D33:D42)</f>
        <v>0.39583333333333331</v>
      </c>
      <c r="R32" s="7">
        <f>STDEV(D33:D42)/SQRT(6)</f>
        <v>5.8101390731533059E-2</v>
      </c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ht="11.25" customHeight="1">
      <c r="A33" s="7">
        <v>1</v>
      </c>
      <c r="B33" s="49">
        <v>5</v>
      </c>
      <c r="C33" s="7">
        <v>24</v>
      </c>
      <c r="D33" s="7">
        <f t="shared" ref="D33:D36" si="17">B33/C33</f>
        <v>0.20833333333333334</v>
      </c>
      <c r="E33" s="49">
        <v>5</v>
      </c>
      <c r="F33" s="7">
        <v>24</v>
      </c>
      <c r="G33" s="7">
        <f t="shared" ref="G33:G36" si="18">E33/F33</f>
        <v>0.20833333333333334</v>
      </c>
      <c r="H33" s="19">
        <v>13</v>
      </c>
      <c r="I33" s="7">
        <v>24</v>
      </c>
      <c r="J33" s="7">
        <f t="shared" ref="J33:J36" si="19">H33/I33</f>
        <v>0.54166666666666663</v>
      </c>
      <c r="K33" s="19">
        <v>14</v>
      </c>
      <c r="L33" s="7">
        <v>24</v>
      </c>
      <c r="M33" s="7">
        <f t="shared" ref="M33:M36" si="20">K33/L33</f>
        <v>0.58333333333333337</v>
      </c>
      <c r="N33" s="6"/>
      <c r="O33" s="44" t="s">
        <v>7</v>
      </c>
      <c r="P33" s="25"/>
      <c r="Q33" s="7">
        <f>AVERAGE(G33:G42)</f>
        <v>0.375</v>
      </c>
      <c r="R33" s="7">
        <f>STDEV(D34:D43)/SQRT(6)</f>
        <v>3.402069087198839E-2</v>
      </c>
      <c r="S33" s="2"/>
      <c r="T33" s="2"/>
      <c r="U33" s="2" t="s">
        <v>17</v>
      </c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ht="11.25" customHeight="1">
      <c r="A34" s="7">
        <v>2</v>
      </c>
      <c r="B34" s="49">
        <v>13</v>
      </c>
      <c r="C34" s="7">
        <v>24</v>
      </c>
      <c r="D34" s="7">
        <f t="shared" si="17"/>
        <v>0.54166666666666663</v>
      </c>
      <c r="E34" s="49">
        <v>14</v>
      </c>
      <c r="F34" s="7">
        <v>24</v>
      </c>
      <c r="G34" s="7">
        <f t="shared" si="18"/>
        <v>0.58333333333333337</v>
      </c>
      <c r="H34" s="19">
        <v>8</v>
      </c>
      <c r="I34" s="7">
        <v>24</v>
      </c>
      <c r="J34" s="7">
        <f t="shared" si="19"/>
        <v>0.33333333333333331</v>
      </c>
      <c r="K34" s="19">
        <v>8</v>
      </c>
      <c r="L34" s="7">
        <v>24</v>
      </c>
      <c r="M34" s="7">
        <f t="shared" si="20"/>
        <v>0.33333333333333331</v>
      </c>
      <c r="N34" s="6"/>
      <c r="O34" s="40" t="s">
        <v>18</v>
      </c>
      <c r="P34" s="40"/>
      <c r="Q34" s="7">
        <f>AVERAGE(J33:J42)</f>
        <v>0.41666666666666663</v>
      </c>
      <c r="R34" s="7">
        <f>STDEV(J33:J42)/SQRT(6)</f>
        <v>4.1666666666666741E-2</v>
      </c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ht="11.25" customHeight="1">
      <c r="A35" s="7">
        <v>3</v>
      </c>
      <c r="B35" s="49">
        <v>9</v>
      </c>
      <c r="C35" s="7">
        <v>24</v>
      </c>
      <c r="D35" s="7">
        <f t="shared" si="17"/>
        <v>0.375</v>
      </c>
      <c r="E35" s="49">
        <v>6</v>
      </c>
      <c r="F35" s="7">
        <v>24</v>
      </c>
      <c r="G35" s="7">
        <f t="shared" si="18"/>
        <v>0.25</v>
      </c>
      <c r="H35" s="19">
        <v>11</v>
      </c>
      <c r="I35" s="7">
        <v>24</v>
      </c>
      <c r="J35" s="7">
        <f t="shared" si="19"/>
        <v>0.45833333333333331</v>
      </c>
      <c r="K35" s="19">
        <v>10</v>
      </c>
      <c r="L35" s="7">
        <v>24</v>
      </c>
      <c r="M35" s="7">
        <f t="shared" si="20"/>
        <v>0.41666666666666669</v>
      </c>
      <c r="N35" s="6"/>
      <c r="O35" s="45" t="s">
        <v>19</v>
      </c>
      <c r="P35" s="45"/>
      <c r="Q35" s="7">
        <f>AVERAGE(M33:M42)</f>
        <v>0.42708333333333337</v>
      </c>
      <c r="R35" s="7">
        <f>STDEV(M33:M42)/SQRT(6)</f>
        <v>4.4736453912240036E-2</v>
      </c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1.25" customHeight="1">
      <c r="A36" s="7">
        <v>4</v>
      </c>
      <c r="B36" s="49">
        <v>11</v>
      </c>
      <c r="C36" s="7">
        <v>24</v>
      </c>
      <c r="D36" s="7">
        <f t="shared" si="17"/>
        <v>0.45833333333333331</v>
      </c>
      <c r="E36" s="49">
        <v>11</v>
      </c>
      <c r="F36" s="7">
        <v>24</v>
      </c>
      <c r="G36" s="7">
        <f t="shared" si="18"/>
        <v>0.45833333333333331</v>
      </c>
      <c r="H36" s="19">
        <v>8</v>
      </c>
      <c r="I36" s="7">
        <v>24</v>
      </c>
      <c r="J36" s="7">
        <f t="shared" si="19"/>
        <v>0.33333333333333331</v>
      </c>
      <c r="K36" s="19">
        <v>9</v>
      </c>
      <c r="L36" s="7">
        <v>24</v>
      </c>
      <c r="M36" s="7">
        <f t="shared" si="20"/>
        <v>0.375</v>
      </c>
      <c r="N36" s="6"/>
      <c r="O36" s="6"/>
      <c r="P36" s="6"/>
      <c r="Q36" s="6"/>
      <c r="R36" s="6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ht="11.25" customHeight="1">
      <c r="A37" s="7">
        <v>5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6"/>
      <c r="O37" s="6"/>
      <c r="P37" s="6"/>
      <c r="Q37" s="6"/>
      <c r="R37" s="6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</row>
    <row r="38" spans="1:32" ht="11.25" customHeight="1">
      <c r="A38" s="7">
        <v>6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6"/>
      <c r="O38" s="6"/>
      <c r="P38" s="6"/>
      <c r="Q38" s="6"/>
      <c r="R38" s="6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</row>
    <row r="39" spans="1:32" ht="11.25" customHeight="1">
      <c r="A39" s="7">
        <v>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6"/>
      <c r="O39" s="6"/>
      <c r="P39" s="6"/>
      <c r="Q39" s="6"/>
      <c r="R39" s="6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</row>
    <row r="40" spans="1:32" ht="11.25" customHeight="1">
      <c r="A40" s="7">
        <v>8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6"/>
      <c r="O40" s="6"/>
      <c r="P40" s="6"/>
      <c r="Q40" s="6"/>
      <c r="R40" s="6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</row>
    <row r="41" spans="1:32" ht="11.25" customHeight="1">
      <c r="A41" s="7">
        <v>9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6"/>
      <c r="O41" s="6"/>
      <c r="P41" s="6"/>
      <c r="Q41" s="6"/>
      <c r="R41" s="6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</row>
    <row r="42" spans="1:32" ht="11.25" customHeight="1">
      <c r="A42" s="7">
        <v>10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6"/>
      <c r="O42" s="6"/>
      <c r="P42" s="6"/>
      <c r="Q42" s="6"/>
      <c r="R42" s="6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 spans="1:32" ht="11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ht="11.25" customHeight="1">
      <c r="A44" s="10" t="s">
        <v>13</v>
      </c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2"/>
      <c r="O44" s="12"/>
      <c r="P44" s="12"/>
      <c r="Q44" s="12"/>
      <c r="R44" s="1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ht="11.25" customHeight="1">
      <c r="A45" s="11"/>
      <c r="B45" s="43" t="s">
        <v>6</v>
      </c>
      <c r="C45" s="36"/>
      <c r="D45" s="37"/>
      <c r="E45" s="43" t="s">
        <v>11</v>
      </c>
      <c r="F45" s="36"/>
      <c r="G45" s="37"/>
      <c r="H45" s="43" t="s">
        <v>6</v>
      </c>
      <c r="I45" s="36"/>
      <c r="J45" s="37"/>
      <c r="K45" s="43" t="s">
        <v>11</v>
      </c>
      <c r="L45" s="36"/>
      <c r="M45" s="37"/>
      <c r="N45" s="12"/>
      <c r="O45" s="11"/>
      <c r="P45" s="11"/>
      <c r="Q45" s="13" t="s">
        <v>4</v>
      </c>
      <c r="R45" s="14" t="s">
        <v>0</v>
      </c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ht="11.25" customHeight="1">
      <c r="A46" s="15" t="s">
        <v>5</v>
      </c>
      <c r="B46" s="13" t="s">
        <v>1</v>
      </c>
      <c r="C46" s="13" t="s">
        <v>2</v>
      </c>
      <c r="D46" s="13" t="s">
        <v>3</v>
      </c>
      <c r="E46" s="13" t="s">
        <v>1</v>
      </c>
      <c r="F46" s="13" t="s">
        <v>2</v>
      </c>
      <c r="G46" s="13" t="s">
        <v>3</v>
      </c>
      <c r="H46" s="13" t="s">
        <v>1</v>
      </c>
      <c r="I46" s="13" t="s">
        <v>2</v>
      </c>
      <c r="J46" s="13" t="s">
        <v>3</v>
      </c>
      <c r="K46" s="13" t="s">
        <v>1</v>
      </c>
      <c r="L46" s="13" t="s">
        <v>2</v>
      </c>
      <c r="M46" s="13" t="s">
        <v>3</v>
      </c>
      <c r="N46" s="12"/>
      <c r="O46" s="43" t="s">
        <v>6</v>
      </c>
      <c r="P46" s="37"/>
      <c r="Q46" s="13">
        <f>AVERAGE(D47:D56)</f>
        <v>0</v>
      </c>
      <c r="R46" s="13">
        <f>STDEV(D47:D56)/SQRT(6)</f>
        <v>0</v>
      </c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ht="11.25" customHeight="1">
      <c r="A47" s="13">
        <v>1</v>
      </c>
      <c r="B47" s="13"/>
      <c r="C47" s="13">
        <v>24</v>
      </c>
      <c r="D47" s="13">
        <f t="shared" ref="D47:D52" si="21">B47/C47</f>
        <v>0</v>
      </c>
      <c r="E47" s="13"/>
      <c r="F47" s="13">
        <v>24</v>
      </c>
      <c r="G47" s="13">
        <f t="shared" ref="G47:G52" si="22">E47/F47</f>
        <v>0</v>
      </c>
      <c r="H47" s="13"/>
      <c r="I47" s="13">
        <v>24</v>
      </c>
      <c r="J47" s="13">
        <f t="shared" ref="J47:J52" si="23">H47/I47</f>
        <v>0</v>
      </c>
      <c r="K47" s="13"/>
      <c r="L47" s="13">
        <v>24</v>
      </c>
      <c r="M47" s="13">
        <f t="shared" ref="M47:M52" si="24">K47/L47</f>
        <v>0</v>
      </c>
      <c r="N47" s="12"/>
      <c r="O47" s="43" t="s">
        <v>12</v>
      </c>
      <c r="P47" s="37"/>
      <c r="Q47" s="13">
        <f>AVERAGE(G47:G56)</f>
        <v>0</v>
      </c>
      <c r="R47" s="13">
        <f>STDEV(D48:D57)/SQRT(6)</f>
        <v>0</v>
      </c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ht="11.25" customHeight="1">
      <c r="A48" s="13">
        <v>2</v>
      </c>
      <c r="B48" s="13"/>
      <c r="C48" s="13">
        <v>24</v>
      </c>
      <c r="D48" s="13">
        <f t="shared" si="21"/>
        <v>0</v>
      </c>
      <c r="E48" s="13"/>
      <c r="F48" s="13">
        <v>24</v>
      </c>
      <c r="G48" s="13">
        <f t="shared" si="22"/>
        <v>0</v>
      </c>
      <c r="H48" s="13"/>
      <c r="I48" s="13">
        <v>24</v>
      </c>
      <c r="J48" s="13">
        <f t="shared" si="23"/>
        <v>0</v>
      </c>
      <c r="K48" s="13"/>
      <c r="L48" s="13">
        <v>24</v>
      </c>
      <c r="M48" s="13">
        <f t="shared" si="24"/>
        <v>0</v>
      </c>
      <c r="N48" s="12"/>
      <c r="O48" s="12"/>
      <c r="P48" s="12"/>
      <c r="Q48" s="13">
        <f>AVERAGE(J47:J56)</f>
        <v>0</v>
      </c>
      <c r="R48" s="13">
        <f>STDEV(J47:J56)/SQRT(6)</f>
        <v>0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ht="11.25" customHeight="1">
      <c r="A49" s="13">
        <v>3</v>
      </c>
      <c r="B49" s="13"/>
      <c r="C49" s="13">
        <v>24</v>
      </c>
      <c r="D49" s="13">
        <f t="shared" si="21"/>
        <v>0</v>
      </c>
      <c r="E49" s="13"/>
      <c r="F49" s="13">
        <v>24</v>
      </c>
      <c r="G49" s="13">
        <f t="shared" si="22"/>
        <v>0</v>
      </c>
      <c r="H49" s="13"/>
      <c r="I49" s="13">
        <v>24</v>
      </c>
      <c r="J49" s="13">
        <f t="shared" si="23"/>
        <v>0</v>
      </c>
      <c r="K49" s="13"/>
      <c r="L49" s="13">
        <v>24</v>
      </c>
      <c r="M49" s="13">
        <f t="shared" si="24"/>
        <v>0</v>
      </c>
      <c r="N49" s="12"/>
      <c r="O49" s="11"/>
      <c r="P49" s="12"/>
      <c r="Q49" s="13">
        <f>AVERAGE(M47:M56)</f>
        <v>0</v>
      </c>
      <c r="R49" s="13">
        <f>STDEV(M47:M56)/SQRT(6)</f>
        <v>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spans="1:32" ht="11.25" customHeight="1">
      <c r="A50" s="13">
        <v>4</v>
      </c>
      <c r="B50" s="13"/>
      <c r="C50" s="13">
        <v>24</v>
      </c>
      <c r="D50" s="13">
        <f t="shared" si="21"/>
        <v>0</v>
      </c>
      <c r="E50" s="13"/>
      <c r="F50" s="13">
        <v>24</v>
      </c>
      <c r="G50" s="13">
        <f t="shared" si="22"/>
        <v>0</v>
      </c>
      <c r="H50" s="13"/>
      <c r="I50" s="13">
        <v>24</v>
      </c>
      <c r="J50" s="13">
        <f t="shared" si="23"/>
        <v>0</v>
      </c>
      <c r="K50" s="13"/>
      <c r="L50" s="13">
        <v>24</v>
      </c>
      <c r="M50" s="13">
        <f t="shared" si="24"/>
        <v>0</v>
      </c>
      <c r="N50" s="12"/>
      <c r="O50" s="12"/>
      <c r="P50" s="12"/>
      <c r="Q50" s="12"/>
      <c r="R50" s="1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</row>
    <row r="51" spans="1:32" ht="11.25" customHeight="1">
      <c r="A51" s="13">
        <v>5</v>
      </c>
      <c r="B51" s="13"/>
      <c r="C51" s="13">
        <v>24</v>
      </c>
      <c r="D51" s="13">
        <f t="shared" si="21"/>
        <v>0</v>
      </c>
      <c r="E51" s="13"/>
      <c r="F51" s="13">
        <v>24</v>
      </c>
      <c r="G51" s="13">
        <f t="shared" si="22"/>
        <v>0</v>
      </c>
      <c r="H51" s="13"/>
      <c r="I51" s="13">
        <v>24</v>
      </c>
      <c r="J51" s="13">
        <f t="shared" si="23"/>
        <v>0</v>
      </c>
      <c r="K51" s="13"/>
      <c r="L51" s="13">
        <v>24</v>
      </c>
      <c r="M51" s="13">
        <f t="shared" si="24"/>
        <v>0</v>
      </c>
      <c r="N51" s="12"/>
      <c r="O51" s="12"/>
      <c r="P51" s="12"/>
      <c r="Q51" s="12"/>
      <c r="R51" s="1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</row>
    <row r="52" spans="1:32" ht="11.25" customHeight="1">
      <c r="A52" s="13">
        <v>6</v>
      </c>
      <c r="B52" s="13"/>
      <c r="C52" s="13">
        <v>24</v>
      </c>
      <c r="D52" s="13">
        <f t="shared" si="21"/>
        <v>0</v>
      </c>
      <c r="E52" s="13"/>
      <c r="F52" s="13">
        <v>24</v>
      </c>
      <c r="G52" s="13">
        <f t="shared" si="22"/>
        <v>0</v>
      </c>
      <c r="H52" s="13"/>
      <c r="I52" s="13">
        <v>24</v>
      </c>
      <c r="J52" s="13">
        <f t="shared" si="23"/>
        <v>0</v>
      </c>
      <c r="K52" s="13"/>
      <c r="L52" s="13">
        <v>24</v>
      </c>
      <c r="M52" s="13">
        <f t="shared" si="24"/>
        <v>0</v>
      </c>
      <c r="N52" s="12"/>
      <c r="O52" s="12"/>
      <c r="P52" s="12"/>
      <c r="Q52" s="12"/>
      <c r="R52" s="1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</row>
    <row r="53" spans="1:32" ht="11.25" customHeight="1">
      <c r="A53" s="13">
        <v>7</v>
      </c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2"/>
      <c r="O53" s="12"/>
      <c r="P53" s="12"/>
      <c r="Q53" s="12"/>
      <c r="R53" s="1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</row>
    <row r="54" spans="1:32" ht="11.25" customHeight="1">
      <c r="A54" s="13">
        <v>8</v>
      </c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2"/>
      <c r="O54" s="12"/>
      <c r="P54" s="12"/>
      <c r="Q54" s="12"/>
      <c r="R54" s="1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</row>
    <row r="55" spans="1:32" ht="11.25" customHeight="1">
      <c r="A55" s="13">
        <v>9</v>
      </c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2"/>
      <c r="O55" s="12"/>
      <c r="P55" s="12"/>
      <c r="Q55" s="12"/>
      <c r="R55" s="1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</row>
    <row r="56" spans="1:32" ht="11.25" customHeight="1">
      <c r="A56" s="13">
        <v>10</v>
      </c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2"/>
      <c r="O56" s="12"/>
      <c r="P56" s="12"/>
      <c r="Q56" s="12"/>
      <c r="R56" s="1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</row>
    <row r="57" spans="1:32" ht="11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</row>
    <row r="58" spans="1:32" ht="11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</row>
    <row r="59" spans="1:32" ht="11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</row>
    <row r="60" spans="1:32" ht="11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</row>
    <row r="61" spans="1:32" ht="11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</row>
    <row r="62" spans="1:32" ht="11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</row>
    <row r="63" spans="1:32" ht="11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</row>
    <row r="64" spans="1:32" ht="11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</row>
    <row r="65" spans="1:32" ht="11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</row>
    <row r="66" spans="1:32" ht="11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</row>
    <row r="67" spans="1:32" ht="11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</row>
    <row r="68" spans="1:32" ht="11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</row>
    <row r="69" spans="1:32" ht="11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</row>
    <row r="70" spans="1:32" ht="11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</row>
    <row r="71" spans="1:32" ht="11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</row>
    <row r="72" spans="1:32" ht="11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</row>
    <row r="73" spans="1:32" ht="11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</row>
    <row r="74" spans="1:32" ht="11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</row>
    <row r="75" spans="1:32" ht="11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</row>
    <row r="76" spans="1:32" ht="11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</row>
    <row r="77" spans="1:32" ht="11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</row>
    <row r="78" spans="1:32" ht="11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</row>
    <row r="79" spans="1:32" ht="11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</row>
    <row r="80" spans="1:32" ht="11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</row>
    <row r="81" spans="1:32" ht="11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</row>
    <row r="82" spans="1:32" ht="11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</row>
    <row r="83" spans="1:32" ht="11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</row>
    <row r="84" spans="1:32" ht="11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</row>
    <row r="85" spans="1:32" ht="11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</row>
    <row r="86" spans="1:32" ht="11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</row>
    <row r="87" spans="1:32" ht="11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</row>
    <row r="88" spans="1:32" ht="11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</row>
    <row r="89" spans="1:32" ht="11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</row>
    <row r="90" spans="1:32" ht="11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</row>
    <row r="91" spans="1:32" ht="11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</row>
    <row r="92" spans="1:32" ht="11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</row>
    <row r="93" spans="1:32" ht="11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</row>
    <row r="94" spans="1:32" ht="11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</row>
    <row r="95" spans="1:32" ht="11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</row>
    <row r="96" spans="1:32" ht="11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</row>
    <row r="97" spans="1:32" ht="11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</row>
    <row r="98" spans="1:32" ht="11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</row>
    <row r="99" spans="1:32" ht="11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</row>
    <row r="100" spans="1:32" ht="11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</row>
    <row r="101" spans="1:32" ht="11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</row>
    <row r="102" spans="1:32" ht="11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</row>
    <row r="103" spans="1:32" ht="11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</row>
    <row r="104" spans="1:32" ht="11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</row>
    <row r="105" spans="1:32" ht="11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</row>
    <row r="106" spans="1:32" ht="11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</row>
    <row r="107" spans="1:32" ht="11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</row>
    <row r="108" spans="1:32" ht="11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</row>
    <row r="109" spans="1:32" ht="11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</row>
    <row r="110" spans="1:32" ht="11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</row>
    <row r="111" spans="1:32" ht="11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</row>
    <row r="112" spans="1:32" ht="11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</row>
    <row r="113" spans="1:32" ht="11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</row>
    <row r="114" spans="1:32" ht="11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</row>
    <row r="115" spans="1:32" ht="11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</row>
    <row r="116" spans="1:32" ht="11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</row>
    <row r="117" spans="1:32" ht="11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</row>
    <row r="118" spans="1:32" ht="11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</row>
    <row r="119" spans="1:32" ht="11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</row>
    <row r="120" spans="1:32" ht="11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</row>
    <row r="121" spans="1:32" ht="11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</row>
    <row r="122" spans="1:32" ht="11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</row>
    <row r="123" spans="1:32" ht="11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</row>
    <row r="124" spans="1:32" ht="11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</row>
    <row r="125" spans="1:32" ht="11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</row>
    <row r="126" spans="1:32" ht="11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</row>
    <row r="127" spans="1:32" ht="11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</row>
    <row r="128" spans="1:32" ht="11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</row>
    <row r="129" spans="1:32" ht="11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</row>
    <row r="130" spans="1:32" ht="11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</row>
    <row r="131" spans="1:32" ht="11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</row>
    <row r="132" spans="1:32" ht="11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</row>
    <row r="133" spans="1:32" ht="11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</row>
    <row r="134" spans="1:32" ht="11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</row>
    <row r="135" spans="1:32" ht="11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</row>
    <row r="136" spans="1:32" ht="11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</row>
    <row r="137" spans="1:32" ht="11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</row>
    <row r="138" spans="1:32" ht="11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</row>
    <row r="139" spans="1:32" ht="11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</row>
    <row r="140" spans="1:32" ht="11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</row>
    <row r="141" spans="1:32" ht="11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</row>
    <row r="142" spans="1:32" ht="11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</row>
    <row r="143" spans="1:32" ht="11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</row>
    <row r="144" spans="1:32" ht="11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</row>
    <row r="145" spans="1:32" ht="11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</row>
    <row r="146" spans="1:32" ht="11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</row>
    <row r="147" spans="1:32" ht="11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</row>
    <row r="148" spans="1:32" ht="11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</row>
    <row r="149" spans="1:32" ht="11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</row>
    <row r="150" spans="1:32" ht="11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</row>
    <row r="151" spans="1:32" ht="11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</row>
    <row r="152" spans="1:32" ht="11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</row>
    <row r="153" spans="1:32" ht="11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</row>
    <row r="154" spans="1:32" ht="11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</row>
    <row r="155" spans="1:32" ht="11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</row>
    <row r="156" spans="1:32" ht="11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</row>
    <row r="157" spans="1:32" ht="11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</row>
    <row r="158" spans="1:32" ht="11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</row>
    <row r="159" spans="1:32" ht="11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</row>
    <row r="160" spans="1:32" ht="11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</row>
    <row r="161" spans="1:32" ht="11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</row>
    <row r="162" spans="1:32" ht="11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</row>
    <row r="163" spans="1:32" ht="11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</row>
    <row r="164" spans="1:32" ht="11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</row>
    <row r="165" spans="1:32" ht="11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</row>
    <row r="166" spans="1:32" ht="11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</row>
    <row r="167" spans="1:32" ht="11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</row>
    <row r="168" spans="1:32" ht="11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</row>
    <row r="169" spans="1:32" ht="11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</row>
    <row r="170" spans="1:32" ht="11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</row>
    <row r="171" spans="1:32" ht="11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</row>
    <row r="172" spans="1:32" ht="11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</row>
    <row r="173" spans="1:32" ht="11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</row>
    <row r="174" spans="1:32" ht="11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</row>
    <row r="175" spans="1:32" ht="11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</row>
    <row r="176" spans="1:32" ht="11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</row>
    <row r="177" spans="1:32" ht="11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</row>
    <row r="178" spans="1:32" ht="11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</row>
    <row r="179" spans="1:32" ht="11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</row>
    <row r="180" spans="1:32" ht="11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</row>
    <row r="181" spans="1:32" ht="11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</row>
    <row r="182" spans="1:32" ht="11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</row>
    <row r="183" spans="1:32" ht="11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</row>
    <row r="184" spans="1:32" ht="11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</row>
    <row r="185" spans="1:32" ht="11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</row>
    <row r="186" spans="1:32" ht="11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</row>
    <row r="187" spans="1:32" ht="11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</row>
    <row r="188" spans="1:32" ht="11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</row>
    <row r="189" spans="1:32" ht="11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</row>
    <row r="190" spans="1:32" ht="11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</row>
    <row r="191" spans="1:32" ht="11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</row>
    <row r="192" spans="1:32" ht="11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</row>
    <row r="193" spans="1:32" ht="11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</row>
    <row r="194" spans="1:32" ht="11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</row>
    <row r="195" spans="1:32" ht="11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</row>
    <row r="196" spans="1:32" ht="11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</row>
    <row r="197" spans="1:32" ht="11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</row>
    <row r="198" spans="1:32" ht="11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</row>
    <row r="199" spans="1:32" ht="11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</row>
    <row r="200" spans="1:32" ht="11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</row>
    <row r="201" spans="1:32" ht="11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</row>
    <row r="202" spans="1:32" ht="11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</row>
    <row r="203" spans="1:32" ht="11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</row>
    <row r="204" spans="1:32" ht="11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</row>
    <row r="205" spans="1:32" ht="11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</row>
    <row r="206" spans="1:32" ht="11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</row>
    <row r="207" spans="1:32" ht="11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</row>
    <row r="208" spans="1:32" ht="11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</row>
    <row r="209" spans="1:32" ht="11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</row>
    <row r="210" spans="1:32" ht="11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</row>
    <row r="211" spans="1:32" ht="11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</row>
    <row r="212" spans="1:32" ht="11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</row>
    <row r="213" spans="1:32" ht="11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</row>
    <row r="214" spans="1:32" ht="11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</row>
    <row r="215" spans="1:32" ht="11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</row>
    <row r="216" spans="1:32" ht="11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</row>
    <row r="217" spans="1:32" ht="11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</row>
    <row r="218" spans="1:32" ht="11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</row>
    <row r="219" spans="1:32" ht="11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</row>
    <row r="220" spans="1:32" ht="11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</row>
    <row r="221" spans="1:32" ht="11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</row>
    <row r="222" spans="1:32" ht="11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</row>
    <row r="223" spans="1:32" ht="11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</row>
    <row r="224" spans="1:32" ht="11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</row>
    <row r="225" spans="1:32" ht="11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</row>
    <row r="226" spans="1:32" ht="11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</row>
    <row r="227" spans="1:32" ht="11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</row>
    <row r="228" spans="1:32" ht="11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</row>
    <row r="229" spans="1:32" ht="11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</row>
    <row r="230" spans="1:32" ht="11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</row>
    <row r="231" spans="1:32" ht="11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</row>
    <row r="232" spans="1:32" ht="11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</row>
    <row r="233" spans="1:32" ht="11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</row>
    <row r="234" spans="1:32" ht="11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</row>
    <row r="235" spans="1:32" ht="11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</row>
    <row r="236" spans="1:32" ht="11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</row>
    <row r="237" spans="1:32" ht="11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</row>
    <row r="238" spans="1:32" ht="11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</row>
    <row r="239" spans="1:32" ht="11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</row>
    <row r="240" spans="1:32" ht="11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</row>
    <row r="241" spans="1:32" ht="11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</row>
    <row r="242" spans="1:32" ht="11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</row>
    <row r="243" spans="1:32" ht="11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</row>
    <row r="244" spans="1:32" ht="11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</row>
    <row r="245" spans="1:32" ht="11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</row>
    <row r="246" spans="1:32" ht="11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</row>
    <row r="247" spans="1:32" ht="11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</row>
    <row r="248" spans="1:32" ht="11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</row>
    <row r="249" spans="1:32" ht="11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</row>
    <row r="250" spans="1:32" ht="11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</row>
    <row r="251" spans="1:32" ht="11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</row>
    <row r="252" spans="1:32" ht="11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</row>
    <row r="253" spans="1:32" ht="11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</row>
    <row r="254" spans="1:32" ht="11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</row>
    <row r="255" spans="1:32" ht="11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</row>
    <row r="256" spans="1:32" ht="11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</row>
    <row r="257" spans="1:32" ht="11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</row>
    <row r="258" spans="1:32" ht="11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</row>
    <row r="259" spans="1:32" ht="11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</row>
    <row r="260" spans="1:32" ht="11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</row>
    <row r="261" spans="1:32" ht="11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</row>
    <row r="262" spans="1:32" ht="11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</row>
    <row r="263" spans="1:32" ht="11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</row>
    <row r="264" spans="1:32" ht="11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</row>
    <row r="265" spans="1:32" ht="11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</row>
    <row r="266" spans="1:32" ht="11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</row>
    <row r="267" spans="1:32" ht="11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</row>
    <row r="268" spans="1:32" ht="11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</row>
    <row r="269" spans="1:32" ht="11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</row>
    <row r="270" spans="1:32" ht="11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</row>
    <row r="271" spans="1:32" ht="11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</row>
    <row r="272" spans="1:32" ht="11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</row>
    <row r="273" spans="1:32" ht="11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</row>
    <row r="274" spans="1:32" ht="11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</row>
    <row r="275" spans="1:32" ht="11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</row>
    <row r="276" spans="1:32" ht="11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</row>
    <row r="277" spans="1:32" ht="11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</row>
    <row r="278" spans="1:32" ht="11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</row>
    <row r="279" spans="1:32" ht="11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</row>
    <row r="280" spans="1:32" ht="11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</row>
    <row r="281" spans="1:32" ht="11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</row>
    <row r="282" spans="1:32" ht="11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</row>
    <row r="283" spans="1:32" ht="11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</row>
    <row r="284" spans="1:32" ht="11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</row>
    <row r="285" spans="1:32" ht="11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</row>
    <row r="286" spans="1:32" ht="11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</row>
    <row r="287" spans="1:32" ht="11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</row>
    <row r="288" spans="1:32" ht="11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</row>
    <row r="289" spans="1:32" ht="11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</row>
    <row r="290" spans="1:32" ht="11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</row>
    <row r="291" spans="1:32" ht="11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</row>
    <row r="292" spans="1:32" ht="11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</row>
    <row r="293" spans="1:32" ht="11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</row>
    <row r="294" spans="1:32" ht="11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  <row r="295" spans="1:32" ht="11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</row>
    <row r="296" spans="1:32" ht="11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</row>
    <row r="297" spans="1:32" ht="11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</row>
    <row r="298" spans="1:32" ht="11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</row>
    <row r="299" spans="1:32" ht="11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</row>
    <row r="300" spans="1:32" ht="11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</row>
    <row r="301" spans="1:32" ht="11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</row>
    <row r="302" spans="1:32" ht="11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</row>
    <row r="303" spans="1:32" ht="11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</row>
    <row r="304" spans="1:32" ht="11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</row>
    <row r="305" spans="1:32" ht="11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</row>
    <row r="306" spans="1:32" ht="11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</row>
    <row r="307" spans="1:32" ht="11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</row>
    <row r="308" spans="1:32" ht="11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</row>
    <row r="309" spans="1:32" ht="11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</row>
    <row r="310" spans="1:32" ht="11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</row>
    <row r="311" spans="1:32" ht="11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</row>
    <row r="312" spans="1:32" ht="11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</row>
    <row r="313" spans="1:32" ht="11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</row>
    <row r="314" spans="1:32" ht="11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</row>
    <row r="315" spans="1:32" ht="11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</row>
    <row r="316" spans="1:32" ht="11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</row>
    <row r="317" spans="1:32" ht="11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</row>
    <row r="318" spans="1:32" ht="11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</row>
    <row r="319" spans="1:32" ht="11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</row>
    <row r="320" spans="1:32" ht="11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</row>
    <row r="321" spans="1:32" ht="11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</row>
    <row r="322" spans="1:32" ht="11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</row>
    <row r="323" spans="1:32" ht="11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</row>
    <row r="324" spans="1:32" ht="11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</row>
    <row r="325" spans="1:32" ht="11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</row>
    <row r="326" spans="1:32" ht="11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</row>
    <row r="327" spans="1:32" ht="11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</row>
    <row r="328" spans="1:32" ht="11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</row>
    <row r="329" spans="1:32" ht="11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</row>
    <row r="330" spans="1:32" ht="11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</row>
    <row r="331" spans="1:32" ht="11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</row>
    <row r="332" spans="1:32" ht="11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</row>
    <row r="333" spans="1:32" ht="11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</row>
    <row r="334" spans="1:32" ht="11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</row>
    <row r="335" spans="1:32" ht="11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</row>
    <row r="336" spans="1:32" ht="11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</row>
    <row r="337" spans="1:32" ht="11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</row>
    <row r="338" spans="1:32" ht="11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</row>
    <row r="339" spans="1:32" ht="11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</row>
    <row r="340" spans="1:32" ht="11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</row>
    <row r="341" spans="1:32" ht="11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</row>
    <row r="342" spans="1:32" ht="11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</row>
    <row r="343" spans="1:32" ht="11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</row>
    <row r="344" spans="1:32" ht="11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</row>
    <row r="345" spans="1:32" ht="11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</row>
    <row r="346" spans="1:32" ht="11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</row>
    <row r="347" spans="1:32" ht="11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</row>
    <row r="348" spans="1:32" ht="11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</row>
    <row r="349" spans="1:32" ht="11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</row>
    <row r="350" spans="1:32" ht="11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</row>
    <row r="351" spans="1:32" ht="11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</row>
    <row r="352" spans="1:32" ht="11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</row>
    <row r="353" spans="1:32" ht="11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</row>
    <row r="354" spans="1:32" ht="11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</row>
    <row r="355" spans="1:32" ht="11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</row>
    <row r="356" spans="1:32" ht="11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</row>
    <row r="357" spans="1:32" ht="11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</row>
    <row r="358" spans="1:32" ht="11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</row>
    <row r="359" spans="1:32" ht="11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</row>
    <row r="360" spans="1:32" ht="11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</row>
    <row r="361" spans="1:32" ht="11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</row>
    <row r="362" spans="1:32" ht="11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</row>
    <row r="363" spans="1:32" ht="11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</row>
    <row r="364" spans="1:32" ht="11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</row>
    <row r="365" spans="1:32" ht="11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</row>
    <row r="366" spans="1:32" ht="11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</row>
    <row r="367" spans="1:32" ht="11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</row>
    <row r="368" spans="1:32" ht="11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</row>
    <row r="369" spans="1:32" ht="11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</row>
    <row r="370" spans="1:32" ht="11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</row>
    <row r="371" spans="1:32" ht="11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</row>
    <row r="372" spans="1:32" ht="11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</row>
    <row r="373" spans="1:32" ht="11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</row>
    <row r="374" spans="1:32" ht="11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</row>
    <row r="375" spans="1:32" ht="11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</row>
    <row r="376" spans="1:32" ht="11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</row>
    <row r="377" spans="1:32" ht="11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</row>
    <row r="378" spans="1:32" ht="11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</row>
    <row r="379" spans="1:32" ht="11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</row>
    <row r="380" spans="1:32" ht="11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</row>
    <row r="381" spans="1:32" ht="11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</row>
    <row r="382" spans="1:32" ht="11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</row>
    <row r="383" spans="1:32" ht="11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</row>
    <row r="384" spans="1:32" ht="11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</row>
    <row r="385" spans="1:32" ht="11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</row>
    <row r="386" spans="1:32" ht="11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</row>
    <row r="387" spans="1:32" ht="11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</row>
    <row r="388" spans="1:32" ht="11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</row>
    <row r="389" spans="1:32" ht="11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</row>
    <row r="390" spans="1:32" ht="11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</row>
    <row r="391" spans="1:32" ht="11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</row>
    <row r="392" spans="1:32" ht="11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</row>
    <row r="393" spans="1:32" ht="11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</row>
    <row r="394" spans="1:32" ht="11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</row>
    <row r="395" spans="1:32" ht="11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</row>
    <row r="396" spans="1:32" ht="11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</row>
    <row r="397" spans="1:32" ht="11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</row>
    <row r="398" spans="1:32" ht="11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</row>
    <row r="399" spans="1:32" ht="11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</row>
    <row r="400" spans="1:32" ht="11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</row>
    <row r="401" spans="1:32" ht="11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</row>
    <row r="402" spans="1:32" ht="11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</row>
    <row r="403" spans="1:32" ht="11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</row>
    <row r="404" spans="1:32" ht="11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</row>
    <row r="405" spans="1:32" ht="11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</row>
    <row r="406" spans="1:32" ht="11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</row>
    <row r="407" spans="1:32" ht="11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</row>
    <row r="408" spans="1:32" ht="11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</row>
    <row r="409" spans="1:32" ht="11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</row>
    <row r="410" spans="1:32" ht="11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</row>
    <row r="411" spans="1:32" ht="11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</row>
    <row r="412" spans="1:32" ht="11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</row>
    <row r="413" spans="1:32" ht="11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</row>
    <row r="414" spans="1:32" ht="11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</row>
    <row r="415" spans="1:32" ht="11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</row>
    <row r="416" spans="1:32" ht="11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</row>
    <row r="417" spans="1:32" ht="11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</row>
    <row r="418" spans="1:32" ht="11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</row>
    <row r="419" spans="1:32" ht="11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</row>
    <row r="420" spans="1:32" ht="11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</row>
    <row r="421" spans="1:32" ht="11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</row>
    <row r="422" spans="1:32" ht="11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</row>
    <row r="423" spans="1:32" ht="11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</row>
    <row r="424" spans="1:32" ht="11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</row>
    <row r="425" spans="1:32" ht="11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</row>
    <row r="426" spans="1:32" ht="11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</row>
    <row r="427" spans="1:32" ht="11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</row>
    <row r="428" spans="1:32" ht="11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</row>
    <row r="429" spans="1:32" ht="11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</row>
    <row r="430" spans="1:32" ht="11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</row>
    <row r="431" spans="1:32" ht="11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</row>
    <row r="432" spans="1:32" ht="11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</row>
    <row r="433" spans="1:32" ht="11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</row>
    <row r="434" spans="1:32" ht="11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</row>
    <row r="435" spans="1:32" ht="11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</row>
    <row r="436" spans="1:32" ht="11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</row>
    <row r="437" spans="1:32" ht="11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</row>
    <row r="438" spans="1:32" ht="11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</row>
    <row r="439" spans="1:32" ht="11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</row>
    <row r="440" spans="1:32" ht="11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</row>
    <row r="441" spans="1:32" ht="11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</row>
    <row r="442" spans="1:32" ht="11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</row>
    <row r="443" spans="1:32" ht="11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</row>
    <row r="444" spans="1:32" ht="11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</row>
    <row r="445" spans="1:32" ht="11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</row>
    <row r="446" spans="1:32" ht="11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</row>
    <row r="447" spans="1:32" ht="11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</row>
    <row r="448" spans="1:32" ht="11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</row>
    <row r="449" spans="1:32" ht="11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</row>
    <row r="450" spans="1:32" ht="11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</row>
    <row r="451" spans="1:32" ht="11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</row>
    <row r="452" spans="1:32" ht="11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</row>
    <row r="453" spans="1:32" ht="11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</row>
    <row r="454" spans="1:32" ht="11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</row>
    <row r="455" spans="1:32" ht="11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</row>
    <row r="456" spans="1:32" ht="11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</row>
    <row r="457" spans="1:32" ht="11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</row>
    <row r="458" spans="1:32" ht="11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</row>
    <row r="459" spans="1:32" ht="11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</row>
    <row r="460" spans="1:32" ht="11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</row>
    <row r="461" spans="1:32" ht="11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</row>
    <row r="462" spans="1:32" ht="11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</row>
    <row r="463" spans="1:32" ht="11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</row>
    <row r="464" spans="1:32" ht="11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</row>
    <row r="465" spans="1:32" ht="11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</row>
    <row r="466" spans="1:32" ht="11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</row>
    <row r="467" spans="1:32" ht="11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</row>
    <row r="468" spans="1:32" ht="11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</row>
    <row r="469" spans="1:32" ht="11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</row>
    <row r="470" spans="1:32" ht="11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</row>
    <row r="471" spans="1:32" ht="11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</row>
    <row r="472" spans="1:32" ht="11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</row>
    <row r="473" spans="1:32" ht="11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</row>
    <row r="474" spans="1:32" ht="11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</row>
    <row r="475" spans="1:32" ht="11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</row>
    <row r="476" spans="1:32" ht="11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</row>
    <row r="477" spans="1:32" ht="11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</row>
    <row r="478" spans="1:32" ht="11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</row>
    <row r="479" spans="1:32" ht="11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</row>
    <row r="480" spans="1:32" ht="11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</row>
    <row r="481" spans="1:32" ht="11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</row>
    <row r="482" spans="1:32" ht="11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</row>
    <row r="483" spans="1:32" ht="11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</row>
    <row r="484" spans="1:32" ht="11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</row>
    <row r="485" spans="1:32" ht="11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</row>
    <row r="486" spans="1:32" ht="11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</row>
    <row r="487" spans="1:32" ht="11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</row>
    <row r="488" spans="1:32" ht="11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</row>
    <row r="489" spans="1:32" ht="11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</row>
    <row r="490" spans="1:32" ht="11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</row>
    <row r="491" spans="1:32" ht="11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</row>
    <row r="492" spans="1:32" ht="11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</row>
    <row r="493" spans="1:32" ht="11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</row>
    <row r="494" spans="1:32" ht="11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</row>
    <row r="495" spans="1:32" ht="11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</row>
    <row r="496" spans="1:32" ht="11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</row>
    <row r="497" spans="1:32" ht="11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</row>
    <row r="498" spans="1:32" ht="11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</row>
    <row r="499" spans="1:32" ht="11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</row>
    <row r="500" spans="1:32" ht="11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</row>
    <row r="501" spans="1:32" ht="11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</row>
    <row r="502" spans="1:32" ht="11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</row>
    <row r="503" spans="1:32" ht="11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</row>
    <row r="504" spans="1:32" ht="11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</row>
    <row r="505" spans="1:32" ht="11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</row>
    <row r="506" spans="1:32" ht="11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</row>
    <row r="507" spans="1:32" ht="11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</row>
    <row r="508" spans="1:32" ht="11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</row>
    <row r="509" spans="1:32" ht="11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</row>
    <row r="510" spans="1:32" ht="11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</row>
    <row r="511" spans="1:32" ht="11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</row>
    <row r="512" spans="1:32" ht="11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</row>
    <row r="513" spans="1:32" ht="11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</row>
    <row r="514" spans="1:32" ht="11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</row>
    <row r="515" spans="1:32" ht="11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</row>
    <row r="516" spans="1:32" ht="11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</row>
    <row r="517" spans="1:32" ht="11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</row>
    <row r="518" spans="1:32" ht="11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</row>
    <row r="519" spans="1:32" ht="11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</row>
    <row r="520" spans="1:32" ht="11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</row>
    <row r="521" spans="1:32" ht="11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</row>
    <row r="522" spans="1:32" ht="11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</row>
    <row r="523" spans="1:32" ht="11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</row>
    <row r="524" spans="1:32" ht="11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</row>
    <row r="525" spans="1:32" ht="11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</row>
    <row r="526" spans="1:32" ht="11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</row>
    <row r="527" spans="1:32" ht="11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</row>
    <row r="528" spans="1:32" ht="11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</row>
    <row r="529" spans="1:32" ht="11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</row>
    <row r="530" spans="1:32" ht="11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</row>
    <row r="531" spans="1:32" ht="11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</row>
    <row r="532" spans="1:32" ht="11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</row>
    <row r="533" spans="1:32" ht="11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</row>
    <row r="534" spans="1:32" ht="11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</row>
    <row r="535" spans="1:32" ht="11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</row>
    <row r="536" spans="1:32" ht="11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</row>
    <row r="537" spans="1:32" ht="11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</row>
    <row r="538" spans="1:32" ht="11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</row>
    <row r="539" spans="1:32" ht="11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</row>
    <row r="540" spans="1:32" ht="11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</row>
    <row r="541" spans="1:32" ht="11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</row>
    <row r="542" spans="1:32" ht="11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</row>
    <row r="543" spans="1:32" ht="11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</row>
    <row r="544" spans="1:32" ht="11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</row>
    <row r="545" spans="1:32" ht="11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</row>
    <row r="546" spans="1:32" ht="11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</row>
    <row r="547" spans="1:32" ht="11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</row>
    <row r="548" spans="1:32" ht="11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</row>
    <row r="549" spans="1:32" ht="11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</row>
    <row r="550" spans="1:32" ht="11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</row>
    <row r="551" spans="1:32" ht="11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</row>
    <row r="552" spans="1:32" ht="11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</row>
    <row r="553" spans="1:32" ht="11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</row>
    <row r="554" spans="1:32" ht="11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</row>
    <row r="555" spans="1:32" ht="11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</row>
    <row r="556" spans="1:32" ht="11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</row>
    <row r="557" spans="1:32" ht="11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</row>
    <row r="558" spans="1:32" ht="11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</row>
    <row r="559" spans="1:32" ht="11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</row>
    <row r="560" spans="1:32" ht="11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</row>
    <row r="561" spans="1:32" ht="11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</row>
    <row r="562" spans="1:32" ht="11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</row>
    <row r="563" spans="1:32" ht="11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</row>
    <row r="564" spans="1:32" ht="11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</row>
    <row r="565" spans="1:32" ht="11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</row>
    <row r="566" spans="1:32" ht="11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</row>
    <row r="567" spans="1:32" ht="11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</row>
    <row r="568" spans="1:32" ht="11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</row>
    <row r="569" spans="1:32" ht="11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</row>
    <row r="570" spans="1:32" ht="11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</row>
    <row r="571" spans="1:32" ht="11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</row>
    <row r="572" spans="1:32" ht="11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</row>
    <row r="573" spans="1:32" ht="11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</row>
    <row r="574" spans="1:32" ht="11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</row>
    <row r="575" spans="1:32" ht="11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</row>
    <row r="576" spans="1:32" ht="11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</row>
    <row r="577" spans="1:32" ht="11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</row>
    <row r="578" spans="1:32" ht="11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</row>
    <row r="579" spans="1:32" ht="11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</row>
    <row r="580" spans="1:32" ht="11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</row>
    <row r="581" spans="1:32" ht="11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</row>
    <row r="582" spans="1:32" ht="11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</row>
    <row r="583" spans="1:32" ht="11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</row>
    <row r="584" spans="1:32" ht="11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</row>
    <row r="585" spans="1:32" ht="11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</row>
    <row r="586" spans="1:32" ht="11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</row>
    <row r="587" spans="1:32" ht="11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</row>
    <row r="588" spans="1:32" ht="11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</row>
    <row r="589" spans="1:32" ht="11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</row>
    <row r="590" spans="1:32" ht="11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</row>
    <row r="591" spans="1:32" ht="11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</row>
    <row r="592" spans="1:32" ht="11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</row>
    <row r="593" spans="1:32" ht="11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</row>
    <row r="594" spans="1:32" ht="11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</row>
    <row r="595" spans="1:32" ht="11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</row>
    <row r="596" spans="1:32" ht="11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</row>
    <row r="597" spans="1:32" ht="11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</row>
    <row r="598" spans="1:32" ht="11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</row>
    <row r="599" spans="1:32" ht="11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</row>
    <row r="600" spans="1:32" ht="11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</row>
    <row r="601" spans="1:32" ht="11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</row>
    <row r="602" spans="1:32" ht="11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</row>
    <row r="603" spans="1:32" ht="11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</row>
    <row r="604" spans="1:32" ht="11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</row>
    <row r="605" spans="1:32" ht="11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</row>
    <row r="606" spans="1:32" ht="11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</row>
    <row r="607" spans="1:32" ht="11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</row>
    <row r="608" spans="1:32" ht="11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</row>
    <row r="609" spans="1:32" ht="11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</row>
    <row r="610" spans="1:32" ht="11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</row>
    <row r="611" spans="1:32" ht="11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</row>
    <row r="612" spans="1:32" ht="11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</row>
    <row r="613" spans="1:32" ht="11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</row>
    <row r="614" spans="1:32" ht="11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</row>
    <row r="615" spans="1:32" ht="11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</row>
    <row r="616" spans="1:32" ht="11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</row>
    <row r="617" spans="1:32" ht="11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</row>
    <row r="618" spans="1:32" ht="11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</row>
    <row r="619" spans="1:32" ht="11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</row>
    <row r="620" spans="1:32" ht="11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</row>
    <row r="621" spans="1:32" ht="11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</row>
    <row r="622" spans="1:32" ht="11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</row>
    <row r="623" spans="1:32" ht="11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</row>
    <row r="624" spans="1:32" ht="11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</row>
    <row r="625" spans="1:32" ht="11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</row>
    <row r="626" spans="1:32" ht="11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</row>
    <row r="627" spans="1:32" ht="11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</row>
    <row r="628" spans="1:32" ht="11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</row>
    <row r="629" spans="1:32" ht="11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</row>
    <row r="630" spans="1:32" ht="11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</row>
    <row r="631" spans="1:32" ht="11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</row>
    <row r="632" spans="1:32" ht="11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</row>
    <row r="633" spans="1:32" ht="11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</row>
    <row r="634" spans="1:32" ht="11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</row>
    <row r="635" spans="1:32" ht="11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</row>
    <row r="636" spans="1:32" ht="11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</row>
    <row r="637" spans="1:32" ht="11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</row>
    <row r="638" spans="1:32" ht="11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</row>
    <row r="639" spans="1:32" ht="11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</row>
    <row r="640" spans="1:32" ht="11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</row>
    <row r="641" spans="1:32" ht="11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</row>
    <row r="642" spans="1:32" ht="11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</row>
    <row r="643" spans="1:32" ht="11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</row>
    <row r="644" spans="1:32" ht="11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</row>
    <row r="645" spans="1:32" ht="11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</row>
    <row r="646" spans="1:32" ht="11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</row>
    <row r="647" spans="1:32" ht="11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</row>
    <row r="648" spans="1:32" ht="11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</row>
    <row r="649" spans="1:32" ht="11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</row>
    <row r="650" spans="1:32" ht="11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</row>
    <row r="651" spans="1:32" ht="11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</row>
    <row r="652" spans="1:32" ht="11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</row>
    <row r="653" spans="1:32" ht="11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</row>
    <row r="654" spans="1:32" ht="11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</row>
    <row r="655" spans="1:32" ht="11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</row>
    <row r="656" spans="1:32" ht="11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</row>
    <row r="657" spans="1:32" ht="11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</row>
    <row r="658" spans="1:32" ht="11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</row>
    <row r="659" spans="1:32" ht="11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</row>
    <row r="660" spans="1:32" ht="11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</row>
    <row r="661" spans="1:32" ht="11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</row>
    <row r="662" spans="1:32" ht="11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</row>
    <row r="663" spans="1:32" ht="11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</row>
    <row r="664" spans="1:32" ht="11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</row>
    <row r="665" spans="1:32" ht="11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</row>
    <row r="666" spans="1:32" ht="11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</row>
    <row r="667" spans="1:32" ht="11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</row>
    <row r="668" spans="1:32" ht="11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</row>
    <row r="669" spans="1:32" ht="11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</row>
    <row r="670" spans="1:32" ht="11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</row>
    <row r="671" spans="1:32" ht="11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</row>
    <row r="672" spans="1:32" ht="11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</row>
    <row r="673" spans="1:32" ht="11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</row>
    <row r="674" spans="1:32" ht="11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</row>
    <row r="675" spans="1:32" ht="11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</row>
    <row r="676" spans="1:32" ht="11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</row>
    <row r="677" spans="1:32" ht="11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</row>
    <row r="678" spans="1:32" ht="11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</row>
    <row r="679" spans="1:32" ht="11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</row>
    <row r="680" spans="1:32" ht="11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</row>
    <row r="681" spans="1:32" ht="11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</row>
    <row r="682" spans="1:32" ht="11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</row>
    <row r="683" spans="1:32" ht="11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</row>
    <row r="684" spans="1:32" ht="11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</row>
    <row r="685" spans="1:32" ht="11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</row>
    <row r="686" spans="1:32" ht="11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</row>
    <row r="687" spans="1:32" ht="11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</row>
    <row r="688" spans="1:32" ht="11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</row>
    <row r="689" spans="1:32" ht="11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</row>
    <row r="690" spans="1:32" ht="11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</row>
    <row r="691" spans="1:32" ht="11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</row>
    <row r="692" spans="1:32" ht="11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</row>
    <row r="693" spans="1:32" ht="11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</row>
    <row r="694" spans="1:32" ht="11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</row>
    <row r="695" spans="1:32" ht="11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</row>
    <row r="696" spans="1:32" ht="11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</row>
    <row r="697" spans="1:32" ht="11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</row>
    <row r="698" spans="1:32" ht="11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</row>
    <row r="699" spans="1:32" ht="11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</row>
    <row r="700" spans="1:32" ht="11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</row>
    <row r="701" spans="1:32" ht="11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</row>
    <row r="702" spans="1:32" ht="11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</row>
    <row r="703" spans="1:32" ht="11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</row>
    <row r="704" spans="1:32" ht="11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</row>
    <row r="705" spans="1:32" ht="11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</row>
    <row r="706" spans="1:32" ht="11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</row>
    <row r="707" spans="1:32" ht="11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</row>
    <row r="708" spans="1:32" ht="11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</row>
    <row r="709" spans="1:32" ht="11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</row>
    <row r="710" spans="1:32" ht="11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</row>
    <row r="711" spans="1:32" ht="11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</row>
    <row r="712" spans="1:32" ht="11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</row>
    <row r="713" spans="1:32" ht="11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</row>
    <row r="714" spans="1:32" ht="11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</row>
    <row r="715" spans="1:32" ht="11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</row>
    <row r="716" spans="1:32" ht="11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</row>
    <row r="717" spans="1:32" ht="11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</row>
    <row r="718" spans="1:32" ht="11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</row>
    <row r="719" spans="1:32" ht="11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</row>
    <row r="720" spans="1:32" ht="11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</row>
    <row r="721" spans="1:32" ht="11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</row>
    <row r="722" spans="1:32" ht="11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</row>
    <row r="723" spans="1:32" ht="11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</row>
    <row r="724" spans="1:32" ht="11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</row>
    <row r="725" spans="1:32" ht="11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</row>
    <row r="726" spans="1:32" ht="11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</row>
    <row r="727" spans="1:32" ht="11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</row>
    <row r="728" spans="1:32" ht="11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</row>
    <row r="729" spans="1:32" ht="11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</row>
    <row r="730" spans="1:32" ht="11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</row>
    <row r="731" spans="1:32" ht="11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</row>
    <row r="732" spans="1:32" ht="11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</row>
    <row r="733" spans="1:32" ht="11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</row>
    <row r="734" spans="1:32" ht="11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</row>
    <row r="735" spans="1:32" ht="11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</row>
    <row r="736" spans="1:32" ht="11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</row>
    <row r="737" spans="1:32" ht="11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</row>
    <row r="738" spans="1:32" ht="11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</row>
    <row r="739" spans="1:32" ht="11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</row>
    <row r="740" spans="1:32" ht="11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</row>
    <row r="741" spans="1:32" ht="11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</row>
    <row r="742" spans="1:32" ht="11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</row>
    <row r="743" spans="1:32" ht="11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</row>
    <row r="744" spans="1:32" ht="11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</row>
    <row r="745" spans="1:32" ht="11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</row>
    <row r="746" spans="1:32" ht="11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</row>
    <row r="747" spans="1:32" ht="11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</row>
    <row r="748" spans="1:32" ht="11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</row>
    <row r="749" spans="1:32" ht="11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</row>
    <row r="750" spans="1:32" ht="11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</row>
    <row r="751" spans="1:32" ht="11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</row>
    <row r="752" spans="1:32" ht="11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</row>
    <row r="753" spans="1:32" ht="11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</row>
    <row r="754" spans="1:32" ht="11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</row>
    <row r="755" spans="1:32" ht="11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</row>
    <row r="756" spans="1:32" ht="11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</row>
    <row r="757" spans="1:32" ht="11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</row>
    <row r="758" spans="1:32" ht="11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</row>
    <row r="759" spans="1:32" ht="11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</row>
    <row r="760" spans="1:32" ht="11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</row>
    <row r="761" spans="1:32" ht="11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</row>
    <row r="762" spans="1:32" ht="11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</row>
    <row r="763" spans="1:32" ht="11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</row>
    <row r="764" spans="1:32" ht="11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</row>
    <row r="765" spans="1:32" ht="11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</row>
    <row r="766" spans="1:32" ht="11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</row>
    <row r="767" spans="1:32" ht="11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</row>
    <row r="768" spans="1:32" ht="11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</row>
    <row r="769" spans="1:32" ht="11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</row>
    <row r="770" spans="1:32" ht="11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</row>
    <row r="771" spans="1:32" ht="11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</row>
    <row r="772" spans="1:32" ht="11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</row>
    <row r="773" spans="1:32" ht="11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</row>
    <row r="774" spans="1:32" ht="11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</row>
    <row r="775" spans="1:32" ht="11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</row>
    <row r="776" spans="1:32" ht="11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</row>
    <row r="777" spans="1:32" ht="11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</row>
    <row r="778" spans="1:32" ht="11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</row>
    <row r="779" spans="1:32" ht="11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</row>
    <row r="780" spans="1:32" ht="11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</row>
    <row r="781" spans="1:32" ht="11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</row>
    <row r="782" spans="1:32" ht="11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</row>
    <row r="783" spans="1:32" ht="11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</row>
    <row r="784" spans="1:32" ht="11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</row>
    <row r="785" spans="1:32" ht="11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</row>
    <row r="786" spans="1:32" ht="11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</row>
    <row r="787" spans="1:32" ht="11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</row>
    <row r="788" spans="1:32" ht="11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</row>
    <row r="789" spans="1:32" ht="11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</row>
    <row r="790" spans="1:32" ht="11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</row>
    <row r="791" spans="1:32" ht="11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</row>
    <row r="792" spans="1:32" ht="11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</row>
    <row r="793" spans="1:32" ht="11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</row>
    <row r="794" spans="1:32" ht="11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</row>
    <row r="795" spans="1:32" ht="11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</row>
    <row r="796" spans="1:32" ht="11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</row>
    <row r="797" spans="1:32" ht="11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</row>
    <row r="798" spans="1:32" ht="11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</row>
    <row r="799" spans="1:32" ht="11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</row>
    <row r="800" spans="1:32" ht="11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</row>
    <row r="801" spans="1:32" ht="11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</row>
    <row r="802" spans="1:32" ht="11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</row>
    <row r="803" spans="1:32" ht="11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</row>
    <row r="804" spans="1:32" ht="11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</row>
    <row r="805" spans="1:32" ht="11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</row>
    <row r="806" spans="1:32" ht="11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</row>
    <row r="807" spans="1:32" ht="11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</row>
    <row r="808" spans="1:32" ht="11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</row>
    <row r="809" spans="1:32" ht="11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</row>
    <row r="810" spans="1:32" ht="11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</row>
    <row r="811" spans="1:32" ht="11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</row>
    <row r="812" spans="1:32" ht="11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</row>
    <row r="813" spans="1:32" ht="11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</row>
    <row r="814" spans="1:32" ht="11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</row>
    <row r="815" spans="1:32" ht="11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</row>
    <row r="816" spans="1:32" ht="11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</row>
    <row r="817" spans="1:32" ht="11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</row>
    <row r="818" spans="1:32" ht="11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</row>
    <row r="819" spans="1:32" ht="11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</row>
    <row r="820" spans="1:32" ht="11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</row>
    <row r="821" spans="1:32" ht="11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</row>
    <row r="822" spans="1:32" ht="11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</row>
    <row r="823" spans="1:32" ht="11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</row>
    <row r="824" spans="1:32" ht="11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</row>
    <row r="825" spans="1:32" ht="11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</row>
    <row r="826" spans="1:32" ht="11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</row>
    <row r="827" spans="1:32" ht="11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</row>
    <row r="828" spans="1:32" ht="11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</row>
    <row r="829" spans="1:32" ht="11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</row>
    <row r="830" spans="1:32" ht="11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</row>
    <row r="831" spans="1:32" ht="11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</row>
    <row r="832" spans="1:32" ht="11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</row>
    <row r="833" spans="1:32" ht="11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</row>
    <row r="834" spans="1:32" ht="11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</row>
    <row r="835" spans="1:32" ht="11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</row>
    <row r="836" spans="1:32" ht="11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</row>
    <row r="837" spans="1:32" ht="11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</row>
    <row r="838" spans="1:32" ht="11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</row>
    <row r="839" spans="1:32" ht="11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</row>
    <row r="840" spans="1:32" ht="11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</row>
    <row r="841" spans="1:32" ht="11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</row>
    <row r="842" spans="1:32" ht="11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</row>
    <row r="843" spans="1:32" ht="11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</row>
    <row r="844" spans="1:32" ht="11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</row>
    <row r="845" spans="1:32" ht="11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</row>
    <row r="846" spans="1:32" ht="11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</row>
    <row r="847" spans="1:32" ht="11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</row>
    <row r="848" spans="1:32" ht="11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</row>
    <row r="849" spans="1:32" ht="11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</row>
    <row r="850" spans="1:32" ht="11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</row>
    <row r="851" spans="1:32" ht="11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</row>
    <row r="852" spans="1:32" ht="11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</row>
    <row r="853" spans="1:32" ht="11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</row>
    <row r="854" spans="1:32" ht="11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</row>
    <row r="855" spans="1:32" ht="11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</row>
    <row r="856" spans="1:32" ht="11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</row>
    <row r="857" spans="1:32" ht="11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</row>
    <row r="858" spans="1:32" ht="11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</row>
    <row r="859" spans="1:32" ht="11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</row>
    <row r="860" spans="1:32" ht="11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</row>
    <row r="861" spans="1:32" ht="11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</row>
    <row r="862" spans="1:32" ht="11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</row>
    <row r="863" spans="1:32" ht="11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</row>
    <row r="864" spans="1:32" ht="11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</row>
    <row r="865" spans="1:32" ht="11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</row>
    <row r="866" spans="1:32" ht="11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</row>
    <row r="867" spans="1:32" ht="11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</row>
    <row r="868" spans="1:32" ht="11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</row>
    <row r="869" spans="1:32" ht="11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</row>
    <row r="870" spans="1:32" ht="11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</row>
    <row r="871" spans="1:32" ht="11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</row>
    <row r="872" spans="1:32" ht="11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</row>
    <row r="873" spans="1:32" ht="11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</row>
    <row r="874" spans="1:32" ht="11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</row>
    <row r="875" spans="1:32" ht="11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</row>
    <row r="876" spans="1:32" ht="11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</row>
    <row r="877" spans="1:32" ht="11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</row>
    <row r="878" spans="1:32" ht="11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</row>
    <row r="879" spans="1:32" ht="11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</row>
    <row r="880" spans="1:32" ht="11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</row>
    <row r="881" spans="1:32" ht="11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</row>
    <row r="882" spans="1:32" ht="11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</row>
    <row r="883" spans="1:32" ht="11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</row>
    <row r="884" spans="1:32" ht="11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</row>
    <row r="885" spans="1:32" ht="11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</row>
    <row r="886" spans="1:32" ht="11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</row>
    <row r="887" spans="1:32" ht="11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</row>
    <row r="888" spans="1:32" ht="11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</row>
    <row r="889" spans="1:32" ht="11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</row>
    <row r="890" spans="1:32" ht="11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</row>
    <row r="891" spans="1:32" ht="11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</row>
    <row r="892" spans="1:32" ht="11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</row>
    <row r="893" spans="1:32" ht="11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</row>
    <row r="894" spans="1:32" ht="11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</row>
    <row r="895" spans="1:32" ht="11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</row>
    <row r="896" spans="1:32" ht="11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</row>
    <row r="897" spans="1:32" ht="11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</row>
    <row r="898" spans="1:32" ht="11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</row>
    <row r="899" spans="1:32" ht="11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</row>
    <row r="900" spans="1:32" ht="11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</row>
    <row r="901" spans="1:32" ht="11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</row>
    <row r="902" spans="1:32" ht="11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</row>
    <row r="903" spans="1:32" ht="11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</row>
    <row r="904" spans="1:32" ht="11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</row>
    <row r="905" spans="1:32" ht="11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</row>
    <row r="906" spans="1:32" ht="11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</row>
    <row r="907" spans="1:32" ht="11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</row>
    <row r="908" spans="1:32" ht="11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</row>
    <row r="909" spans="1:32" ht="11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</row>
    <row r="910" spans="1:32" ht="11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</row>
    <row r="911" spans="1:32" ht="11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</row>
    <row r="912" spans="1:32" ht="11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</row>
    <row r="913" spans="1:32" ht="11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</row>
    <row r="914" spans="1:32" ht="11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</row>
    <row r="915" spans="1:32" ht="11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</row>
    <row r="916" spans="1:32" ht="11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</row>
    <row r="917" spans="1:32" ht="11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</row>
    <row r="918" spans="1:32" ht="11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</row>
    <row r="919" spans="1:32" ht="11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</row>
    <row r="920" spans="1:32" ht="11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</row>
    <row r="921" spans="1:32" ht="11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</row>
    <row r="922" spans="1:32" ht="11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</row>
    <row r="923" spans="1:32" ht="11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</row>
    <row r="924" spans="1:32" ht="11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</row>
    <row r="925" spans="1:32" ht="11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</row>
    <row r="926" spans="1:32" ht="11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</row>
    <row r="927" spans="1:32" ht="11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</row>
    <row r="928" spans="1:32" ht="11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</row>
    <row r="929" spans="1:32" ht="11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</row>
    <row r="930" spans="1:32" ht="11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</row>
    <row r="931" spans="1:32" ht="11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</row>
    <row r="932" spans="1:32" ht="11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</row>
    <row r="933" spans="1:32" ht="11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</row>
    <row r="934" spans="1:32" ht="11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</row>
    <row r="935" spans="1:32" ht="11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</row>
    <row r="936" spans="1:32" ht="11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</row>
    <row r="937" spans="1:32" ht="11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</row>
    <row r="938" spans="1:32" ht="11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</row>
    <row r="939" spans="1:32" ht="11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</row>
    <row r="940" spans="1:32" ht="11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</row>
    <row r="941" spans="1:32" ht="11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</row>
    <row r="942" spans="1:32" ht="11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</row>
    <row r="943" spans="1:32" ht="11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</row>
    <row r="944" spans="1:32" ht="11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</row>
    <row r="945" spans="1:32" ht="11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</row>
    <row r="946" spans="1:32" ht="11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</row>
    <row r="947" spans="1:32" ht="11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</row>
    <row r="948" spans="1:32" ht="11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</row>
    <row r="949" spans="1:32" ht="11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</row>
    <row r="950" spans="1:32" ht="11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</row>
    <row r="951" spans="1:32" ht="11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</row>
    <row r="952" spans="1:32" ht="11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</row>
    <row r="953" spans="1:32" ht="11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</row>
    <row r="954" spans="1:32" ht="11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</row>
    <row r="955" spans="1:32" ht="11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</row>
    <row r="956" spans="1:32" ht="11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</row>
    <row r="957" spans="1:32" ht="11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</row>
    <row r="958" spans="1:32" ht="11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</row>
    <row r="959" spans="1:32" ht="11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</row>
    <row r="960" spans="1:32" ht="11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</row>
    <row r="961" spans="1:32" ht="11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</row>
    <row r="962" spans="1:32" ht="11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</row>
    <row r="963" spans="1:32" ht="11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</row>
    <row r="964" spans="1:32" ht="11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</row>
    <row r="965" spans="1:32" ht="11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</row>
    <row r="966" spans="1:32" ht="11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</row>
    <row r="967" spans="1:32" ht="11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</row>
    <row r="968" spans="1:32" ht="11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</row>
    <row r="969" spans="1:32" ht="11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</row>
    <row r="970" spans="1:32" ht="11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</row>
    <row r="971" spans="1:32" ht="11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</row>
    <row r="972" spans="1:32" ht="11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</row>
    <row r="973" spans="1:32" ht="11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</row>
    <row r="974" spans="1:32" ht="11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</row>
    <row r="975" spans="1:32" ht="11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</row>
    <row r="976" spans="1:32" ht="11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</row>
    <row r="977" spans="1:32" ht="11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</row>
    <row r="978" spans="1:32" ht="11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</row>
    <row r="979" spans="1:32" ht="11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</row>
    <row r="980" spans="1:32" ht="11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</row>
    <row r="981" spans="1:32" ht="11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</row>
    <row r="982" spans="1:32" ht="11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</row>
    <row r="983" spans="1:32" ht="11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</row>
    <row r="984" spans="1:32" ht="11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</row>
    <row r="985" spans="1:32" ht="11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</row>
    <row r="986" spans="1:32" ht="11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</row>
    <row r="987" spans="1:32" ht="11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</row>
    <row r="988" spans="1:32" ht="11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</row>
    <row r="989" spans="1:32" ht="11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</row>
    <row r="990" spans="1:32" ht="11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</row>
    <row r="991" spans="1:32" ht="11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</row>
    <row r="992" spans="1:32" ht="11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</row>
    <row r="993" spans="1:32" ht="11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</row>
    <row r="994" spans="1:32" ht="11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</row>
    <row r="995" spans="1:32" ht="11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</row>
    <row r="996" spans="1:32" ht="11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</row>
    <row r="997" spans="1:32" ht="11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</row>
  </sheetData>
  <mergeCells count="30">
    <mergeCell ref="O46:P46"/>
    <mergeCell ref="O47:P47"/>
    <mergeCell ref="O32:P32"/>
    <mergeCell ref="O33:P33"/>
    <mergeCell ref="O34:P34"/>
    <mergeCell ref="O35:P35"/>
    <mergeCell ref="B45:D45"/>
    <mergeCell ref="E45:G45"/>
    <mergeCell ref="H45:J45"/>
    <mergeCell ref="K45:M45"/>
    <mergeCell ref="O18:P18"/>
    <mergeCell ref="O19:P19"/>
    <mergeCell ref="O20:P20"/>
    <mergeCell ref="O21:P21"/>
    <mergeCell ref="B31:D31"/>
    <mergeCell ref="E31:G31"/>
    <mergeCell ref="H31:J31"/>
    <mergeCell ref="K31:M31"/>
    <mergeCell ref="O6:P6"/>
    <mergeCell ref="O7:P7"/>
    <mergeCell ref="B17:D17"/>
    <mergeCell ref="E17:G17"/>
    <mergeCell ref="H17:J17"/>
    <mergeCell ref="K17:M17"/>
    <mergeCell ref="B3:D3"/>
    <mergeCell ref="E3:G3"/>
    <mergeCell ref="H3:J3"/>
    <mergeCell ref="K3:M3"/>
    <mergeCell ref="O4:P4"/>
    <mergeCell ref="O5:P5"/>
  </mergeCells>
  <pageMargins left="0.7" right="0.7" top="0.75" bottom="0.75" header="0" footer="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10DFA-7ACE-4646-AEBE-9436DA5BC1DB}">
  <dimension ref="A1:AF997"/>
  <sheetViews>
    <sheetView zoomScale="80" zoomScaleNormal="80" workbookViewId="0"/>
  </sheetViews>
  <sheetFormatPr defaultColWidth="14.44140625" defaultRowHeight="15" customHeight="1"/>
  <cols>
    <col min="1" max="32" width="9" style="4" customWidth="1"/>
    <col min="33" max="16384" width="14.44140625" style="4"/>
  </cols>
  <sheetData>
    <row r="1" spans="1:32" ht="14.2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3"/>
      <c r="AE1" s="3"/>
      <c r="AF1" s="3"/>
    </row>
    <row r="2" spans="1:32" ht="11.25" customHeight="1">
      <c r="A2" s="17" t="s">
        <v>28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2"/>
      <c r="T2" s="3"/>
      <c r="U2" s="3"/>
      <c r="V2" s="3"/>
      <c r="W2" s="2"/>
      <c r="X2" s="2"/>
      <c r="Y2" s="2"/>
      <c r="Z2" s="2"/>
      <c r="AA2" s="2"/>
      <c r="AB2" s="2"/>
      <c r="AC2" s="2"/>
      <c r="AD2" s="2"/>
      <c r="AE2" s="2"/>
      <c r="AF2" s="2"/>
    </row>
    <row r="3" spans="1:32" ht="11.25" customHeight="1">
      <c r="A3" s="6"/>
      <c r="B3" s="26" t="s">
        <v>14</v>
      </c>
      <c r="C3" s="27"/>
      <c r="D3" s="28"/>
      <c r="E3" s="29" t="s">
        <v>8</v>
      </c>
      <c r="F3" s="30"/>
      <c r="G3" s="31"/>
      <c r="H3" s="32" t="s">
        <v>18</v>
      </c>
      <c r="I3" s="33"/>
      <c r="J3" s="34"/>
      <c r="K3" s="35" t="s">
        <v>19</v>
      </c>
      <c r="L3" s="36"/>
      <c r="M3" s="37"/>
      <c r="N3" s="6"/>
      <c r="O3" s="6"/>
      <c r="P3" s="6"/>
      <c r="Q3" s="7" t="s">
        <v>4</v>
      </c>
      <c r="R3" s="8" t="s">
        <v>0</v>
      </c>
      <c r="S3" s="2"/>
      <c r="T3" s="3"/>
      <c r="U3" s="3"/>
      <c r="V3" s="3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ht="11.25" customHeight="1">
      <c r="A4" s="9" t="s">
        <v>5</v>
      </c>
      <c r="B4" s="7" t="s">
        <v>1</v>
      </c>
      <c r="C4" s="7" t="s">
        <v>2</v>
      </c>
      <c r="D4" s="7" t="s">
        <v>3</v>
      </c>
      <c r="E4" s="7" t="s">
        <v>1</v>
      </c>
      <c r="F4" s="7" t="s">
        <v>2</v>
      </c>
      <c r="G4" s="7" t="s">
        <v>3</v>
      </c>
      <c r="H4" s="7" t="s">
        <v>1</v>
      </c>
      <c r="I4" s="7" t="s">
        <v>2</v>
      </c>
      <c r="J4" s="7" t="s">
        <v>3</v>
      </c>
      <c r="K4" s="7" t="s">
        <v>1</v>
      </c>
      <c r="L4" s="7" t="s">
        <v>2</v>
      </c>
      <c r="M4" s="7" t="s">
        <v>3</v>
      </c>
      <c r="N4" s="6"/>
      <c r="O4" s="38" t="s">
        <v>14</v>
      </c>
      <c r="P4" s="39"/>
      <c r="Q4" s="7">
        <f>AVERAGE(D5:D14)</f>
        <v>1.0416666666666666E-2</v>
      </c>
      <c r="R4" s="7">
        <f>STDEV(D5:D14)/SQRT(6)</f>
        <v>8.5051727179971462E-3</v>
      </c>
      <c r="S4" s="2"/>
      <c r="T4" s="3"/>
      <c r="U4" s="3"/>
      <c r="V4" s="3"/>
      <c r="W4" s="2"/>
      <c r="X4" s="2"/>
      <c r="Y4" s="2"/>
      <c r="Z4" s="2"/>
      <c r="AA4" s="2"/>
      <c r="AB4" s="2"/>
      <c r="AC4" s="2"/>
      <c r="AD4" s="2"/>
      <c r="AE4" s="2"/>
      <c r="AF4" s="2"/>
    </row>
    <row r="5" spans="1:32" ht="11.25" customHeight="1">
      <c r="A5" s="7">
        <v>1</v>
      </c>
      <c r="B5" s="7">
        <v>0</v>
      </c>
      <c r="C5" s="7">
        <v>24</v>
      </c>
      <c r="D5" s="7">
        <f t="shared" ref="D5:D8" si="0">B5/C5</f>
        <v>0</v>
      </c>
      <c r="E5" s="7">
        <v>0</v>
      </c>
      <c r="F5" s="7">
        <v>24</v>
      </c>
      <c r="G5" s="7">
        <f t="shared" ref="G5:G8" si="1">E5/F5</f>
        <v>0</v>
      </c>
      <c r="H5" s="18">
        <v>1</v>
      </c>
      <c r="I5" s="7">
        <v>24</v>
      </c>
      <c r="J5" s="7">
        <f t="shared" ref="J5:J8" si="2">H5/I5</f>
        <v>4.1666666666666664E-2</v>
      </c>
      <c r="K5" s="18">
        <v>1</v>
      </c>
      <c r="L5" s="7">
        <v>24</v>
      </c>
      <c r="M5" s="7">
        <f t="shared" ref="M5:M8" si="3">K5/L5</f>
        <v>4.1666666666666664E-2</v>
      </c>
      <c r="N5" s="6"/>
      <c r="O5" s="24" t="s">
        <v>7</v>
      </c>
      <c r="P5" s="25"/>
      <c r="Q5" s="7">
        <f>AVERAGE(G5:G14)</f>
        <v>2.0833333333333332E-2</v>
      </c>
      <c r="R5" s="7">
        <f>STDEV(D6:D15)/SQRT(6)</f>
        <v>9.8209275164798278E-3</v>
      </c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2" ht="11.25" customHeight="1">
      <c r="A6" s="7">
        <v>2</v>
      </c>
      <c r="B6" s="7">
        <v>0</v>
      </c>
      <c r="C6" s="7">
        <v>24</v>
      </c>
      <c r="D6" s="7">
        <f t="shared" si="0"/>
        <v>0</v>
      </c>
      <c r="E6" s="7">
        <v>0</v>
      </c>
      <c r="F6" s="7">
        <v>24</v>
      </c>
      <c r="G6" s="7">
        <f t="shared" si="1"/>
        <v>0</v>
      </c>
      <c r="H6" s="18">
        <v>0</v>
      </c>
      <c r="I6" s="7">
        <v>24</v>
      </c>
      <c r="J6" s="7">
        <f t="shared" si="2"/>
        <v>0</v>
      </c>
      <c r="K6" s="18">
        <v>0</v>
      </c>
      <c r="L6" s="7">
        <v>24</v>
      </c>
      <c r="M6" s="7">
        <f t="shared" si="3"/>
        <v>0</v>
      </c>
      <c r="N6" s="6"/>
      <c r="O6" s="40" t="s">
        <v>18</v>
      </c>
      <c r="P6" s="40"/>
      <c r="Q6" s="7">
        <f>AVERAGE(J5:J14)</f>
        <v>3.125E-2</v>
      </c>
      <c r="R6" s="7">
        <f>STDEV(J5:J14)/SQRT(6)</f>
        <v>1.6286165832720242E-2</v>
      </c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</row>
    <row r="7" spans="1:32" ht="11.25" customHeight="1">
      <c r="A7" s="7">
        <v>3</v>
      </c>
      <c r="B7" s="7">
        <v>0</v>
      </c>
      <c r="C7" s="7">
        <v>24</v>
      </c>
      <c r="D7" s="7">
        <f t="shared" si="0"/>
        <v>0</v>
      </c>
      <c r="E7" s="7">
        <v>1</v>
      </c>
      <c r="F7" s="7">
        <v>24</v>
      </c>
      <c r="G7" s="7">
        <f t="shared" si="1"/>
        <v>4.1666666666666664E-2</v>
      </c>
      <c r="H7" s="18">
        <v>0</v>
      </c>
      <c r="I7" s="7">
        <v>24</v>
      </c>
      <c r="J7" s="7">
        <f t="shared" si="2"/>
        <v>0</v>
      </c>
      <c r="K7" s="18">
        <v>1</v>
      </c>
      <c r="L7" s="7">
        <v>24</v>
      </c>
      <c r="M7" s="7">
        <f t="shared" si="3"/>
        <v>4.1666666666666664E-2</v>
      </c>
      <c r="N7" s="6"/>
      <c r="O7" s="41" t="s">
        <v>19</v>
      </c>
      <c r="P7" s="41"/>
      <c r="Q7" s="7">
        <f>AVERAGE(M5:M14)</f>
        <v>2.0833333333333332E-2</v>
      </c>
      <c r="R7" s="7">
        <f>STDEV(M5:M14)/SQRT(6)</f>
        <v>9.8209275164798278E-3</v>
      </c>
      <c r="S7" s="2"/>
      <c r="T7" s="2"/>
      <c r="U7" s="5" t="s">
        <v>4</v>
      </c>
      <c r="V7" s="2"/>
      <c r="W7" s="2"/>
      <c r="X7" s="2"/>
      <c r="Y7" s="2"/>
      <c r="Z7" s="1" t="s">
        <v>0</v>
      </c>
      <c r="AA7" s="2"/>
      <c r="AB7" s="2"/>
      <c r="AC7" s="2"/>
      <c r="AD7" s="2"/>
      <c r="AE7" s="2"/>
      <c r="AF7" s="2"/>
    </row>
    <row r="8" spans="1:32" ht="11.25" customHeight="1">
      <c r="A8" s="7">
        <v>4</v>
      </c>
      <c r="B8" s="7">
        <v>1</v>
      </c>
      <c r="C8" s="7">
        <v>24</v>
      </c>
      <c r="D8" s="7">
        <f t="shared" si="0"/>
        <v>4.1666666666666664E-2</v>
      </c>
      <c r="E8" s="7">
        <v>1</v>
      </c>
      <c r="F8" s="7">
        <v>24</v>
      </c>
      <c r="G8" s="7">
        <f t="shared" si="1"/>
        <v>4.1666666666666664E-2</v>
      </c>
      <c r="H8" s="18">
        <v>2</v>
      </c>
      <c r="I8" s="7">
        <v>24</v>
      </c>
      <c r="J8" s="7">
        <f t="shared" si="2"/>
        <v>8.3333333333333329E-2</v>
      </c>
      <c r="K8" s="18">
        <v>0</v>
      </c>
      <c r="L8" s="7">
        <v>24</v>
      </c>
      <c r="M8" s="7">
        <f t="shared" si="3"/>
        <v>0</v>
      </c>
      <c r="N8" s="6"/>
      <c r="O8" s="6"/>
      <c r="P8" s="6"/>
      <c r="Q8" s="6"/>
      <c r="R8" s="6"/>
      <c r="S8" s="2"/>
      <c r="T8" s="1"/>
      <c r="U8" s="1">
        <v>10</v>
      </c>
      <c r="V8" s="1">
        <v>50</v>
      </c>
      <c r="W8" s="1">
        <v>100</v>
      </c>
      <c r="X8" s="16">
        <v>500</v>
      </c>
      <c r="Y8" s="1"/>
      <c r="Z8" s="1">
        <v>10</v>
      </c>
      <c r="AA8" s="1">
        <v>50</v>
      </c>
      <c r="AB8" s="1">
        <v>100</v>
      </c>
      <c r="AC8" s="16">
        <v>500</v>
      </c>
      <c r="AD8" s="2"/>
      <c r="AE8" s="2"/>
      <c r="AF8" s="2"/>
    </row>
    <row r="9" spans="1:32" ht="11.25" customHeight="1">
      <c r="A9" s="7">
        <v>5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6"/>
      <c r="O9" s="6"/>
      <c r="P9" s="6"/>
      <c r="Q9" s="6"/>
      <c r="R9" s="6"/>
      <c r="S9" s="2"/>
      <c r="T9" s="21" t="s">
        <v>20</v>
      </c>
      <c r="U9" s="2">
        <f t="shared" ref="U9:U10" si="4">Q4</f>
        <v>1.0416666666666666E-2</v>
      </c>
      <c r="V9" s="2">
        <f t="shared" ref="V9:V12" si="5">Q18</f>
        <v>0.13541666666666666</v>
      </c>
      <c r="W9" s="2">
        <f t="shared" ref="W9:W12" si="6">Q32</f>
        <v>0.36458333333333337</v>
      </c>
      <c r="X9" s="12">
        <f t="shared" ref="X9:X12" si="7">Q46</f>
        <v>0</v>
      </c>
      <c r="Y9" s="2"/>
      <c r="Z9" s="2">
        <f t="shared" ref="Z9:Z12" si="8">R4</f>
        <v>8.5051727179971462E-3</v>
      </c>
      <c r="AA9" s="2">
        <f t="shared" ref="AA9:AA12" si="9">R18</f>
        <v>3.7717987816667423E-2</v>
      </c>
      <c r="AB9" s="2">
        <f t="shared" ref="AB9:AB12" si="10">R32</f>
        <v>5.0794232077527E-2</v>
      </c>
      <c r="AC9" s="12">
        <f t="shared" ref="AC9" si="11">R46</f>
        <v>0</v>
      </c>
      <c r="AD9" s="2"/>
      <c r="AE9" s="2"/>
      <c r="AF9" s="2"/>
    </row>
    <row r="10" spans="1:32" ht="11.25" customHeight="1">
      <c r="A10" s="7">
        <v>6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6"/>
      <c r="O10" s="6"/>
      <c r="P10" s="6"/>
      <c r="Q10" s="6"/>
      <c r="R10" s="6"/>
      <c r="S10" s="2"/>
      <c r="T10" s="22" t="s">
        <v>21</v>
      </c>
      <c r="U10" s="2">
        <f t="shared" si="4"/>
        <v>2.0833333333333332E-2</v>
      </c>
      <c r="V10" s="2">
        <f t="shared" si="5"/>
        <v>0.13541666666666666</v>
      </c>
      <c r="W10" s="2">
        <f t="shared" si="6"/>
        <v>0.36458333333333331</v>
      </c>
      <c r="X10" s="12">
        <f t="shared" si="7"/>
        <v>0</v>
      </c>
      <c r="Y10" s="2"/>
      <c r="Z10" s="2">
        <f t="shared" si="8"/>
        <v>9.8209275164798278E-3</v>
      </c>
      <c r="AA10" s="2">
        <f t="shared" si="9"/>
        <v>2.5983731852596826E-2</v>
      </c>
      <c r="AB10" s="2">
        <f t="shared" si="10"/>
        <v>5.9738369910018324E-2</v>
      </c>
      <c r="AC10" s="12">
        <f>R47</f>
        <v>0</v>
      </c>
      <c r="AD10" s="2"/>
      <c r="AE10" s="2"/>
      <c r="AF10" s="2"/>
    </row>
    <row r="11" spans="1:32" ht="11.25" customHeight="1">
      <c r="A11" s="7">
        <v>7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6"/>
      <c r="O11" s="6"/>
      <c r="P11" s="6"/>
      <c r="Q11" s="6"/>
      <c r="R11" s="6"/>
      <c r="S11" s="2"/>
      <c r="T11" s="20" t="s">
        <v>22</v>
      </c>
      <c r="U11" s="2">
        <f>Q6</f>
        <v>3.125E-2</v>
      </c>
      <c r="V11" s="2">
        <f t="shared" si="5"/>
        <v>0.1875</v>
      </c>
      <c r="W11" s="2">
        <f t="shared" si="6"/>
        <v>0.35416666666666669</v>
      </c>
      <c r="X11" s="12">
        <f t="shared" si="7"/>
        <v>0</v>
      </c>
      <c r="Y11" s="2"/>
      <c r="Z11" s="2">
        <f t="shared" si="8"/>
        <v>1.6286165832720242E-2</v>
      </c>
      <c r="AA11" s="2">
        <f t="shared" si="9"/>
        <v>3.2572331665440497E-2</v>
      </c>
      <c r="AB11" s="2">
        <f t="shared" si="10"/>
        <v>4.5005143738943432E-2</v>
      </c>
      <c r="AC11" s="12">
        <f t="shared" ref="AC11:AC12" si="12">R48</f>
        <v>0</v>
      </c>
      <c r="AD11" s="2"/>
      <c r="AE11" s="2"/>
      <c r="AF11" s="2"/>
    </row>
    <row r="12" spans="1:32" ht="11.25" customHeight="1">
      <c r="A12" s="7">
        <v>8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6"/>
      <c r="O12" s="6"/>
      <c r="P12" s="6"/>
      <c r="Q12" s="6"/>
      <c r="R12" s="6"/>
      <c r="S12" s="2"/>
      <c r="T12" s="23" t="s">
        <v>23</v>
      </c>
      <c r="U12" s="2">
        <f>Q7</f>
        <v>2.0833333333333332E-2</v>
      </c>
      <c r="V12" s="2">
        <f t="shared" si="5"/>
        <v>0.15625</v>
      </c>
      <c r="W12" s="2">
        <f t="shared" si="6"/>
        <v>0.38541666666666663</v>
      </c>
      <c r="X12" s="12">
        <f t="shared" si="7"/>
        <v>0</v>
      </c>
      <c r="Y12" s="2"/>
      <c r="Z12" s="2">
        <f t="shared" si="8"/>
        <v>9.8209275164798278E-3</v>
      </c>
      <c r="AA12" s="2">
        <f t="shared" si="9"/>
        <v>3.7717987816667423E-2</v>
      </c>
      <c r="AB12" s="2">
        <f t="shared" si="10"/>
        <v>4.2525863589985835E-2</v>
      </c>
      <c r="AC12" s="12">
        <f t="shared" si="12"/>
        <v>0</v>
      </c>
      <c r="AD12" s="2"/>
      <c r="AE12" s="2"/>
      <c r="AF12" s="2"/>
    </row>
    <row r="13" spans="1:32" ht="11.25" customHeight="1">
      <c r="A13" s="7">
        <v>9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6"/>
      <c r="O13" s="6"/>
      <c r="P13" s="6"/>
      <c r="Q13" s="6"/>
      <c r="R13" s="6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</row>
    <row r="14" spans="1:32" ht="11.25" customHeight="1">
      <c r="A14" s="7">
        <v>10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6"/>
      <c r="O14" s="6"/>
      <c r="P14" s="6"/>
      <c r="Q14" s="6"/>
      <c r="R14" s="6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</row>
    <row r="15" spans="1:32" ht="11.2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</row>
    <row r="16" spans="1:32" ht="11.25" customHeight="1">
      <c r="A16" s="5" t="s">
        <v>13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1:32" ht="11.25" customHeight="1">
      <c r="A17" s="6"/>
      <c r="B17" s="26" t="s">
        <v>15</v>
      </c>
      <c r="C17" s="27"/>
      <c r="D17" s="28"/>
      <c r="E17" s="29" t="s">
        <v>9</v>
      </c>
      <c r="F17" s="30"/>
      <c r="G17" s="31"/>
      <c r="H17" s="42" t="s">
        <v>15</v>
      </c>
      <c r="I17" s="33"/>
      <c r="J17" s="34"/>
      <c r="K17" s="43" t="s">
        <v>9</v>
      </c>
      <c r="L17" s="36"/>
      <c r="M17" s="37"/>
      <c r="N17" s="6"/>
      <c r="O17" s="6"/>
      <c r="P17" s="6"/>
      <c r="Q17" s="7" t="s">
        <v>4</v>
      </c>
      <c r="R17" s="8" t="s">
        <v>0</v>
      </c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spans="1:32" ht="11.25" customHeight="1">
      <c r="A18" s="9" t="s">
        <v>5</v>
      </c>
      <c r="B18" s="7" t="s">
        <v>1</v>
      </c>
      <c r="C18" s="7" t="s">
        <v>2</v>
      </c>
      <c r="D18" s="7" t="s">
        <v>3</v>
      </c>
      <c r="E18" s="7" t="s">
        <v>1</v>
      </c>
      <c r="F18" s="7" t="s">
        <v>2</v>
      </c>
      <c r="G18" s="7" t="s">
        <v>3</v>
      </c>
      <c r="H18" s="7" t="s">
        <v>1</v>
      </c>
      <c r="I18" s="7" t="s">
        <v>2</v>
      </c>
      <c r="J18" s="7" t="s">
        <v>3</v>
      </c>
      <c r="K18" s="7" t="s">
        <v>1</v>
      </c>
      <c r="L18" s="7" t="s">
        <v>2</v>
      </c>
      <c r="M18" s="7" t="s">
        <v>3</v>
      </c>
      <c r="N18" s="6"/>
      <c r="O18" s="38" t="s">
        <v>14</v>
      </c>
      <c r="P18" s="39"/>
      <c r="Q18" s="7">
        <f>AVERAGE(D19:D28)</f>
        <v>0.13541666666666666</v>
      </c>
      <c r="R18" s="7">
        <f>STDEV(D19:D28)/SQRT(6)</f>
        <v>3.7717987816667423E-2</v>
      </c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spans="1:32" ht="11.25" customHeight="1">
      <c r="A19" s="7">
        <v>1</v>
      </c>
      <c r="B19" s="7">
        <v>6</v>
      </c>
      <c r="C19" s="7">
        <v>24</v>
      </c>
      <c r="D19" s="7">
        <f t="shared" ref="D19:D22" si="13">B19/C19</f>
        <v>0.25</v>
      </c>
      <c r="E19" s="7">
        <v>5</v>
      </c>
      <c r="F19" s="7">
        <v>24</v>
      </c>
      <c r="G19" s="7">
        <f t="shared" ref="G19:G22" si="14">E19/F19</f>
        <v>0.20833333333333334</v>
      </c>
      <c r="H19" s="18">
        <v>6</v>
      </c>
      <c r="I19" s="7">
        <v>24</v>
      </c>
      <c r="J19" s="7">
        <f t="shared" ref="J19:J22" si="15">H19/I19</f>
        <v>0.25</v>
      </c>
      <c r="K19" s="18">
        <v>6</v>
      </c>
      <c r="L19" s="7">
        <v>24</v>
      </c>
      <c r="M19" s="7">
        <f t="shared" ref="M19:M22" si="16">K19/L19</f>
        <v>0.25</v>
      </c>
      <c r="N19" s="6"/>
      <c r="O19" s="44" t="s">
        <v>7</v>
      </c>
      <c r="P19" s="25"/>
      <c r="Q19" s="7">
        <f>AVERAGE(G19:G28)</f>
        <v>0.13541666666666666</v>
      </c>
      <c r="R19" s="7">
        <f>STDEV(D20:D29)/SQRT(6)</f>
        <v>2.5983731852596826E-2</v>
      </c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spans="1:32" ht="11.25" customHeight="1">
      <c r="A20" s="7">
        <v>2</v>
      </c>
      <c r="B20" s="7">
        <v>4</v>
      </c>
      <c r="C20" s="7">
        <v>24</v>
      </c>
      <c r="D20" s="7">
        <f t="shared" si="13"/>
        <v>0.16666666666666666</v>
      </c>
      <c r="E20" s="7">
        <v>5</v>
      </c>
      <c r="F20" s="7">
        <v>24</v>
      </c>
      <c r="G20" s="7">
        <f t="shared" si="14"/>
        <v>0.20833333333333334</v>
      </c>
      <c r="H20" s="18">
        <v>6</v>
      </c>
      <c r="I20" s="7">
        <v>24</v>
      </c>
      <c r="J20" s="7">
        <f t="shared" si="15"/>
        <v>0.25</v>
      </c>
      <c r="K20" s="18">
        <v>5</v>
      </c>
      <c r="L20" s="7">
        <v>24</v>
      </c>
      <c r="M20" s="7">
        <f t="shared" si="16"/>
        <v>0.20833333333333334</v>
      </c>
      <c r="N20" s="6"/>
      <c r="O20" s="40" t="s">
        <v>18</v>
      </c>
      <c r="P20" s="40"/>
      <c r="Q20" s="7">
        <f>AVERAGE(J19:J28)</f>
        <v>0.1875</v>
      </c>
      <c r="R20" s="7">
        <f>STDEV(J19:J28)/SQRT(6)</f>
        <v>3.2572331665440497E-2</v>
      </c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spans="1:32" ht="11.25" customHeight="1">
      <c r="A21" s="7">
        <v>3</v>
      </c>
      <c r="B21" s="7">
        <v>1</v>
      </c>
      <c r="C21" s="7">
        <v>24</v>
      </c>
      <c r="D21" s="7">
        <f t="shared" si="13"/>
        <v>4.1666666666666664E-2</v>
      </c>
      <c r="E21" s="7">
        <v>2</v>
      </c>
      <c r="F21" s="7">
        <v>24</v>
      </c>
      <c r="G21" s="7">
        <f t="shared" si="14"/>
        <v>8.3333333333333329E-2</v>
      </c>
      <c r="H21" s="18">
        <v>4</v>
      </c>
      <c r="I21" s="7">
        <v>24</v>
      </c>
      <c r="J21" s="7">
        <f t="shared" si="15"/>
        <v>0.16666666666666666</v>
      </c>
      <c r="K21" s="18">
        <v>3</v>
      </c>
      <c r="L21" s="7">
        <v>24</v>
      </c>
      <c r="M21" s="7">
        <f t="shared" si="16"/>
        <v>0.125</v>
      </c>
      <c r="N21" s="6"/>
      <c r="O21" s="45" t="s">
        <v>19</v>
      </c>
      <c r="P21" s="45"/>
      <c r="Q21" s="7">
        <f>AVERAGE(M19:M28)</f>
        <v>0.15625</v>
      </c>
      <c r="R21" s="7">
        <f>STDEV(M19:M28)/SQRT(6)</f>
        <v>3.7717987816667423E-2</v>
      </c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spans="1:32" ht="11.25" customHeight="1">
      <c r="A22" s="7">
        <v>4</v>
      </c>
      <c r="B22" s="7">
        <v>2</v>
      </c>
      <c r="C22" s="7">
        <v>24</v>
      </c>
      <c r="D22" s="7">
        <f t="shared" si="13"/>
        <v>8.3333333333333329E-2</v>
      </c>
      <c r="E22" s="7">
        <v>1</v>
      </c>
      <c r="F22" s="7">
        <v>24</v>
      </c>
      <c r="G22" s="7">
        <f t="shared" si="14"/>
        <v>4.1666666666666664E-2</v>
      </c>
      <c r="H22" s="18">
        <v>2</v>
      </c>
      <c r="I22" s="7">
        <v>24</v>
      </c>
      <c r="J22" s="7">
        <f t="shared" si="15"/>
        <v>8.3333333333333329E-2</v>
      </c>
      <c r="K22" s="18">
        <v>1</v>
      </c>
      <c r="L22" s="7">
        <v>24</v>
      </c>
      <c r="M22" s="7">
        <f t="shared" si="16"/>
        <v>4.1666666666666664E-2</v>
      </c>
      <c r="N22" s="6"/>
      <c r="O22" s="6"/>
      <c r="P22" s="6"/>
      <c r="Q22" s="6"/>
      <c r="R22" s="6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spans="1:32" ht="11.25" customHeight="1">
      <c r="A23" s="7">
        <v>5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6"/>
      <c r="O23" s="6"/>
      <c r="P23" s="6"/>
      <c r="Q23" s="6"/>
      <c r="R23" s="6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spans="1:32" ht="11.25" customHeight="1">
      <c r="A24" s="7">
        <v>6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6"/>
      <c r="O24" s="6"/>
      <c r="P24" s="6"/>
      <c r="Q24" s="6"/>
      <c r="R24" s="6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spans="1:32" ht="11.25" customHeight="1">
      <c r="A25" s="7">
        <v>7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6"/>
      <c r="O25" s="6"/>
      <c r="P25" s="6"/>
      <c r="Q25" s="6"/>
      <c r="R25" s="6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 spans="1:32" ht="11.25" customHeight="1">
      <c r="A26" s="7">
        <v>8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6"/>
      <c r="O26" s="6"/>
      <c r="P26" s="6"/>
      <c r="Q26" s="6"/>
      <c r="R26" s="6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spans="1:32" ht="11.25" customHeight="1">
      <c r="A27" s="7">
        <v>9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6"/>
      <c r="O27" s="6"/>
      <c r="P27" s="6"/>
      <c r="Q27" s="6"/>
      <c r="R27" s="6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spans="1:32" ht="11.25" customHeight="1">
      <c r="A28" s="7">
        <v>10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6"/>
      <c r="O28" s="6"/>
      <c r="P28" s="6"/>
      <c r="Q28" s="6"/>
      <c r="R28" s="6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spans="1:32" ht="11.2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spans="1:32" ht="11.25" customHeight="1">
      <c r="A30" s="5" t="s">
        <v>13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</row>
    <row r="31" spans="1:32" ht="11.25" customHeight="1">
      <c r="A31" s="6"/>
      <c r="B31" s="26" t="s">
        <v>16</v>
      </c>
      <c r="C31" s="27"/>
      <c r="D31" s="28"/>
      <c r="E31" s="29" t="s">
        <v>10</v>
      </c>
      <c r="F31" s="30"/>
      <c r="G31" s="31"/>
      <c r="H31" s="42" t="s">
        <v>16</v>
      </c>
      <c r="I31" s="33"/>
      <c r="J31" s="34"/>
      <c r="K31" s="43" t="s">
        <v>10</v>
      </c>
      <c r="L31" s="36"/>
      <c r="M31" s="37"/>
      <c r="N31" s="6"/>
      <c r="O31" s="6"/>
      <c r="P31" s="6"/>
      <c r="Q31" s="7" t="s">
        <v>4</v>
      </c>
      <c r="R31" s="8" t="s">
        <v>0</v>
      </c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2" ht="11.25" customHeight="1">
      <c r="A32" s="9" t="s">
        <v>5</v>
      </c>
      <c r="B32" s="7" t="s">
        <v>1</v>
      </c>
      <c r="C32" s="7" t="s">
        <v>2</v>
      </c>
      <c r="D32" s="7" t="s">
        <v>3</v>
      </c>
      <c r="E32" s="7" t="s">
        <v>1</v>
      </c>
      <c r="F32" s="7" t="s">
        <v>2</v>
      </c>
      <c r="G32" s="7" t="s">
        <v>3</v>
      </c>
      <c r="H32" s="7" t="s">
        <v>1</v>
      </c>
      <c r="I32" s="7" t="s">
        <v>2</v>
      </c>
      <c r="J32" s="7" t="s">
        <v>3</v>
      </c>
      <c r="K32" s="7" t="s">
        <v>1</v>
      </c>
      <c r="L32" s="7" t="s">
        <v>2</v>
      </c>
      <c r="M32" s="7" t="s">
        <v>3</v>
      </c>
      <c r="N32" s="6"/>
      <c r="O32" s="46" t="s">
        <v>14</v>
      </c>
      <c r="P32" s="39"/>
      <c r="Q32" s="7">
        <f>AVERAGE(D33:D42)</f>
        <v>0.36458333333333337</v>
      </c>
      <c r="R32" s="7">
        <f>STDEV(D33:D42)/SQRT(6)</f>
        <v>5.0794232077527E-2</v>
      </c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ht="11.25" customHeight="1">
      <c r="A33" s="7">
        <v>1</v>
      </c>
      <c r="B33" s="49">
        <v>10</v>
      </c>
      <c r="C33" s="7">
        <v>24</v>
      </c>
      <c r="D33" s="7">
        <f t="shared" ref="D33:D36" si="17">B33/C33</f>
        <v>0.41666666666666669</v>
      </c>
      <c r="E33" s="49">
        <v>9</v>
      </c>
      <c r="F33" s="7">
        <v>24</v>
      </c>
      <c r="G33" s="7">
        <f t="shared" ref="G33:G36" si="18">E33/F33</f>
        <v>0.375</v>
      </c>
      <c r="H33" s="19">
        <v>12</v>
      </c>
      <c r="I33" s="7">
        <v>24</v>
      </c>
      <c r="J33" s="7">
        <f t="shared" ref="J33:J36" si="19">H33/I33</f>
        <v>0.5</v>
      </c>
      <c r="K33" s="19">
        <v>13</v>
      </c>
      <c r="L33" s="7">
        <v>24</v>
      </c>
      <c r="M33" s="7">
        <f t="shared" ref="M33:M36" si="20">K33/L33</f>
        <v>0.54166666666666663</v>
      </c>
      <c r="N33" s="6"/>
      <c r="O33" s="44" t="s">
        <v>7</v>
      </c>
      <c r="P33" s="25"/>
      <c r="Q33" s="7">
        <f>AVERAGE(G33:G42)</f>
        <v>0.36458333333333331</v>
      </c>
      <c r="R33" s="7">
        <f>STDEV(D34:D43)/SQRT(6)</f>
        <v>5.9738369910018324E-2</v>
      </c>
      <c r="S33" s="2"/>
      <c r="T33" s="2"/>
      <c r="U33" s="2" t="s">
        <v>17</v>
      </c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ht="11.25" customHeight="1">
      <c r="A34" s="7">
        <v>2</v>
      </c>
      <c r="B34" s="49">
        <v>8</v>
      </c>
      <c r="C34" s="7">
        <v>24</v>
      </c>
      <c r="D34" s="7">
        <f t="shared" si="17"/>
        <v>0.33333333333333331</v>
      </c>
      <c r="E34" s="49">
        <v>7</v>
      </c>
      <c r="F34" s="7">
        <v>24</v>
      </c>
      <c r="G34" s="7">
        <f t="shared" si="18"/>
        <v>0.29166666666666669</v>
      </c>
      <c r="H34" s="19">
        <v>7</v>
      </c>
      <c r="I34" s="7">
        <v>24</v>
      </c>
      <c r="J34" s="7">
        <f t="shared" si="19"/>
        <v>0.29166666666666669</v>
      </c>
      <c r="K34" s="19">
        <v>8</v>
      </c>
      <c r="L34" s="7">
        <v>24</v>
      </c>
      <c r="M34" s="7">
        <f t="shared" si="20"/>
        <v>0.33333333333333331</v>
      </c>
      <c r="N34" s="6"/>
      <c r="O34" s="40" t="s">
        <v>18</v>
      </c>
      <c r="P34" s="40"/>
      <c r="Q34" s="7">
        <f>AVERAGE(J33:J42)</f>
        <v>0.35416666666666669</v>
      </c>
      <c r="R34" s="7">
        <f>STDEV(J33:J42)/SQRT(6)</f>
        <v>4.5005143738943432E-2</v>
      </c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ht="11.25" customHeight="1">
      <c r="A35" s="7">
        <v>3</v>
      </c>
      <c r="B35" s="49">
        <v>5</v>
      </c>
      <c r="C35" s="7">
        <v>24</v>
      </c>
      <c r="D35" s="7">
        <f t="shared" si="17"/>
        <v>0.20833333333333334</v>
      </c>
      <c r="E35" s="49">
        <v>8</v>
      </c>
      <c r="F35" s="7">
        <v>24</v>
      </c>
      <c r="G35" s="7">
        <f t="shared" si="18"/>
        <v>0.33333333333333331</v>
      </c>
      <c r="H35" s="19">
        <v>6</v>
      </c>
      <c r="I35" s="7">
        <v>24</v>
      </c>
      <c r="J35" s="7">
        <f t="shared" si="19"/>
        <v>0.25</v>
      </c>
      <c r="K35" s="19">
        <v>8</v>
      </c>
      <c r="L35" s="7">
        <v>24</v>
      </c>
      <c r="M35" s="7">
        <f t="shared" si="20"/>
        <v>0.33333333333333331</v>
      </c>
      <c r="N35" s="6"/>
      <c r="O35" s="45" t="s">
        <v>19</v>
      </c>
      <c r="P35" s="45"/>
      <c r="Q35" s="7">
        <f>AVERAGE(M33:M42)</f>
        <v>0.38541666666666663</v>
      </c>
      <c r="R35" s="7">
        <f>STDEV(M33:M42)/SQRT(6)</f>
        <v>4.2525863589985835E-2</v>
      </c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1.25" customHeight="1">
      <c r="A36" s="7">
        <v>4</v>
      </c>
      <c r="B36" s="49">
        <v>12</v>
      </c>
      <c r="C36" s="7">
        <v>24</v>
      </c>
      <c r="D36" s="7">
        <f t="shared" si="17"/>
        <v>0.5</v>
      </c>
      <c r="E36" s="49">
        <v>11</v>
      </c>
      <c r="F36" s="7">
        <v>24</v>
      </c>
      <c r="G36" s="7">
        <f t="shared" si="18"/>
        <v>0.45833333333333331</v>
      </c>
      <c r="H36" s="19">
        <v>9</v>
      </c>
      <c r="I36" s="7">
        <v>24</v>
      </c>
      <c r="J36" s="7">
        <f t="shared" si="19"/>
        <v>0.375</v>
      </c>
      <c r="K36" s="19">
        <v>8</v>
      </c>
      <c r="L36" s="7">
        <v>24</v>
      </c>
      <c r="M36" s="7">
        <f t="shared" si="20"/>
        <v>0.33333333333333331</v>
      </c>
      <c r="N36" s="6"/>
      <c r="O36" s="6"/>
      <c r="P36" s="6"/>
      <c r="Q36" s="6"/>
      <c r="R36" s="6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ht="11.25" customHeight="1">
      <c r="A37" s="7">
        <v>5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6"/>
      <c r="O37" s="6"/>
      <c r="P37" s="6"/>
      <c r="Q37" s="6"/>
      <c r="R37" s="6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</row>
    <row r="38" spans="1:32" ht="11.25" customHeight="1">
      <c r="A38" s="7">
        <v>6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6"/>
      <c r="O38" s="6"/>
      <c r="P38" s="6"/>
      <c r="Q38" s="6"/>
      <c r="R38" s="6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</row>
    <row r="39" spans="1:32" ht="11.25" customHeight="1">
      <c r="A39" s="7">
        <v>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6"/>
      <c r="O39" s="6"/>
      <c r="P39" s="6"/>
      <c r="Q39" s="6"/>
      <c r="R39" s="6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</row>
    <row r="40" spans="1:32" ht="11.25" customHeight="1">
      <c r="A40" s="7">
        <v>8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6"/>
      <c r="O40" s="6"/>
      <c r="P40" s="6"/>
      <c r="Q40" s="6"/>
      <c r="R40" s="6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</row>
    <row r="41" spans="1:32" ht="11.25" customHeight="1">
      <c r="A41" s="7">
        <v>9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6"/>
      <c r="O41" s="6"/>
      <c r="P41" s="6"/>
      <c r="Q41" s="6"/>
      <c r="R41" s="6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</row>
    <row r="42" spans="1:32" ht="11.25" customHeight="1">
      <c r="A42" s="7">
        <v>10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6"/>
      <c r="O42" s="6"/>
      <c r="P42" s="6"/>
      <c r="Q42" s="6"/>
      <c r="R42" s="6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 spans="1:32" ht="11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ht="11.25" customHeight="1">
      <c r="A44" s="10" t="s">
        <v>13</v>
      </c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2"/>
      <c r="O44" s="12"/>
      <c r="P44" s="12"/>
      <c r="Q44" s="12"/>
      <c r="R44" s="1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ht="11.25" customHeight="1">
      <c r="A45" s="11"/>
      <c r="B45" s="43" t="s">
        <v>6</v>
      </c>
      <c r="C45" s="36"/>
      <c r="D45" s="37"/>
      <c r="E45" s="43" t="s">
        <v>11</v>
      </c>
      <c r="F45" s="36"/>
      <c r="G45" s="37"/>
      <c r="H45" s="43" t="s">
        <v>6</v>
      </c>
      <c r="I45" s="36"/>
      <c r="J45" s="37"/>
      <c r="K45" s="43" t="s">
        <v>11</v>
      </c>
      <c r="L45" s="36"/>
      <c r="M45" s="37"/>
      <c r="N45" s="12"/>
      <c r="O45" s="11"/>
      <c r="P45" s="11"/>
      <c r="Q45" s="13" t="s">
        <v>4</v>
      </c>
      <c r="R45" s="14" t="s">
        <v>0</v>
      </c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ht="11.25" customHeight="1">
      <c r="A46" s="15" t="s">
        <v>5</v>
      </c>
      <c r="B46" s="13" t="s">
        <v>1</v>
      </c>
      <c r="C46" s="13" t="s">
        <v>2</v>
      </c>
      <c r="D46" s="13" t="s">
        <v>3</v>
      </c>
      <c r="E46" s="13" t="s">
        <v>1</v>
      </c>
      <c r="F46" s="13" t="s">
        <v>2</v>
      </c>
      <c r="G46" s="13" t="s">
        <v>3</v>
      </c>
      <c r="H46" s="13" t="s">
        <v>1</v>
      </c>
      <c r="I46" s="13" t="s">
        <v>2</v>
      </c>
      <c r="J46" s="13" t="s">
        <v>3</v>
      </c>
      <c r="K46" s="13" t="s">
        <v>1</v>
      </c>
      <c r="L46" s="13" t="s">
        <v>2</v>
      </c>
      <c r="M46" s="13" t="s">
        <v>3</v>
      </c>
      <c r="N46" s="12"/>
      <c r="O46" s="43" t="s">
        <v>6</v>
      </c>
      <c r="P46" s="37"/>
      <c r="Q46" s="13">
        <f>AVERAGE(D47:D56)</f>
        <v>0</v>
      </c>
      <c r="R46" s="13">
        <f>STDEV(D47:D56)/SQRT(6)</f>
        <v>0</v>
      </c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ht="11.25" customHeight="1">
      <c r="A47" s="13">
        <v>1</v>
      </c>
      <c r="B47" s="13"/>
      <c r="C47" s="13">
        <v>24</v>
      </c>
      <c r="D47" s="13">
        <f t="shared" ref="D47:D52" si="21">B47/C47</f>
        <v>0</v>
      </c>
      <c r="E47" s="13"/>
      <c r="F47" s="13">
        <v>24</v>
      </c>
      <c r="G47" s="13">
        <f t="shared" ref="G47:G52" si="22">E47/F47</f>
        <v>0</v>
      </c>
      <c r="H47" s="13"/>
      <c r="I47" s="13">
        <v>24</v>
      </c>
      <c r="J47" s="13">
        <f t="shared" ref="J47:J52" si="23">H47/I47</f>
        <v>0</v>
      </c>
      <c r="K47" s="13"/>
      <c r="L47" s="13">
        <v>24</v>
      </c>
      <c r="M47" s="13">
        <f t="shared" ref="M47:M52" si="24">K47/L47</f>
        <v>0</v>
      </c>
      <c r="N47" s="12"/>
      <c r="O47" s="43" t="s">
        <v>12</v>
      </c>
      <c r="P47" s="37"/>
      <c r="Q47" s="13">
        <f>AVERAGE(G47:G56)</f>
        <v>0</v>
      </c>
      <c r="R47" s="13">
        <f>STDEV(D48:D57)/SQRT(6)</f>
        <v>0</v>
      </c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ht="11.25" customHeight="1">
      <c r="A48" s="13">
        <v>2</v>
      </c>
      <c r="B48" s="13"/>
      <c r="C48" s="13">
        <v>24</v>
      </c>
      <c r="D48" s="13">
        <f t="shared" si="21"/>
        <v>0</v>
      </c>
      <c r="E48" s="13"/>
      <c r="F48" s="13">
        <v>24</v>
      </c>
      <c r="G48" s="13">
        <f t="shared" si="22"/>
        <v>0</v>
      </c>
      <c r="H48" s="13"/>
      <c r="I48" s="13">
        <v>24</v>
      </c>
      <c r="J48" s="13">
        <f t="shared" si="23"/>
        <v>0</v>
      </c>
      <c r="K48" s="13"/>
      <c r="L48" s="13">
        <v>24</v>
      </c>
      <c r="M48" s="13">
        <f t="shared" si="24"/>
        <v>0</v>
      </c>
      <c r="N48" s="12"/>
      <c r="O48" s="12"/>
      <c r="P48" s="12"/>
      <c r="Q48" s="13">
        <f>AVERAGE(J47:J56)</f>
        <v>0</v>
      </c>
      <c r="R48" s="13">
        <f>STDEV(J47:J56)/SQRT(6)</f>
        <v>0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ht="11.25" customHeight="1">
      <c r="A49" s="13">
        <v>3</v>
      </c>
      <c r="B49" s="13"/>
      <c r="C49" s="13">
        <v>24</v>
      </c>
      <c r="D49" s="13">
        <f t="shared" si="21"/>
        <v>0</v>
      </c>
      <c r="E49" s="13"/>
      <c r="F49" s="13">
        <v>24</v>
      </c>
      <c r="G49" s="13">
        <f t="shared" si="22"/>
        <v>0</v>
      </c>
      <c r="H49" s="13"/>
      <c r="I49" s="13">
        <v>24</v>
      </c>
      <c r="J49" s="13">
        <f t="shared" si="23"/>
        <v>0</v>
      </c>
      <c r="K49" s="13"/>
      <c r="L49" s="13">
        <v>24</v>
      </c>
      <c r="M49" s="13">
        <f t="shared" si="24"/>
        <v>0</v>
      </c>
      <c r="N49" s="12"/>
      <c r="O49" s="11"/>
      <c r="P49" s="12"/>
      <c r="Q49" s="13">
        <f>AVERAGE(M47:M56)</f>
        <v>0</v>
      </c>
      <c r="R49" s="13">
        <f>STDEV(M47:M56)/SQRT(6)</f>
        <v>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spans="1:32" ht="11.25" customHeight="1">
      <c r="A50" s="13">
        <v>4</v>
      </c>
      <c r="B50" s="13"/>
      <c r="C50" s="13">
        <v>24</v>
      </c>
      <c r="D50" s="13">
        <f t="shared" si="21"/>
        <v>0</v>
      </c>
      <c r="E50" s="13"/>
      <c r="F50" s="13">
        <v>24</v>
      </c>
      <c r="G50" s="13">
        <f t="shared" si="22"/>
        <v>0</v>
      </c>
      <c r="H50" s="13"/>
      <c r="I50" s="13">
        <v>24</v>
      </c>
      <c r="J50" s="13">
        <f t="shared" si="23"/>
        <v>0</v>
      </c>
      <c r="K50" s="13"/>
      <c r="L50" s="13">
        <v>24</v>
      </c>
      <c r="M50" s="13">
        <f t="shared" si="24"/>
        <v>0</v>
      </c>
      <c r="N50" s="12"/>
      <c r="O50" s="12"/>
      <c r="P50" s="12"/>
      <c r="Q50" s="12"/>
      <c r="R50" s="1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</row>
    <row r="51" spans="1:32" ht="11.25" customHeight="1">
      <c r="A51" s="13">
        <v>5</v>
      </c>
      <c r="B51" s="13"/>
      <c r="C51" s="13">
        <v>24</v>
      </c>
      <c r="D51" s="13">
        <f t="shared" si="21"/>
        <v>0</v>
      </c>
      <c r="E51" s="13"/>
      <c r="F51" s="13">
        <v>24</v>
      </c>
      <c r="G51" s="13">
        <f t="shared" si="22"/>
        <v>0</v>
      </c>
      <c r="H51" s="13"/>
      <c r="I51" s="13">
        <v>24</v>
      </c>
      <c r="J51" s="13">
        <f t="shared" si="23"/>
        <v>0</v>
      </c>
      <c r="K51" s="13"/>
      <c r="L51" s="13">
        <v>24</v>
      </c>
      <c r="M51" s="13">
        <f t="shared" si="24"/>
        <v>0</v>
      </c>
      <c r="N51" s="12"/>
      <c r="O51" s="12"/>
      <c r="P51" s="12"/>
      <c r="Q51" s="12"/>
      <c r="R51" s="1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</row>
    <row r="52" spans="1:32" ht="11.25" customHeight="1">
      <c r="A52" s="13">
        <v>6</v>
      </c>
      <c r="B52" s="13"/>
      <c r="C52" s="13">
        <v>24</v>
      </c>
      <c r="D52" s="13">
        <f t="shared" si="21"/>
        <v>0</v>
      </c>
      <c r="E52" s="13"/>
      <c r="F52" s="13">
        <v>24</v>
      </c>
      <c r="G52" s="13">
        <f t="shared" si="22"/>
        <v>0</v>
      </c>
      <c r="H52" s="13"/>
      <c r="I52" s="13">
        <v>24</v>
      </c>
      <c r="J52" s="13">
        <f t="shared" si="23"/>
        <v>0</v>
      </c>
      <c r="K52" s="13"/>
      <c r="L52" s="13">
        <v>24</v>
      </c>
      <c r="M52" s="13">
        <f t="shared" si="24"/>
        <v>0</v>
      </c>
      <c r="N52" s="12"/>
      <c r="O52" s="12"/>
      <c r="P52" s="12"/>
      <c r="Q52" s="12"/>
      <c r="R52" s="1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</row>
    <row r="53" spans="1:32" ht="11.25" customHeight="1">
      <c r="A53" s="13">
        <v>7</v>
      </c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2"/>
      <c r="O53" s="12"/>
      <c r="P53" s="12"/>
      <c r="Q53" s="12"/>
      <c r="R53" s="1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</row>
    <row r="54" spans="1:32" ht="11.25" customHeight="1">
      <c r="A54" s="13">
        <v>8</v>
      </c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2"/>
      <c r="O54" s="12"/>
      <c r="P54" s="12"/>
      <c r="Q54" s="12"/>
      <c r="R54" s="1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</row>
    <row r="55" spans="1:32" ht="11.25" customHeight="1">
      <c r="A55" s="13">
        <v>9</v>
      </c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2"/>
      <c r="O55" s="12"/>
      <c r="P55" s="12"/>
      <c r="Q55" s="12"/>
      <c r="R55" s="1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</row>
    <row r="56" spans="1:32" ht="11.25" customHeight="1">
      <c r="A56" s="13">
        <v>10</v>
      </c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2"/>
      <c r="O56" s="12"/>
      <c r="P56" s="12"/>
      <c r="Q56" s="12"/>
      <c r="R56" s="1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</row>
    <row r="57" spans="1:32" ht="11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</row>
    <row r="58" spans="1:32" ht="11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</row>
    <row r="59" spans="1:32" ht="11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</row>
    <row r="60" spans="1:32" ht="11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</row>
    <row r="61" spans="1:32" ht="11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</row>
    <row r="62" spans="1:32" ht="11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</row>
    <row r="63" spans="1:32" ht="11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</row>
    <row r="64" spans="1:32" ht="11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</row>
    <row r="65" spans="1:32" ht="11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</row>
    <row r="66" spans="1:32" ht="11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</row>
    <row r="67" spans="1:32" ht="11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</row>
    <row r="68" spans="1:32" ht="11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</row>
    <row r="69" spans="1:32" ht="11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</row>
    <row r="70" spans="1:32" ht="11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</row>
    <row r="71" spans="1:32" ht="11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</row>
    <row r="72" spans="1:32" ht="11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</row>
    <row r="73" spans="1:32" ht="11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</row>
    <row r="74" spans="1:32" ht="11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</row>
    <row r="75" spans="1:32" ht="11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</row>
    <row r="76" spans="1:32" ht="11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</row>
    <row r="77" spans="1:32" ht="11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</row>
    <row r="78" spans="1:32" ht="11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</row>
    <row r="79" spans="1:32" ht="11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</row>
    <row r="80" spans="1:32" ht="11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</row>
    <row r="81" spans="1:32" ht="11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</row>
    <row r="82" spans="1:32" ht="11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</row>
    <row r="83" spans="1:32" ht="11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</row>
    <row r="84" spans="1:32" ht="11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</row>
    <row r="85" spans="1:32" ht="11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</row>
    <row r="86" spans="1:32" ht="11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</row>
    <row r="87" spans="1:32" ht="11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</row>
    <row r="88" spans="1:32" ht="11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</row>
    <row r="89" spans="1:32" ht="11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</row>
    <row r="90" spans="1:32" ht="11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</row>
    <row r="91" spans="1:32" ht="11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</row>
    <row r="92" spans="1:32" ht="11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</row>
    <row r="93" spans="1:32" ht="11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</row>
    <row r="94" spans="1:32" ht="11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</row>
    <row r="95" spans="1:32" ht="11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</row>
    <row r="96" spans="1:32" ht="11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</row>
    <row r="97" spans="1:32" ht="11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</row>
    <row r="98" spans="1:32" ht="11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</row>
    <row r="99" spans="1:32" ht="11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</row>
    <row r="100" spans="1:32" ht="11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</row>
    <row r="101" spans="1:32" ht="11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</row>
    <row r="102" spans="1:32" ht="11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</row>
    <row r="103" spans="1:32" ht="11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</row>
    <row r="104" spans="1:32" ht="11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</row>
    <row r="105" spans="1:32" ht="11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</row>
    <row r="106" spans="1:32" ht="11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</row>
    <row r="107" spans="1:32" ht="11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</row>
    <row r="108" spans="1:32" ht="11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</row>
    <row r="109" spans="1:32" ht="11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</row>
    <row r="110" spans="1:32" ht="11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</row>
    <row r="111" spans="1:32" ht="11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</row>
    <row r="112" spans="1:32" ht="11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</row>
    <row r="113" spans="1:32" ht="11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</row>
    <row r="114" spans="1:32" ht="11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</row>
    <row r="115" spans="1:32" ht="11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</row>
    <row r="116" spans="1:32" ht="11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</row>
    <row r="117" spans="1:32" ht="11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</row>
    <row r="118" spans="1:32" ht="11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</row>
    <row r="119" spans="1:32" ht="11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</row>
    <row r="120" spans="1:32" ht="11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</row>
    <row r="121" spans="1:32" ht="11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</row>
    <row r="122" spans="1:32" ht="11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</row>
    <row r="123" spans="1:32" ht="11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</row>
    <row r="124" spans="1:32" ht="11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</row>
    <row r="125" spans="1:32" ht="11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</row>
    <row r="126" spans="1:32" ht="11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</row>
    <row r="127" spans="1:32" ht="11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</row>
    <row r="128" spans="1:32" ht="11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</row>
    <row r="129" spans="1:32" ht="11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</row>
    <row r="130" spans="1:32" ht="11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</row>
    <row r="131" spans="1:32" ht="11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</row>
    <row r="132" spans="1:32" ht="11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</row>
    <row r="133" spans="1:32" ht="11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</row>
    <row r="134" spans="1:32" ht="11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</row>
    <row r="135" spans="1:32" ht="11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</row>
    <row r="136" spans="1:32" ht="11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</row>
    <row r="137" spans="1:32" ht="11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</row>
    <row r="138" spans="1:32" ht="11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</row>
    <row r="139" spans="1:32" ht="11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</row>
    <row r="140" spans="1:32" ht="11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</row>
    <row r="141" spans="1:32" ht="11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</row>
    <row r="142" spans="1:32" ht="11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</row>
    <row r="143" spans="1:32" ht="11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</row>
    <row r="144" spans="1:32" ht="11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</row>
    <row r="145" spans="1:32" ht="11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</row>
    <row r="146" spans="1:32" ht="11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</row>
    <row r="147" spans="1:32" ht="11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</row>
    <row r="148" spans="1:32" ht="11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</row>
    <row r="149" spans="1:32" ht="11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</row>
    <row r="150" spans="1:32" ht="11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</row>
    <row r="151" spans="1:32" ht="11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</row>
    <row r="152" spans="1:32" ht="11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</row>
    <row r="153" spans="1:32" ht="11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</row>
    <row r="154" spans="1:32" ht="11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</row>
    <row r="155" spans="1:32" ht="11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</row>
    <row r="156" spans="1:32" ht="11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</row>
    <row r="157" spans="1:32" ht="11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</row>
    <row r="158" spans="1:32" ht="11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</row>
    <row r="159" spans="1:32" ht="11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</row>
    <row r="160" spans="1:32" ht="11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</row>
    <row r="161" spans="1:32" ht="11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</row>
    <row r="162" spans="1:32" ht="11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</row>
    <row r="163" spans="1:32" ht="11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</row>
    <row r="164" spans="1:32" ht="11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</row>
    <row r="165" spans="1:32" ht="11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</row>
    <row r="166" spans="1:32" ht="11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</row>
    <row r="167" spans="1:32" ht="11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</row>
    <row r="168" spans="1:32" ht="11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</row>
    <row r="169" spans="1:32" ht="11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</row>
    <row r="170" spans="1:32" ht="11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</row>
    <row r="171" spans="1:32" ht="11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</row>
    <row r="172" spans="1:32" ht="11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</row>
    <row r="173" spans="1:32" ht="11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</row>
    <row r="174" spans="1:32" ht="11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</row>
    <row r="175" spans="1:32" ht="11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</row>
    <row r="176" spans="1:32" ht="11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</row>
    <row r="177" spans="1:32" ht="11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</row>
    <row r="178" spans="1:32" ht="11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</row>
    <row r="179" spans="1:32" ht="11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</row>
    <row r="180" spans="1:32" ht="11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</row>
    <row r="181" spans="1:32" ht="11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</row>
    <row r="182" spans="1:32" ht="11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</row>
    <row r="183" spans="1:32" ht="11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</row>
    <row r="184" spans="1:32" ht="11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</row>
    <row r="185" spans="1:32" ht="11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</row>
    <row r="186" spans="1:32" ht="11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</row>
    <row r="187" spans="1:32" ht="11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</row>
    <row r="188" spans="1:32" ht="11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</row>
    <row r="189" spans="1:32" ht="11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</row>
    <row r="190" spans="1:32" ht="11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</row>
    <row r="191" spans="1:32" ht="11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</row>
    <row r="192" spans="1:32" ht="11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</row>
    <row r="193" spans="1:32" ht="11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</row>
    <row r="194" spans="1:32" ht="11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</row>
    <row r="195" spans="1:32" ht="11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</row>
    <row r="196" spans="1:32" ht="11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</row>
    <row r="197" spans="1:32" ht="11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</row>
    <row r="198" spans="1:32" ht="11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</row>
    <row r="199" spans="1:32" ht="11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</row>
    <row r="200" spans="1:32" ht="11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</row>
    <row r="201" spans="1:32" ht="11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</row>
    <row r="202" spans="1:32" ht="11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</row>
    <row r="203" spans="1:32" ht="11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</row>
    <row r="204" spans="1:32" ht="11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</row>
    <row r="205" spans="1:32" ht="11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</row>
    <row r="206" spans="1:32" ht="11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</row>
    <row r="207" spans="1:32" ht="11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</row>
    <row r="208" spans="1:32" ht="11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</row>
    <row r="209" spans="1:32" ht="11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</row>
    <row r="210" spans="1:32" ht="11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</row>
    <row r="211" spans="1:32" ht="11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</row>
    <row r="212" spans="1:32" ht="11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</row>
    <row r="213" spans="1:32" ht="11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</row>
    <row r="214" spans="1:32" ht="11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</row>
    <row r="215" spans="1:32" ht="11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</row>
    <row r="216" spans="1:32" ht="11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</row>
    <row r="217" spans="1:32" ht="11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</row>
    <row r="218" spans="1:32" ht="11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</row>
    <row r="219" spans="1:32" ht="11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</row>
    <row r="220" spans="1:32" ht="11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</row>
    <row r="221" spans="1:32" ht="11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</row>
    <row r="222" spans="1:32" ht="11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</row>
    <row r="223" spans="1:32" ht="11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</row>
    <row r="224" spans="1:32" ht="11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</row>
    <row r="225" spans="1:32" ht="11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</row>
    <row r="226" spans="1:32" ht="11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</row>
    <row r="227" spans="1:32" ht="11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</row>
    <row r="228" spans="1:32" ht="11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</row>
    <row r="229" spans="1:32" ht="11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</row>
    <row r="230" spans="1:32" ht="11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</row>
    <row r="231" spans="1:32" ht="11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</row>
    <row r="232" spans="1:32" ht="11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</row>
    <row r="233" spans="1:32" ht="11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</row>
    <row r="234" spans="1:32" ht="11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</row>
    <row r="235" spans="1:32" ht="11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</row>
    <row r="236" spans="1:32" ht="11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</row>
    <row r="237" spans="1:32" ht="11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</row>
    <row r="238" spans="1:32" ht="11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</row>
    <row r="239" spans="1:32" ht="11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</row>
    <row r="240" spans="1:32" ht="11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</row>
    <row r="241" spans="1:32" ht="11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</row>
    <row r="242" spans="1:32" ht="11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</row>
    <row r="243" spans="1:32" ht="11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</row>
    <row r="244" spans="1:32" ht="11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</row>
    <row r="245" spans="1:32" ht="11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</row>
    <row r="246" spans="1:32" ht="11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</row>
    <row r="247" spans="1:32" ht="11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</row>
    <row r="248" spans="1:32" ht="11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</row>
    <row r="249" spans="1:32" ht="11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</row>
    <row r="250" spans="1:32" ht="11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</row>
    <row r="251" spans="1:32" ht="11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</row>
    <row r="252" spans="1:32" ht="11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</row>
    <row r="253" spans="1:32" ht="11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</row>
    <row r="254" spans="1:32" ht="11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</row>
    <row r="255" spans="1:32" ht="11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</row>
    <row r="256" spans="1:32" ht="11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</row>
    <row r="257" spans="1:32" ht="11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</row>
    <row r="258" spans="1:32" ht="11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</row>
    <row r="259" spans="1:32" ht="11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</row>
    <row r="260" spans="1:32" ht="11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</row>
    <row r="261" spans="1:32" ht="11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</row>
    <row r="262" spans="1:32" ht="11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</row>
    <row r="263" spans="1:32" ht="11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</row>
    <row r="264" spans="1:32" ht="11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</row>
    <row r="265" spans="1:32" ht="11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</row>
    <row r="266" spans="1:32" ht="11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</row>
    <row r="267" spans="1:32" ht="11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</row>
    <row r="268" spans="1:32" ht="11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</row>
    <row r="269" spans="1:32" ht="11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</row>
    <row r="270" spans="1:32" ht="11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</row>
    <row r="271" spans="1:32" ht="11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</row>
    <row r="272" spans="1:32" ht="11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</row>
    <row r="273" spans="1:32" ht="11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</row>
    <row r="274" spans="1:32" ht="11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</row>
    <row r="275" spans="1:32" ht="11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</row>
    <row r="276" spans="1:32" ht="11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</row>
    <row r="277" spans="1:32" ht="11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</row>
    <row r="278" spans="1:32" ht="11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</row>
    <row r="279" spans="1:32" ht="11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</row>
    <row r="280" spans="1:32" ht="11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</row>
    <row r="281" spans="1:32" ht="11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</row>
    <row r="282" spans="1:32" ht="11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</row>
    <row r="283" spans="1:32" ht="11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</row>
    <row r="284" spans="1:32" ht="11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</row>
    <row r="285" spans="1:32" ht="11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</row>
    <row r="286" spans="1:32" ht="11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</row>
    <row r="287" spans="1:32" ht="11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</row>
    <row r="288" spans="1:32" ht="11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</row>
    <row r="289" spans="1:32" ht="11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</row>
    <row r="290" spans="1:32" ht="11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</row>
    <row r="291" spans="1:32" ht="11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</row>
    <row r="292" spans="1:32" ht="11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</row>
    <row r="293" spans="1:32" ht="11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</row>
    <row r="294" spans="1:32" ht="11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  <row r="295" spans="1:32" ht="11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</row>
    <row r="296" spans="1:32" ht="11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</row>
    <row r="297" spans="1:32" ht="11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</row>
    <row r="298" spans="1:32" ht="11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</row>
    <row r="299" spans="1:32" ht="11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</row>
    <row r="300" spans="1:32" ht="11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</row>
    <row r="301" spans="1:32" ht="11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</row>
    <row r="302" spans="1:32" ht="11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</row>
    <row r="303" spans="1:32" ht="11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</row>
    <row r="304" spans="1:32" ht="11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</row>
    <row r="305" spans="1:32" ht="11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</row>
    <row r="306" spans="1:32" ht="11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</row>
    <row r="307" spans="1:32" ht="11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</row>
    <row r="308" spans="1:32" ht="11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</row>
    <row r="309" spans="1:32" ht="11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</row>
    <row r="310" spans="1:32" ht="11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</row>
    <row r="311" spans="1:32" ht="11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</row>
    <row r="312" spans="1:32" ht="11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</row>
    <row r="313" spans="1:32" ht="11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</row>
    <row r="314" spans="1:32" ht="11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</row>
    <row r="315" spans="1:32" ht="11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</row>
    <row r="316" spans="1:32" ht="11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</row>
    <row r="317" spans="1:32" ht="11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</row>
    <row r="318" spans="1:32" ht="11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</row>
    <row r="319" spans="1:32" ht="11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</row>
    <row r="320" spans="1:32" ht="11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</row>
    <row r="321" spans="1:32" ht="11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</row>
    <row r="322" spans="1:32" ht="11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</row>
    <row r="323" spans="1:32" ht="11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</row>
    <row r="324" spans="1:32" ht="11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</row>
    <row r="325" spans="1:32" ht="11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</row>
    <row r="326" spans="1:32" ht="11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</row>
    <row r="327" spans="1:32" ht="11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</row>
    <row r="328" spans="1:32" ht="11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</row>
    <row r="329" spans="1:32" ht="11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</row>
    <row r="330" spans="1:32" ht="11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</row>
    <row r="331" spans="1:32" ht="11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</row>
    <row r="332" spans="1:32" ht="11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</row>
    <row r="333" spans="1:32" ht="11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</row>
    <row r="334" spans="1:32" ht="11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</row>
    <row r="335" spans="1:32" ht="11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</row>
    <row r="336" spans="1:32" ht="11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</row>
    <row r="337" spans="1:32" ht="11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</row>
    <row r="338" spans="1:32" ht="11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</row>
    <row r="339" spans="1:32" ht="11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</row>
    <row r="340" spans="1:32" ht="11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</row>
    <row r="341" spans="1:32" ht="11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</row>
    <row r="342" spans="1:32" ht="11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</row>
    <row r="343" spans="1:32" ht="11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</row>
    <row r="344" spans="1:32" ht="11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</row>
    <row r="345" spans="1:32" ht="11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</row>
    <row r="346" spans="1:32" ht="11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</row>
    <row r="347" spans="1:32" ht="11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</row>
    <row r="348" spans="1:32" ht="11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</row>
    <row r="349" spans="1:32" ht="11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</row>
    <row r="350" spans="1:32" ht="11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</row>
    <row r="351" spans="1:32" ht="11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</row>
    <row r="352" spans="1:32" ht="11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</row>
    <row r="353" spans="1:32" ht="11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</row>
    <row r="354" spans="1:32" ht="11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</row>
    <row r="355" spans="1:32" ht="11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</row>
    <row r="356" spans="1:32" ht="11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</row>
    <row r="357" spans="1:32" ht="11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</row>
    <row r="358" spans="1:32" ht="11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</row>
    <row r="359" spans="1:32" ht="11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</row>
    <row r="360" spans="1:32" ht="11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</row>
    <row r="361" spans="1:32" ht="11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</row>
    <row r="362" spans="1:32" ht="11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</row>
    <row r="363" spans="1:32" ht="11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</row>
    <row r="364" spans="1:32" ht="11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</row>
    <row r="365" spans="1:32" ht="11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</row>
    <row r="366" spans="1:32" ht="11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</row>
    <row r="367" spans="1:32" ht="11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</row>
    <row r="368" spans="1:32" ht="11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</row>
    <row r="369" spans="1:32" ht="11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</row>
    <row r="370" spans="1:32" ht="11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</row>
    <row r="371" spans="1:32" ht="11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</row>
    <row r="372" spans="1:32" ht="11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</row>
    <row r="373" spans="1:32" ht="11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</row>
    <row r="374" spans="1:32" ht="11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</row>
    <row r="375" spans="1:32" ht="11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</row>
    <row r="376" spans="1:32" ht="11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</row>
    <row r="377" spans="1:32" ht="11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</row>
    <row r="378" spans="1:32" ht="11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</row>
    <row r="379" spans="1:32" ht="11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</row>
    <row r="380" spans="1:32" ht="11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</row>
    <row r="381" spans="1:32" ht="11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</row>
    <row r="382" spans="1:32" ht="11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</row>
    <row r="383" spans="1:32" ht="11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</row>
    <row r="384" spans="1:32" ht="11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</row>
    <row r="385" spans="1:32" ht="11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</row>
    <row r="386" spans="1:32" ht="11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</row>
    <row r="387" spans="1:32" ht="11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</row>
    <row r="388" spans="1:32" ht="11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</row>
    <row r="389" spans="1:32" ht="11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</row>
    <row r="390" spans="1:32" ht="11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</row>
    <row r="391" spans="1:32" ht="11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</row>
    <row r="392" spans="1:32" ht="11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</row>
    <row r="393" spans="1:32" ht="11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</row>
    <row r="394" spans="1:32" ht="11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</row>
    <row r="395" spans="1:32" ht="11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</row>
    <row r="396" spans="1:32" ht="11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</row>
    <row r="397" spans="1:32" ht="11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</row>
    <row r="398" spans="1:32" ht="11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</row>
    <row r="399" spans="1:32" ht="11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</row>
    <row r="400" spans="1:32" ht="11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</row>
    <row r="401" spans="1:32" ht="11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</row>
    <row r="402" spans="1:32" ht="11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</row>
    <row r="403" spans="1:32" ht="11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</row>
    <row r="404" spans="1:32" ht="11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</row>
    <row r="405" spans="1:32" ht="11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</row>
    <row r="406" spans="1:32" ht="11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</row>
    <row r="407" spans="1:32" ht="11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</row>
    <row r="408" spans="1:32" ht="11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</row>
    <row r="409" spans="1:32" ht="11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</row>
    <row r="410" spans="1:32" ht="11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</row>
    <row r="411" spans="1:32" ht="11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</row>
    <row r="412" spans="1:32" ht="11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</row>
    <row r="413" spans="1:32" ht="11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</row>
    <row r="414" spans="1:32" ht="11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</row>
    <row r="415" spans="1:32" ht="11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</row>
    <row r="416" spans="1:32" ht="11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</row>
    <row r="417" spans="1:32" ht="11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</row>
    <row r="418" spans="1:32" ht="11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</row>
    <row r="419" spans="1:32" ht="11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</row>
    <row r="420" spans="1:32" ht="11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</row>
    <row r="421" spans="1:32" ht="11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</row>
    <row r="422" spans="1:32" ht="11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</row>
    <row r="423" spans="1:32" ht="11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</row>
    <row r="424" spans="1:32" ht="11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</row>
    <row r="425" spans="1:32" ht="11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</row>
    <row r="426" spans="1:32" ht="11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</row>
    <row r="427" spans="1:32" ht="11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</row>
    <row r="428" spans="1:32" ht="11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</row>
    <row r="429" spans="1:32" ht="11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</row>
    <row r="430" spans="1:32" ht="11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</row>
    <row r="431" spans="1:32" ht="11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</row>
    <row r="432" spans="1:32" ht="11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</row>
    <row r="433" spans="1:32" ht="11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</row>
    <row r="434" spans="1:32" ht="11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</row>
    <row r="435" spans="1:32" ht="11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</row>
    <row r="436" spans="1:32" ht="11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</row>
    <row r="437" spans="1:32" ht="11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</row>
    <row r="438" spans="1:32" ht="11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</row>
    <row r="439" spans="1:32" ht="11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</row>
    <row r="440" spans="1:32" ht="11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</row>
    <row r="441" spans="1:32" ht="11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</row>
    <row r="442" spans="1:32" ht="11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</row>
    <row r="443" spans="1:32" ht="11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</row>
    <row r="444" spans="1:32" ht="11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</row>
    <row r="445" spans="1:32" ht="11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</row>
    <row r="446" spans="1:32" ht="11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</row>
    <row r="447" spans="1:32" ht="11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</row>
    <row r="448" spans="1:32" ht="11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</row>
    <row r="449" spans="1:32" ht="11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</row>
    <row r="450" spans="1:32" ht="11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</row>
    <row r="451" spans="1:32" ht="11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</row>
    <row r="452" spans="1:32" ht="11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</row>
    <row r="453" spans="1:32" ht="11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</row>
    <row r="454" spans="1:32" ht="11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</row>
    <row r="455" spans="1:32" ht="11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</row>
    <row r="456" spans="1:32" ht="11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</row>
    <row r="457" spans="1:32" ht="11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</row>
    <row r="458" spans="1:32" ht="11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</row>
    <row r="459" spans="1:32" ht="11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</row>
    <row r="460" spans="1:32" ht="11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</row>
    <row r="461" spans="1:32" ht="11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</row>
    <row r="462" spans="1:32" ht="11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</row>
    <row r="463" spans="1:32" ht="11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</row>
    <row r="464" spans="1:32" ht="11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</row>
    <row r="465" spans="1:32" ht="11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</row>
    <row r="466" spans="1:32" ht="11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</row>
    <row r="467" spans="1:32" ht="11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</row>
    <row r="468" spans="1:32" ht="11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</row>
    <row r="469" spans="1:32" ht="11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</row>
    <row r="470" spans="1:32" ht="11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</row>
    <row r="471" spans="1:32" ht="11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</row>
    <row r="472" spans="1:32" ht="11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</row>
    <row r="473" spans="1:32" ht="11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</row>
    <row r="474" spans="1:32" ht="11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</row>
    <row r="475" spans="1:32" ht="11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</row>
    <row r="476" spans="1:32" ht="11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</row>
    <row r="477" spans="1:32" ht="11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</row>
    <row r="478" spans="1:32" ht="11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</row>
    <row r="479" spans="1:32" ht="11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</row>
    <row r="480" spans="1:32" ht="11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</row>
    <row r="481" spans="1:32" ht="11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</row>
    <row r="482" spans="1:32" ht="11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</row>
    <row r="483" spans="1:32" ht="11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</row>
    <row r="484" spans="1:32" ht="11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</row>
    <row r="485" spans="1:32" ht="11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</row>
    <row r="486" spans="1:32" ht="11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</row>
    <row r="487" spans="1:32" ht="11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</row>
    <row r="488" spans="1:32" ht="11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</row>
    <row r="489" spans="1:32" ht="11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</row>
    <row r="490" spans="1:32" ht="11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</row>
    <row r="491" spans="1:32" ht="11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</row>
    <row r="492" spans="1:32" ht="11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</row>
    <row r="493" spans="1:32" ht="11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</row>
    <row r="494" spans="1:32" ht="11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</row>
    <row r="495" spans="1:32" ht="11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</row>
    <row r="496" spans="1:32" ht="11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</row>
    <row r="497" spans="1:32" ht="11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</row>
    <row r="498" spans="1:32" ht="11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</row>
    <row r="499" spans="1:32" ht="11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</row>
    <row r="500" spans="1:32" ht="11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</row>
    <row r="501" spans="1:32" ht="11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</row>
    <row r="502" spans="1:32" ht="11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</row>
    <row r="503" spans="1:32" ht="11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</row>
    <row r="504" spans="1:32" ht="11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</row>
    <row r="505" spans="1:32" ht="11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</row>
    <row r="506" spans="1:32" ht="11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</row>
    <row r="507" spans="1:32" ht="11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</row>
    <row r="508" spans="1:32" ht="11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</row>
    <row r="509" spans="1:32" ht="11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</row>
    <row r="510" spans="1:32" ht="11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</row>
    <row r="511" spans="1:32" ht="11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</row>
    <row r="512" spans="1:32" ht="11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</row>
    <row r="513" spans="1:32" ht="11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</row>
    <row r="514" spans="1:32" ht="11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</row>
    <row r="515" spans="1:32" ht="11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</row>
    <row r="516" spans="1:32" ht="11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</row>
    <row r="517" spans="1:32" ht="11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</row>
    <row r="518" spans="1:32" ht="11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</row>
    <row r="519" spans="1:32" ht="11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</row>
    <row r="520" spans="1:32" ht="11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</row>
    <row r="521" spans="1:32" ht="11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</row>
    <row r="522" spans="1:32" ht="11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</row>
    <row r="523" spans="1:32" ht="11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</row>
    <row r="524" spans="1:32" ht="11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</row>
    <row r="525" spans="1:32" ht="11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</row>
    <row r="526" spans="1:32" ht="11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</row>
    <row r="527" spans="1:32" ht="11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</row>
    <row r="528" spans="1:32" ht="11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</row>
    <row r="529" spans="1:32" ht="11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</row>
    <row r="530" spans="1:32" ht="11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</row>
    <row r="531" spans="1:32" ht="11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</row>
    <row r="532" spans="1:32" ht="11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</row>
    <row r="533" spans="1:32" ht="11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</row>
    <row r="534" spans="1:32" ht="11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</row>
    <row r="535" spans="1:32" ht="11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</row>
    <row r="536" spans="1:32" ht="11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</row>
    <row r="537" spans="1:32" ht="11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</row>
    <row r="538" spans="1:32" ht="11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</row>
    <row r="539" spans="1:32" ht="11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</row>
    <row r="540" spans="1:32" ht="11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</row>
    <row r="541" spans="1:32" ht="11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</row>
    <row r="542" spans="1:32" ht="11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</row>
    <row r="543" spans="1:32" ht="11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</row>
    <row r="544" spans="1:32" ht="11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</row>
    <row r="545" spans="1:32" ht="11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</row>
    <row r="546" spans="1:32" ht="11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</row>
    <row r="547" spans="1:32" ht="11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</row>
    <row r="548" spans="1:32" ht="11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</row>
    <row r="549" spans="1:32" ht="11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</row>
    <row r="550" spans="1:32" ht="11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</row>
    <row r="551" spans="1:32" ht="11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</row>
    <row r="552" spans="1:32" ht="11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</row>
    <row r="553" spans="1:32" ht="11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</row>
    <row r="554" spans="1:32" ht="11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</row>
    <row r="555" spans="1:32" ht="11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</row>
    <row r="556" spans="1:32" ht="11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</row>
    <row r="557" spans="1:32" ht="11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</row>
    <row r="558" spans="1:32" ht="11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</row>
    <row r="559" spans="1:32" ht="11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</row>
    <row r="560" spans="1:32" ht="11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</row>
    <row r="561" spans="1:32" ht="11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</row>
    <row r="562" spans="1:32" ht="11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</row>
    <row r="563" spans="1:32" ht="11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</row>
    <row r="564" spans="1:32" ht="11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</row>
    <row r="565" spans="1:32" ht="11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</row>
    <row r="566" spans="1:32" ht="11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</row>
    <row r="567" spans="1:32" ht="11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</row>
    <row r="568" spans="1:32" ht="11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</row>
    <row r="569" spans="1:32" ht="11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</row>
    <row r="570" spans="1:32" ht="11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</row>
    <row r="571" spans="1:32" ht="11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</row>
    <row r="572" spans="1:32" ht="11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</row>
    <row r="573" spans="1:32" ht="11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</row>
    <row r="574" spans="1:32" ht="11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</row>
    <row r="575" spans="1:32" ht="11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</row>
    <row r="576" spans="1:32" ht="11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</row>
    <row r="577" spans="1:32" ht="11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</row>
    <row r="578" spans="1:32" ht="11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</row>
    <row r="579" spans="1:32" ht="11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</row>
    <row r="580" spans="1:32" ht="11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</row>
    <row r="581" spans="1:32" ht="11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</row>
    <row r="582" spans="1:32" ht="11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</row>
    <row r="583" spans="1:32" ht="11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</row>
    <row r="584" spans="1:32" ht="11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</row>
    <row r="585" spans="1:32" ht="11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</row>
    <row r="586" spans="1:32" ht="11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</row>
    <row r="587" spans="1:32" ht="11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</row>
    <row r="588" spans="1:32" ht="11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</row>
    <row r="589" spans="1:32" ht="11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</row>
    <row r="590" spans="1:32" ht="11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</row>
    <row r="591" spans="1:32" ht="11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</row>
    <row r="592" spans="1:32" ht="11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</row>
    <row r="593" spans="1:32" ht="11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</row>
    <row r="594" spans="1:32" ht="11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</row>
    <row r="595" spans="1:32" ht="11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</row>
    <row r="596" spans="1:32" ht="11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</row>
    <row r="597" spans="1:32" ht="11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</row>
    <row r="598" spans="1:32" ht="11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</row>
    <row r="599" spans="1:32" ht="11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</row>
    <row r="600" spans="1:32" ht="11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</row>
    <row r="601" spans="1:32" ht="11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</row>
    <row r="602" spans="1:32" ht="11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</row>
    <row r="603" spans="1:32" ht="11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</row>
    <row r="604" spans="1:32" ht="11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</row>
    <row r="605" spans="1:32" ht="11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</row>
    <row r="606" spans="1:32" ht="11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</row>
    <row r="607" spans="1:32" ht="11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</row>
    <row r="608" spans="1:32" ht="11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</row>
    <row r="609" spans="1:32" ht="11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</row>
    <row r="610" spans="1:32" ht="11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</row>
    <row r="611" spans="1:32" ht="11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</row>
    <row r="612" spans="1:32" ht="11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</row>
    <row r="613" spans="1:32" ht="11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</row>
    <row r="614" spans="1:32" ht="11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</row>
    <row r="615" spans="1:32" ht="11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</row>
    <row r="616" spans="1:32" ht="11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</row>
    <row r="617" spans="1:32" ht="11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</row>
    <row r="618" spans="1:32" ht="11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</row>
    <row r="619" spans="1:32" ht="11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</row>
    <row r="620" spans="1:32" ht="11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</row>
    <row r="621" spans="1:32" ht="11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</row>
    <row r="622" spans="1:32" ht="11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</row>
    <row r="623" spans="1:32" ht="11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</row>
    <row r="624" spans="1:32" ht="11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</row>
    <row r="625" spans="1:32" ht="11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</row>
    <row r="626" spans="1:32" ht="11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</row>
    <row r="627" spans="1:32" ht="11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</row>
    <row r="628" spans="1:32" ht="11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</row>
    <row r="629" spans="1:32" ht="11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</row>
    <row r="630" spans="1:32" ht="11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</row>
    <row r="631" spans="1:32" ht="11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</row>
    <row r="632" spans="1:32" ht="11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</row>
    <row r="633" spans="1:32" ht="11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</row>
    <row r="634" spans="1:32" ht="11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</row>
    <row r="635" spans="1:32" ht="11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</row>
    <row r="636" spans="1:32" ht="11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</row>
    <row r="637" spans="1:32" ht="11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</row>
    <row r="638" spans="1:32" ht="11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</row>
    <row r="639" spans="1:32" ht="11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</row>
    <row r="640" spans="1:32" ht="11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</row>
    <row r="641" spans="1:32" ht="11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</row>
    <row r="642" spans="1:32" ht="11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</row>
    <row r="643" spans="1:32" ht="11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</row>
    <row r="644" spans="1:32" ht="11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</row>
    <row r="645" spans="1:32" ht="11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</row>
    <row r="646" spans="1:32" ht="11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</row>
    <row r="647" spans="1:32" ht="11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</row>
    <row r="648" spans="1:32" ht="11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</row>
    <row r="649" spans="1:32" ht="11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</row>
    <row r="650" spans="1:32" ht="11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</row>
    <row r="651" spans="1:32" ht="11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</row>
    <row r="652" spans="1:32" ht="11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</row>
    <row r="653" spans="1:32" ht="11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</row>
    <row r="654" spans="1:32" ht="11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</row>
    <row r="655" spans="1:32" ht="11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</row>
    <row r="656" spans="1:32" ht="11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</row>
    <row r="657" spans="1:32" ht="11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</row>
    <row r="658" spans="1:32" ht="11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</row>
    <row r="659" spans="1:32" ht="11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</row>
    <row r="660" spans="1:32" ht="11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</row>
    <row r="661" spans="1:32" ht="11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</row>
    <row r="662" spans="1:32" ht="11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</row>
    <row r="663" spans="1:32" ht="11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</row>
    <row r="664" spans="1:32" ht="11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</row>
    <row r="665" spans="1:32" ht="11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</row>
    <row r="666" spans="1:32" ht="11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</row>
    <row r="667" spans="1:32" ht="11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</row>
    <row r="668" spans="1:32" ht="11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</row>
    <row r="669" spans="1:32" ht="11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</row>
    <row r="670" spans="1:32" ht="11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</row>
    <row r="671" spans="1:32" ht="11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</row>
    <row r="672" spans="1:32" ht="11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</row>
    <row r="673" spans="1:32" ht="11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</row>
    <row r="674" spans="1:32" ht="11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</row>
    <row r="675" spans="1:32" ht="11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</row>
    <row r="676" spans="1:32" ht="11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</row>
    <row r="677" spans="1:32" ht="11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</row>
    <row r="678" spans="1:32" ht="11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</row>
    <row r="679" spans="1:32" ht="11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</row>
    <row r="680" spans="1:32" ht="11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</row>
    <row r="681" spans="1:32" ht="11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</row>
    <row r="682" spans="1:32" ht="11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</row>
    <row r="683" spans="1:32" ht="11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</row>
    <row r="684" spans="1:32" ht="11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</row>
    <row r="685" spans="1:32" ht="11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</row>
    <row r="686" spans="1:32" ht="11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</row>
    <row r="687" spans="1:32" ht="11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</row>
    <row r="688" spans="1:32" ht="11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</row>
    <row r="689" spans="1:32" ht="11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</row>
    <row r="690" spans="1:32" ht="11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</row>
    <row r="691" spans="1:32" ht="11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</row>
    <row r="692" spans="1:32" ht="11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</row>
    <row r="693" spans="1:32" ht="11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</row>
    <row r="694" spans="1:32" ht="11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</row>
    <row r="695" spans="1:32" ht="11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</row>
    <row r="696" spans="1:32" ht="11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</row>
    <row r="697" spans="1:32" ht="11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</row>
    <row r="698" spans="1:32" ht="11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</row>
    <row r="699" spans="1:32" ht="11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</row>
    <row r="700" spans="1:32" ht="11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</row>
    <row r="701" spans="1:32" ht="11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</row>
    <row r="702" spans="1:32" ht="11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</row>
    <row r="703" spans="1:32" ht="11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</row>
    <row r="704" spans="1:32" ht="11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</row>
    <row r="705" spans="1:32" ht="11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</row>
    <row r="706" spans="1:32" ht="11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</row>
    <row r="707" spans="1:32" ht="11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</row>
    <row r="708" spans="1:32" ht="11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</row>
    <row r="709" spans="1:32" ht="11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</row>
    <row r="710" spans="1:32" ht="11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</row>
    <row r="711" spans="1:32" ht="11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</row>
    <row r="712" spans="1:32" ht="11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</row>
    <row r="713" spans="1:32" ht="11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</row>
    <row r="714" spans="1:32" ht="11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</row>
    <row r="715" spans="1:32" ht="11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</row>
    <row r="716" spans="1:32" ht="11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</row>
    <row r="717" spans="1:32" ht="11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</row>
    <row r="718" spans="1:32" ht="11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</row>
    <row r="719" spans="1:32" ht="11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</row>
    <row r="720" spans="1:32" ht="11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</row>
    <row r="721" spans="1:32" ht="11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</row>
    <row r="722" spans="1:32" ht="11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</row>
    <row r="723" spans="1:32" ht="11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</row>
    <row r="724" spans="1:32" ht="11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</row>
    <row r="725" spans="1:32" ht="11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</row>
    <row r="726" spans="1:32" ht="11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</row>
    <row r="727" spans="1:32" ht="11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</row>
    <row r="728" spans="1:32" ht="11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</row>
    <row r="729" spans="1:32" ht="11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</row>
    <row r="730" spans="1:32" ht="11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</row>
    <row r="731" spans="1:32" ht="11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</row>
    <row r="732" spans="1:32" ht="11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</row>
    <row r="733" spans="1:32" ht="11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</row>
    <row r="734" spans="1:32" ht="11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</row>
    <row r="735" spans="1:32" ht="11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</row>
    <row r="736" spans="1:32" ht="11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</row>
    <row r="737" spans="1:32" ht="11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</row>
    <row r="738" spans="1:32" ht="11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</row>
    <row r="739" spans="1:32" ht="11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</row>
    <row r="740" spans="1:32" ht="11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</row>
    <row r="741" spans="1:32" ht="11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</row>
    <row r="742" spans="1:32" ht="11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</row>
    <row r="743" spans="1:32" ht="11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</row>
    <row r="744" spans="1:32" ht="11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</row>
    <row r="745" spans="1:32" ht="11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</row>
    <row r="746" spans="1:32" ht="11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</row>
    <row r="747" spans="1:32" ht="11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</row>
    <row r="748" spans="1:32" ht="11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</row>
    <row r="749" spans="1:32" ht="11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</row>
    <row r="750" spans="1:32" ht="11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</row>
    <row r="751" spans="1:32" ht="11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</row>
    <row r="752" spans="1:32" ht="11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</row>
    <row r="753" spans="1:32" ht="11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</row>
    <row r="754" spans="1:32" ht="11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</row>
    <row r="755" spans="1:32" ht="11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</row>
    <row r="756" spans="1:32" ht="11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</row>
    <row r="757" spans="1:32" ht="11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</row>
    <row r="758" spans="1:32" ht="11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</row>
    <row r="759" spans="1:32" ht="11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</row>
    <row r="760" spans="1:32" ht="11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</row>
    <row r="761" spans="1:32" ht="11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</row>
    <row r="762" spans="1:32" ht="11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</row>
    <row r="763" spans="1:32" ht="11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</row>
    <row r="764" spans="1:32" ht="11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</row>
    <row r="765" spans="1:32" ht="11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</row>
    <row r="766" spans="1:32" ht="11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</row>
    <row r="767" spans="1:32" ht="11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</row>
    <row r="768" spans="1:32" ht="11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</row>
    <row r="769" spans="1:32" ht="11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</row>
    <row r="770" spans="1:32" ht="11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</row>
    <row r="771" spans="1:32" ht="11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</row>
    <row r="772" spans="1:32" ht="11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</row>
    <row r="773" spans="1:32" ht="11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</row>
    <row r="774" spans="1:32" ht="11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</row>
    <row r="775" spans="1:32" ht="11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</row>
    <row r="776" spans="1:32" ht="11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</row>
    <row r="777" spans="1:32" ht="11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</row>
    <row r="778" spans="1:32" ht="11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</row>
    <row r="779" spans="1:32" ht="11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</row>
    <row r="780" spans="1:32" ht="11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</row>
    <row r="781" spans="1:32" ht="11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</row>
    <row r="782" spans="1:32" ht="11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</row>
    <row r="783" spans="1:32" ht="11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</row>
    <row r="784" spans="1:32" ht="11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</row>
    <row r="785" spans="1:32" ht="11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</row>
    <row r="786" spans="1:32" ht="11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</row>
    <row r="787" spans="1:32" ht="11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</row>
    <row r="788" spans="1:32" ht="11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</row>
    <row r="789" spans="1:32" ht="11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</row>
    <row r="790" spans="1:32" ht="11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</row>
    <row r="791" spans="1:32" ht="11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</row>
    <row r="792" spans="1:32" ht="11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</row>
    <row r="793" spans="1:32" ht="11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</row>
    <row r="794" spans="1:32" ht="11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</row>
    <row r="795" spans="1:32" ht="11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</row>
    <row r="796" spans="1:32" ht="11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</row>
    <row r="797" spans="1:32" ht="11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</row>
    <row r="798" spans="1:32" ht="11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</row>
    <row r="799" spans="1:32" ht="11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</row>
    <row r="800" spans="1:32" ht="11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</row>
    <row r="801" spans="1:32" ht="11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</row>
    <row r="802" spans="1:32" ht="11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</row>
    <row r="803" spans="1:32" ht="11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</row>
    <row r="804" spans="1:32" ht="11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</row>
    <row r="805" spans="1:32" ht="11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</row>
    <row r="806" spans="1:32" ht="11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</row>
    <row r="807" spans="1:32" ht="11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</row>
    <row r="808" spans="1:32" ht="11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</row>
    <row r="809" spans="1:32" ht="11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</row>
    <row r="810" spans="1:32" ht="11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</row>
    <row r="811" spans="1:32" ht="11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</row>
    <row r="812" spans="1:32" ht="11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</row>
    <row r="813" spans="1:32" ht="11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</row>
    <row r="814" spans="1:32" ht="11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</row>
    <row r="815" spans="1:32" ht="11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</row>
    <row r="816" spans="1:32" ht="11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</row>
    <row r="817" spans="1:32" ht="11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</row>
    <row r="818" spans="1:32" ht="11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</row>
    <row r="819" spans="1:32" ht="11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</row>
    <row r="820" spans="1:32" ht="11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</row>
    <row r="821" spans="1:32" ht="11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</row>
    <row r="822" spans="1:32" ht="11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</row>
    <row r="823" spans="1:32" ht="11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</row>
    <row r="824" spans="1:32" ht="11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</row>
    <row r="825" spans="1:32" ht="11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</row>
    <row r="826" spans="1:32" ht="11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</row>
    <row r="827" spans="1:32" ht="11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</row>
    <row r="828" spans="1:32" ht="11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</row>
    <row r="829" spans="1:32" ht="11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</row>
    <row r="830" spans="1:32" ht="11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</row>
    <row r="831" spans="1:32" ht="11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</row>
    <row r="832" spans="1:32" ht="11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</row>
    <row r="833" spans="1:32" ht="11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</row>
    <row r="834" spans="1:32" ht="11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</row>
    <row r="835" spans="1:32" ht="11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</row>
    <row r="836" spans="1:32" ht="11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</row>
    <row r="837" spans="1:32" ht="11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</row>
    <row r="838" spans="1:32" ht="11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</row>
    <row r="839" spans="1:32" ht="11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</row>
    <row r="840" spans="1:32" ht="11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</row>
    <row r="841" spans="1:32" ht="11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</row>
    <row r="842" spans="1:32" ht="11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</row>
    <row r="843" spans="1:32" ht="11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</row>
    <row r="844" spans="1:32" ht="11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</row>
    <row r="845" spans="1:32" ht="11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</row>
    <row r="846" spans="1:32" ht="11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</row>
    <row r="847" spans="1:32" ht="11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</row>
    <row r="848" spans="1:32" ht="11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</row>
    <row r="849" spans="1:32" ht="11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</row>
    <row r="850" spans="1:32" ht="11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</row>
    <row r="851" spans="1:32" ht="11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</row>
    <row r="852" spans="1:32" ht="11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</row>
    <row r="853" spans="1:32" ht="11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</row>
    <row r="854" spans="1:32" ht="11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</row>
    <row r="855" spans="1:32" ht="11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</row>
    <row r="856" spans="1:32" ht="11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</row>
    <row r="857" spans="1:32" ht="11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</row>
    <row r="858" spans="1:32" ht="11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</row>
    <row r="859" spans="1:32" ht="11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</row>
    <row r="860" spans="1:32" ht="11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</row>
    <row r="861" spans="1:32" ht="11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</row>
    <row r="862" spans="1:32" ht="11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</row>
    <row r="863" spans="1:32" ht="11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</row>
    <row r="864" spans="1:32" ht="11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</row>
    <row r="865" spans="1:32" ht="11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</row>
    <row r="866" spans="1:32" ht="11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</row>
    <row r="867" spans="1:32" ht="11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</row>
    <row r="868" spans="1:32" ht="11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</row>
    <row r="869" spans="1:32" ht="11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</row>
    <row r="870" spans="1:32" ht="11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</row>
    <row r="871" spans="1:32" ht="11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</row>
    <row r="872" spans="1:32" ht="11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</row>
    <row r="873" spans="1:32" ht="11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</row>
    <row r="874" spans="1:32" ht="11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</row>
    <row r="875" spans="1:32" ht="11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</row>
    <row r="876" spans="1:32" ht="11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</row>
    <row r="877" spans="1:32" ht="11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</row>
    <row r="878" spans="1:32" ht="11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</row>
    <row r="879" spans="1:32" ht="11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</row>
    <row r="880" spans="1:32" ht="11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</row>
    <row r="881" spans="1:32" ht="11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</row>
    <row r="882" spans="1:32" ht="11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</row>
    <row r="883" spans="1:32" ht="11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</row>
    <row r="884" spans="1:32" ht="11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</row>
    <row r="885" spans="1:32" ht="11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</row>
    <row r="886" spans="1:32" ht="11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</row>
    <row r="887" spans="1:32" ht="11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</row>
    <row r="888" spans="1:32" ht="11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</row>
    <row r="889" spans="1:32" ht="11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</row>
    <row r="890" spans="1:32" ht="11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</row>
    <row r="891" spans="1:32" ht="11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</row>
    <row r="892" spans="1:32" ht="11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</row>
    <row r="893" spans="1:32" ht="11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</row>
    <row r="894" spans="1:32" ht="11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</row>
    <row r="895" spans="1:32" ht="11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</row>
    <row r="896" spans="1:32" ht="11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</row>
    <row r="897" spans="1:32" ht="11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</row>
    <row r="898" spans="1:32" ht="11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</row>
    <row r="899" spans="1:32" ht="11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</row>
    <row r="900" spans="1:32" ht="11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</row>
    <row r="901" spans="1:32" ht="11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</row>
    <row r="902" spans="1:32" ht="11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</row>
    <row r="903" spans="1:32" ht="11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</row>
    <row r="904" spans="1:32" ht="11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</row>
    <row r="905" spans="1:32" ht="11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</row>
    <row r="906" spans="1:32" ht="11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</row>
    <row r="907" spans="1:32" ht="11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</row>
    <row r="908" spans="1:32" ht="11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</row>
    <row r="909" spans="1:32" ht="11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</row>
    <row r="910" spans="1:32" ht="11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</row>
    <row r="911" spans="1:32" ht="11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</row>
    <row r="912" spans="1:32" ht="11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</row>
    <row r="913" spans="1:32" ht="11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</row>
    <row r="914" spans="1:32" ht="11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</row>
    <row r="915" spans="1:32" ht="11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</row>
    <row r="916" spans="1:32" ht="11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</row>
    <row r="917" spans="1:32" ht="11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</row>
    <row r="918" spans="1:32" ht="11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</row>
    <row r="919" spans="1:32" ht="11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</row>
    <row r="920" spans="1:32" ht="11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</row>
    <row r="921" spans="1:32" ht="11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</row>
    <row r="922" spans="1:32" ht="11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</row>
    <row r="923" spans="1:32" ht="11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</row>
    <row r="924" spans="1:32" ht="11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</row>
    <row r="925" spans="1:32" ht="11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</row>
    <row r="926" spans="1:32" ht="11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</row>
    <row r="927" spans="1:32" ht="11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</row>
    <row r="928" spans="1:32" ht="11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</row>
    <row r="929" spans="1:32" ht="11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</row>
    <row r="930" spans="1:32" ht="11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</row>
    <row r="931" spans="1:32" ht="11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</row>
    <row r="932" spans="1:32" ht="11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</row>
    <row r="933" spans="1:32" ht="11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</row>
    <row r="934" spans="1:32" ht="11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</row>
    <row r="935" spans="1:32" ht="11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</row>
    <row r="936" spans="1:32" ht="11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</row>
    <row r="937" spans="1:32" ht="11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</row>
    <row r="938" spans="1:32" ht="11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</row>
    <row r="939" spans="1:32" ht="11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</row>
    <row r="940" spans="1:32" ht="11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</row>
    <row r="941" spans="1:32" ht="11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</row>
    <row r="942" spans="1:32" ht="11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</row>
    <row r="943" spans="1:32" ht="11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</row>
    <row r="944" spans="1:32" ht="11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</row>
    <row r="945" spans="1:32" ht="11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</row>
    <row r="946" spans="1:32" ht="11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</row>
    <row r="947" spans="1:32" ht="11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</row>
    <row r="948" spans="1:32" ht="11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</row>
    <row r="949" spans="1:32" ht="11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</row>
    <row r="950" spans="1:32" ht="11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</row>
    <row r="951" spans="1:32" ht="11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</row>
    <row r="952" spans="1:32" ht="11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</row>
    <row r="953" spans="1:32" ht="11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</row>
    <row r="954" spans="1:32" ht="11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</row>
    <row r="955" spans="1:32" ht="11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</row>
    <row r="956" spans="1:32" ht="11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</row>
    <row r="957" spans="1:32" ht="11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</row>
    <row r="958" spans="1:32" ht="11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</row>
    <row r="959" spans="1:32" ht="11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</row>
    <row r="960" spans="1:32" ht="11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</row>
    <row r="961" spans="1:32" ht="11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</row>
    <row r="962" spans="1:32" ht="11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</row>
    <row r="963" spans="1:32" ht="11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</row>
    <row r="964" spans="1:32" ht="11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</row>
    <row r="965" spans="1:32" ht="11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</row>
    <row r="966" spans="1:32" ht="11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</row>
    <row r="967" spans="1:32" ht="11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</row>
    <row r="968" spans="1:32" ht="11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</row>
    <row r="969" spans="1:32" ht="11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</row>
    <row r="970" spans="1:32" ht="11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</row>
    <row r="971" spans="1:32" ht="11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</row>
    <row r="972" spans="1:32" ht="11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</row>
    <row r="973" spans="1:32" ht="11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</row>
    <row r="974" spans="1:32" ht="11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</row>
    <row r="975" spans="1:32" ht="11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</row>
    <row r="976" spans="1:32" ht="11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</row>
    <row r="977" spans="1:32" ht="11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</row>
    <row r="978" spans="1:32" ht="11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</row>
    <row r="979" spans="1:32" ht="11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</row>
    <row r="980" spans="1:32" ht="11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</row>
    <row r="981" spans="1:32" ht="11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</row>
    <row r="982" spans="1:32" ht="11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</row>
    <row r="983" spans="1:32" ht="11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</row>
    <row r="984" spans="1:32" ht="11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</row>
    <row r="985" spans="1:32" ht="11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</row>
    <row r="986" spans="1:32" ht="11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</row>
    <row r="987" spans="1:32" ht="11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</row>
    <row r="988" spans="1:32" ht="11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</row>
    <row r="989" spans="1:32" ht="11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</row>
    <row r="990" spans="1:32" ht="11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</row>
    <row r="991" spans="1:32" ht="11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</row>
    <row r="992" spans="1:32" ht="11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</row>
    <row r="993" spans="1:32" ht="11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</row>
    <row r="994" spans="1:32" ht="11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</row>
    <row r="995" spans="1:32" ht="11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</row>
    <row r="996" spans="1:32" ht="11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</row>
    <row r="997" spans="1:32" ht="11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</row>
  </sheetData>
  <mergeCells count="30">
    <mergeCell ref="O46:P46"/>
    <mergeCell ref="O47:P47"/>
    <mergeCell ref="O32:P32"/>
    <mergeCell ref="O33:P33"/>
    <mergeCell ref="O34:P34"/>
    <mergeCell ref="O35:P35"/>
    <mergeCell ref="B45:D45"/>
    <mergeCell ref="E45:G45"/>
    <mergeCell ref="H45:J45"/>
    <mergeCell ref="K45:M45"/>
    <mergeCell ref="O18:P18"/>
    <mergeCell ref="O19:P19"/>
    <mergeCell ref="O20:P20"/>
    <mergeCell ref="O21:P21"/>
    <mergeCell ref="B31:D31"/>
    <mergeCell ref="E31:G31"/>
    <mergeCell ref="H31:J31"/>
    <mergeCell ref="K31:M31"/>
    <mergeCell ref="O6:P6"/>
    <mergeCell ref="O7:P7"/>
    <mergeCell ref="B17:D17"/>
    <mergeCell ref="E17:G17"/>
    <mergeCell ref="H17:J17"/>
    <mergeCell ref="K17:M17"/>
    <mergeCell ref="B3:D3"/>
    <mergeCell ref="E3:G3"/>
    <mergeCell ref="H3:J3"/>
    <mergeCell ref="K3:M3"/>
    <mergeCell ref="O4:P4"/>
    <mergeCell ref="O5:P5"/>
  </mergeCells>
  <pageMargins left="0.7" right="0.7" top="0.75" bottom="0.75" header="0" footer="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85AB0-3F6F-4C34-8A11-2652C165702D}">
  <dimension ref="A1:AF997"/>
  <sheetViews>
    <sheetView zoomScale="80" zoomScaleNormal="80" workbookViewId="0"/>
  </sheetViews>
  <sheetFormatPr defaultColWidth="14.44140625" defaultRowHeight="15" customHeight="1"/>
  <cols>
    <col min="1" max="32" width="9" style="4" customWidth="1"/>
    <col min="33" max="16384" width="14.44140625" style="4"/>
  </cols>
  <sheetData>
    <row r="1" spans="1:32" ht="14.2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3"/>
      <c r="AE1" s="3"/>
      <c r="AF1" s="3"/>
    </row>
    <row r="2" spans="1:32" ht="11.25" customHeight="1">
      <c r="A2" s="17" t="s">
        <v>29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2"/>
      <c r="T2" s="3"/>
      <c r="U2" s="3"/>
      <c r="V2" s="3"/>
      <c r="W2" s="2"/>
      <c r="X2" s="2"/>
      <c r="Y2" s="2"/>
      <c r="Z2" s="2"/>
      <c r="AA2" s="2"/>
      <c r="AB2" s="2"/>
      <c r="AC2" s="2"/>
      <c r="AD2" s="2"/>
      <c r="AE2" s="2"/>
      <c r="AF2" s="2"/>
    </row>
    <row r="3" spans="1:32" ht="11.25" customHeight="1">
      <c r="A3" s="6"/>
      <c r="B3" s="26" t="s">
        <v>14</v>
      </c>
      <c r="C3" s="27"/>
      <c r="D3" s="28"/>
      <c r="E3" s="29" t="s">
        <v>8</v>
      </c>
      <c r="F3" s="30"/>
      <c r="G3" s="31"/>
      <c r="H3" s="32" t="s">
        <v>18</v>
      </c>
      <c r="I3" s="33"/>
      <c r="J3" s="34"/>
      <c r="K3" s="35" t="s">
        <v>19</v>
      </c>
      <c r="L3" s="36"/>
      <c r="M3" s="37"/>
      <c r="N3" s="6"/>
      <c r="O3" s="6"/>
      <c r="P3" s="6"/>
      <c r="Q3" s="7" t="s">
        <v>4</v>
      </c>
      <c r="R3" s="8" t="s">
        <v>0</v>
      </c>
      <c r="S3" s="2"/>
      <c r="T3" s="3"/>
      <c r="U3" s="3"/>
      <c r="V3" s="3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ht="11.25" customHeight="1">
      <c r="A4" s="9" t="s">
        <v>5</v>
      </c>
      <c r="B4" s="7" t="s">
        <v>1</v>
      </c>
      <c r="C4" s="7" t="s">
        <v>2</v>
      </c>
      <c r="D4" s="7" t="s">
        <v>3</v>
      </c>
      <c r="E4" s="7" t="s">
        <v>1</v>
      </c>
      <c r="F4" s="7" t="s">
        <v>2</v>
      </c>
      <c r="G4" s="7" t="s">
        <v>3</v>
      </c>
      <c r="H4" s="7" t="s">
        <v>1</v>
      </c>
      <c r="I4" s="7" t="s">
        <v>2</v>
      </c>
      <c r="J4" s="7" t="s">
        <v>3</v>
      </c>
      <c r="K4" s="7" t="s">
        <v>1</v>
      </c>
      <c r="L4" s="7" t="s">
        <v>2</v>
      </c>
      <c r="M4" s="7" t="s">
        <v>3</v>
      </c>
      <c r="N4" s="6"/>
      <c r="O4" s="38" t="s">
        <v>14</v>
      </c>
      <c r="P4" s="39"/>
      <c r="Q4" s="7">
        <f>AVERAGE(D5:D14)</f>
        <v>9.375E-2</v>
      </c>
      <c r="R4" s="7">
        <f>STDEV(D5:D14)/SQRT(6)</f>
        <v>4.4736453912240022E-2</v>
      </c>
      <c r="S4" s="2"/>
      <c r="T4" s="3"/>
      <c r="U4" s="3"/>
      <c r="V4" s="3"/>
      <c r="W4" s="2"/>
      <c r="X4" s="2"/>
      <c r="Y4" s="2"/>
      <c r="Z4" s="2"/>
      <c r="AA4" s="2"/>
      <c r="AB4" s="2"/>
      <c r="AC4" s="2"/>
      <c r="AD4" s="2"/>
      <c r="AE4" s="2"/>
      <c r="AF4" s="2"/>
    </row>
    <row r="5" spans="1:32" ht="11.25" customHeight="1">
      <c r="A5" s="7">
        <v>1</v>
      </c>
      <c r="B5" s="7">
        <v>0</v>
      </c>
      <c r="C5" s="7">
        <v>24</v>
      </c>
      <c r="D5" s="7">
        <f t="shared" ref="D5:D8" si="0">B5/C5</f>
        <v>0</v>
      </c>
      <c r="E5" s="7">
        <v>0</v>
      </c>
      <c r="F5" s="7">
        <v>24</v>
      </c>
      <c r="G5" s="7">
        <f t="shared" ref="G5:G8" si="1">E5/F5</f>
        <v>0</v>
      </c>
      <c r="H5" s="18">
        <v>1</v>
      </c>
      <c r="I5" s="7">
        <v>24</v>
      </c>
      <c r="J5" s="7">
        <f t="shared" ref="J5:J8" si="2">H5/I5</f>
        <v>4.1666666666666664E-2</v>
      </c>
      <c r="K5" s="18">
        <v>0</v>
      </c>
      <c r="L5" s="7">
        <v>24</v>
      </c>
      <c r="M5" s="7">
        <f t="shared" ref="M5:M8" si="3">K5/L5</f>
        <v>0</v>
      </c>
      <c r="N5" s="6"/>
      <c r="O5" s="24" t="s">
        <v>7</v>
      </c>
      <c r="P5" s="25"/>
      <c r="Q5" s="7">
        <f>AVERAGE(G5:G14)</f>
        <v>6.25E-2</v>
      </c>
      <c r="R5" s="7">
        <f>STDEV(D6:D15)/SQRT(6)</f>
        <v>4.5005143738943473E-2</v>
      </c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2" ht="11.25" customHeight="1">
      <c r="A6" s="7">
        <v>2</v>
      </c>
      <c r="B6" s="7">
        <v>2</v>
      </c>
      <c r="C6" s="7">
        <v>24</v>
      </c>
      <c r="D6" s="7">
        <f t="shared" si="0"/>
        <v>8.3333333333333329E-2</v>
      </c>
      <c r="E6" s="7">
        <v>0</v>
      </c>
      <c r="F6" s="7">
        <v>24</v>
      </c>
      <c r="G6" s="7">
        <f t="shared" si="1"/>
        <v>0</v>
      </c>
      <c r="H6" s="18">
        <v>0</v>
      </c>
      <c r="I6" s="7">
        <v>24</v>
      </c>
      <c r="J6" s="7">
        <f t="shared" si="2"/>
        <v>0</v>
      </c>
      <c r="K6" s="18">
        <v>2</v>
      </c>
      <c r="L6" s="7">
        <v>24</v>
      </c>
      <c r="M6" s="7">
        <f t="shared" si="3"/>
        <v>8.3333333333333329E-2</v>
      </c>
      <c r="N6" s="6"/>
      <c r="O6" s="40" t="s">
        <v>18</v>
      </c>
      <c r="P6" s="40"/>
      <c r="Q6" s="7">
        <f>AVERAGE(J5:J14)</f>
        <v>7.2916666666666657E-2</v>
      </c>
      <c r="R6" s="7">
        <f>STDEV(J5:J14)/SQRT(6)</f>
        <v>2.9050695365766516E-2</v>
      </c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</row>
    <row r="7" spans="1:32" ht="11.25" customHeight="1">
      <c r="A7" s="7">
        <v>3</v>
      </c>
      <c r="B7" s="7">
        <v>1</v>
      </c>
      <c r="C7" s="7">
        <v>24</v>
      </c>
      <c r="D7" s="7">
        <f t="shared" si="0"/>
        <v>4.1666666666666664E-2</v>
      </c>
      <c r="E7" s="7">
        <v>1</v>
      </c>
      <c r="F7" s="7">
        <v>24</v>
      </c>
      <c r="G7" s="7">
        <f t="shared" si="1"/>
        <v>4.1666666666666664E-2</v>
      </c>
      <c r="H7" s="18">
        <v>4</v>
      </c>
      <c r="I7" s="7">
        <v>24</v>
      </c>
      <c r="J7" s="7">
        <f t="shared" si="2"/>
        <v>0.16666666666666666</v>
      </c>
      <c r="K7" s="18">
        <v>4</v>
      </c>
      <c r="L7" s="7">
        <v>24</v>
      </c>
      <c r="M7" s="7">
        <f t="shared" si="3"/>
        <v>0.16666666666666666</v>
      </c>
      <c r="N7" s="6"/>
      <c r="O7" s="41" t="s">
        <v>19</v>
      </c>
      <c r="P7" s="41"/>
      <c r="Q7" s="7">
        <f>AVERAGE(M5:M14)</f>
        <v>9.375E-2</v>
      </c>
      <c r="R7" s="7">
        <f>STDEV(M5:M14)/SQRT(6)</f>
        <v>2.9050695365766516E-2</v>
      </c>
      <c r="S7" s="2"/>
      <c r="T7" s="2"/>
      <c r="U7" s="5" t="s">
        <v>4</v>
      </c>
      <c r="V7" s="2"/>
      <c r="W7" s="2"/>
      <c r="X7" s="2"/>
      <c r="Y7" s="2"/>
      <c r="Z7" s="1" t="s">
        <v>0</v>
      </c>
      <c r="AA7" s="2"/>
      <c r="AB7" s="2"/>
      <c r="AC7" s="2"/>
      <c r="AD7" s="2"/>
      <c r="AE7" s="2"/>
      <c r="AF7" s="2"/>
    </row>
    <row r="8" spans="1:32" ht="11.25" customHeight="1">
      <c r="A8" s="7">
        <v>4</v>
      </c>
      <c r="B8" s="7">
        <v>6</v>
      </c>
      <c r="C8" s="7">
        <v>24</v>
      </c>
      <c r="D8" s="7">
        <f t="shared" si="0"/>
        <v>0.25</v>
      </c>
      <c r="E8" s="7">
        <v>5</v>
      </c>
      <c r="F8" s="7">
        <v>24</v>
      </c>
      <c r="G8" s="7">
        <f t="shared" si="1"/>
        <v>0.20833333333333334</v>
      </c>
      <c r="H8" s="18">
        <v>2</v>
      </c>
      <c r="I8" s="7">
        <v>24</v>
      </c>
      <c r="J8" s="7">
        <f t="shared" si="2"/>
        <v>8.3333333333333329E-2</v>
      </c>
      <c r="K8" s="18">
        <v>3</v>
      </c>
      <c r="L8" s="7">
        <v>24</v>
      </c>
      <c r="M8" s="7">
        <f t="shared" si="3"/>
        <v>0.125</v>
      </c>
      <c r="N8" s="6"/>
      <c r="O8" s="6"/>
      <c r="P8" s="6"/>
      <c r="Q8" s="6"/>
      <c r="R8" s="6"/>
      <c r="S8" s="2"/>
      <c r="T8" s="1"/>
      <c r="U8" s="1">
        <v>10</v>
      </c>
      <c r="V8" s="1">
        <v>50</v>
      </c>
      <c r="W8" s="1">
        <v>100</v>
      </c>
      <c r="X8" s="16">
        <v>500</v>
      </c>
      <c r="Y8" s="1"/>
      <c r="Z8" s="1">
        <v>10</v>
      </c>
      <c r="AA8" s="1">
        <v>50</v>
      </c>
      <c r="AB8" s="1">
        <v>100</v>
      </c>
      <c r="AC8" s="16">
        <v>500</v>
      </c>
      <c r="AD8" s="2"/>
      <c r="AE8" s="2"/>
      <c r="AF8" s="2"/>
    </row>
    <row r="9" spans="1:32" ht="11.25" customHeight="1">
      <c r="A9" s="7">
        <v>5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6"/>
      <c r="O9" s="6"/>
      <c r="P9" s="6"/>
      <c r="Q9" s="6"/>
      <c r="R9" s="6"/>
      <c r="S9" s="2"/>
      <c r="T9" s="21" t="s">
        <v>20</v>
      </c>
      <c r="U9" s="2">
        <f t="shared" ref="U9:U10" si="4">Q4</f>
        <v>9.375E-2</v>
      </c>
      <c r="V9" s="2">
        <f t="shared" ref="V9:V12" si="5">Q18</f>
        <v>0.26041666666666663</v>
      </c>
      <c r="W9" s="2">
        <f t="shared" ref="W9:W12" si="6">Q32</f>
        <v>0.39583333333333331</v>
      </c>
      <c r="X9" s="12">
        <f t="shared" ref="X9:X12" si="7">Q46</f>
        <v>0</v>
      </c>
      <c r="Y9" s="2"/>
      <c r="Z9" s="2">
        <f t="shared" ref="Z9:Z12" si="8">R4</f>
        <v>4.4736453912240022E-2</v>
      </c>
      <c r="AA9" s="2">
        <f t="shared" ref="AA9:AA12" si="9">R18</f>
        <v>4.4736453912240071E-2</v>
      </c>
      <c r="AB9" s="2">
        <f t="shared" ref="AB9:AB12" si="10">R32</f>
        <v>4.0492721491981305E-2</v>
      </c>
      <c r="AC9" s="12">
        <f t="shared" ref="AC9" si="11">R46</f>
        <v>0</v>
      </c>
      <c r="AD9" s="2"/>
      <c r="AE9" s="2"/>
      <c r="AF9" s="2"/>
    </row>
    <row r="10" spans="1:32" ht="11.25" customHeight="1">
      <c r="A10" s="7">
        <v>6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6"/>
      <c r="O10" s="6"/>
      <c r="P10" s="6"/>
      <c r="Q10" s="6"/>
      <c r="R10" s="6"/>
      <c r="S10" s="2"/>
      <c r="T10" s="22" t="s">
        <v>21</v>
      </c>
      <c r="U10" s="2">
        <f t="shared" si="4"/>
        <v>6.25E-2</v>
      </c>
      <c r="V10" s="2">
        <f t="shared" si="5"/>
        <v>0.26041666666666663</v>
      </c>
      <c r="W10" s="2">
        <f t="shared" si="6"/>
        <v>0.375</v>
      </c>
      <c r="X10" s="12">
        <f t="shared" si="7"/>
        <v>0</v>
      </c>
      <c r="Y10" s="2"/>
      <c r="Z10" s="2">
        <f t="shared" si="8"/>
        <v>4.5005143738943473E-2</v>
      </c>
      <c r="AA10" s="2">
        <f t="shared" si="9"/>
        <v>4.5005143738943501E-2</v>
      </c>
      <c r="AB10" s="2">
        <f t="shared" si="10"/>
        <v>3.540985773328334E-2</v>
      </c>
      <c r="AC10" s="12">
        <f>R47</f>
        <v>0</v>
      </c>
      <c r="AD10" s="2"/>
      <c r="AE10" s="2"/>
      <c r="AF10" s="2"/>
    </row>
    <row r="11" spans="1:32" ht="11.25" customHeight="1">
      <c r="A11" s="7">
        <v>7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6"/>
      <c r="O11" s="6"/>
      <c r="P11" s="6"/>
      <c r="Q11" s="6"/>
      <c r="R11" s="6"/>
      <c r="S11" s="2"/>
      <c r="T11" s="20" t="s">
        <v>22</v>
      </c>
      <c r="U11" s="2">
        <f>Q6</f>
        <v>7.2916666666666657E-2</v>
      </c>
      <c r="V11" s="2">
        <f t="shared" si="5"/>
        <v>0.39583333333333331</v>
      </c>
      <c r="W11" s="2">
        <f t="shared" si="6"/>
        <v>0.4375</v>
      </c>
      <c r="X11" s="12">
        <f t="shared" si="7"/>
        <v>0</v>
      </c>
      <c r="Y11" s="2"/>
      <c r="Z11" s="2">
        <f t="shared" si="8"/>
        <v>2.9050695365766516E-2</v>
      </c>
      <c r="AA11" s="2">
        <f t="shared" si="9"/>
        <v>7.1497431534632019E-2</v>
      </c>
      <c r="AB11" s="2">
        <f t="shared" si="10"/>
        <v>6.2884619014843185E-2</v>
      </c>
      <c r="AC11" s="12">
        <f t="shared" ref="AC11:AC12" si="12">R48</f>
        <v>0</v>
      </c>
      <c r="AD11" s="2"/>
      <c r="AE11" s="2"/>
      <c r="AF11" s="2"/>
    </row>
    <row r="12" spans="1:32" ht="11.25" customHeight="1">
      <c r="A12" s="7">
        <v>8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6"/>
      <c r="O12" s="6"/>
      <c r="P12" s="6"/>
      <c r="Q12" s="6"/>
      <c r="R12" s="6"/>
      <c r="S12" s="2"/>
      <c r="T12" s="23" t="s">
        <v>23</v>
      </c>
      <c r="U12" s="2">
        <f>Q7</f>
        <v>9.375E-2</v>
      </c>
      <c r="V12" s="2">
        <f t="shared" si="5"/>
        <v>0.37499999999999994</v>
      </c>
      <c r="W12" s="2">
        <f t="shared" si="6"/>
        <v>0.41666666666666663</v>
      </c>
      <c r="X12" s="12">
        <f t="shared" si="7"/>
        <v>0</v>
      </c>
      <c r="Y12" s="2"/>
      <c r="Z12" s="2">
        <f t="shared" si="8"/>
        <v>2.9050695365766516E-2</v>
      </c>
      <c r="AA12" s="2">
        <f t="shared" si="9"/>
        <v>7.2168783648703355E-2</v>
      </c>
      <c r="AB12" s="2">
        <f t="shared" si="10"/>
        <v>5.7265355911356515E-2</v>
      </c>
      <c r="AC12" s="12">
        <f t="shared" si="12"/>
        <v>0</v>
      </c>
      <c r="AD12" s="2"/>
      <c r="AE12" s="2"/>
      <c r="AF12" s="2"/>
    </row>
    <row r="13" spans="1:32" ht="11.25" customHeight="1">
      <c r="A13" s="7">
        <v>9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6"/>
      <c r="O13" s="6"/>
      <c r="P13" s="6"/>
      <c r="Q13" s="6"/>
      <c r="R13" s="6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</row>
    <row r="14" spans="1:32" ht="11.25" customHeight="1">
      <c r="A14" s="7">
        <v>10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6"/>
      <c r="O14" s="6"/>
      <c r="P14" s="6"/>
      <c r="Q14" s="6"/>
      <c r="R14" s="6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</row>
    <row r="15" spans="1:32" ht="11.2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</row>
    <row r="16" spans="1:32" ht="11.25" customHeight="1">
      <c r="A16" s="5" t="s">
        <v>13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1:32" ht="11.25" customHeight="1">
      <c r="A17" s="6"/>
      <c r="B17" s="26" t="s">
        <v>15</v>
      </c>
      <c r="C17" s="27"/>
      <c r="D17" s="28"/>
      <c r="E17" s="29" t="s">
        <v>9</v>
      </c>
      <c r="F17" s="30"/>
      <c r="G17" s="31"/>
      <c r="H17" s="42" t="s">
        <v>15</v>
      </c>
      <c r="I17" s="33"/>
      <c r="J17" s="34"/>
      <c r="K17" s="43" t="s">
        <v>9</v>
      </c>
      <c r="L17" s="36"/>
      <c r="M17" s="37"/>
      <c r="N17" s="6"/>
      <c r="O17" s="6"/>
      <c r="P17" s="6"/>
      <c r="Q17" s="7" t="s">
        <v>4</v>
      </c>
      <c r="R17" s="8" t="s">
        <v>0</v>
      </c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spans="1:32" ht="11.25" customHeight="1">
      <c r="A18" s="9" t="s">
        <v>5</v>
      </c>
      <c r="B18" s="7" t="s">
        <v>1</v>
      </c>
      <c r="C18" s="7" t="s">
        <v>2</v>
      </c>
      <c r="D18" s="7" t="s">
        <v>3</v>
      </c>
      <c r="E18" s="7" t="s">
        <v>1</v>
      </c>
      <c r="F18" s="7" t="s">
        <v>2</v>
      </c>
      <c r="G18" s="7" t="s">
        <v>3</v>
      </c>
      <c r="H18" s="7" t="s">
        <v>1</v>
      </c>
      <c r="I18" s="7" t="s">
        <v>2</v>
      </c>
      <c r="J18" s="7" t="s">
        <v>3</v>
      </c>
      <c r="K18" s="7" t="s">
        <v>1</v>
      </c>
      <c r="L18" s="7" t="s">
        <v>2</v>
      </c>
      <c r="M18" s="7" t="s">
        <v>3</v>
      </c>
      <c r="N18" s="6"/>
      <c r="O18" s="38" t="s">
        <v>14</v>
      </c>
      <c r="P18" s="39"/>
      <c r="Q18" s="7">
        <f>AVERAGE(D19:D28)</f>
        <v>0.26041666666666663</v>
      </c>
      <c r="R18" s="7">
        <f>STDEV(D19:D28)/SQRT(6)</f>
        <v>4.4736453912240071E-2</v>
      </c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spans="1:32" ht="11.25" customHeight="1">
      <c r="A19" s="7">
        <v>1</v>
      </c>
      <c r="B19" s="50">
        <v>4</v>
      </c>
      <c r="C19" s="7">
        <v>24</v>
      </c>
      <c r="D19" s="7">
        <f t="shared" ref="D19:D22" si="13">B19/C19</f>
        <v>0.16666666666666666</v>
      </c>
      <c r="E19" s="49">
        <v>5</v>
      </c>
      <c r="F19" s="7">
        <v>24</v>
      </c>
      <c r="G19" s="7">
        <f t="shared" ref="G19:G22" si="14">E19/F19</f>
        <v>0.20833333333333334</v>
      </c>
      <c r="H19" s="19">
        <v>7</v>
      </c>
      <c r="I19" s="7">
        <v>24</v>
      </c>
      <c r="J19" s="7">
        <f t="shared" ref="J19:J22" si="15">H19/I19</f>
        <v>0.29166666666666669</v>
      </c>
      <c r="K19" s="19">
        <v>6</v>
      </c>
      <c r="L19" s="7">
        <v>24</v>
      </c>
      <c r="M19" s="7">
        <f t="shared" ref="M19:M22" si="16">K19/L19</f>
        <v>0.25</v>
      </c>
      <c r="N19" s="6"/>
      <c r="O19" s="44" t="s">
        <v>7</v>
      </c>
      <c r="P19" s="25"/>
      <c r="Q19" s="7">
        <f>AVERAGE(G19:G28)</f>
        <v>0.26041666666666663</v>
      </c>
      <c r="R19" s="7">
        <f>STDEV(D20:D29)/SQRT(6)</f>
        <v>4.5005143738943501E-2</v>
      </c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spans="1:32" ht="11.25" customHeight="1">
      <c r="A20" s="7">
        <v>2</v>
      </c>
      <c r="B20" s="50">
        <v>9</v>
      </c>
      <c r="C20" s="7">
        <v>24</v>
      </c>
      <c r="D20" s="7">
        <f t="shared" si="13"/>
        <v>0.375</v>
      </c>
      <c r="E20" s="49">
        <v>8</v>
      </c>
      <c r="F20" s="7">
        <v>24</v>
      </c>
      <c r="G20" s="7">
        <f t="shared" si="14"/>
        <v>0.33333333333333331</v>
      </c>
      <c r="H20" s="19">
        <v>12</v>
      </c>
      <c r="I20" s="7">
        <v>24</v>
      </c>
      <c r="J20" s="7">
        <f t="shared" si="15"/>
        <v>0.5</v>
      </c>
      <c r="K20" s="19">
        <v>11</v>
      </c>
      <c r="L20" s="7">
        <v>24</v>
      </c>
      <c r="M20" s="7">
        <f t="shared" si="16"/>
        <v>0.45833333333333331</v>
      </c>
      <c r="N20" s="6"/>
      <c r="O20" s="40" t="s">
        <v>18</v>
      </c>
      <c r="P20" s="40"/>
      <c r="Q20" s="7">
        <f>AVERAGE(J19:J28)</f>
        <v>0.39583333333333331</v>
      </c>
      <c r="R20" s="7">
        <f>STDEV(J19:J28)/SQRT(6)</f>
        <v>7.1497431534632019E-2</v>
      </c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spans="1:32" ht="11.25" customHeight="1">
      <c r="A21" s="7">
        <v>3</v>
      </c>
      <c r="B21" s="50">
        <v>4</v>
      </c>
      <c r="C21" s="7">
        <v>24</v>
      </c>
      <c r="D21" s="7">
        <f t="shared" si="13"/>
        <v>0.16666666666666666</v>
      </c>
      <c r="E21" s="49">
        <v>4</v>
      </c>
      <c r="F21" s="7">
        <v>24</v>
      </c>
      <c r="G21" s="7">
        <f t="shared" si="14"/>
        <v>0.16666666666666666</v>
      </c>
      <c r="H21" s="19">
        <v>14</v>
      </c>
      <c r="I21" s="7">
        <v>24</v>
      </c>
      <c r="J21" s="7">
        <f t="shared" si="15"/>
        <v>0.58333333333333337</v>
      </c>
      <c r="K21" s="19">
        <v>14</v>
      </c>
      <c r="L21" s="7">
        <v>24</v>
      </c>
      <c r="M21" s="7">
        <f t="shared" si="16"/>
        <v>0.58333333333333337</v>
      </c>
      <c r="N21" s="6"/>
      <c r="O21" s="45" t="s">
        <v>19</v>
      </c>
      <c r="P21" s="45"/>
      <c r="Q21" s="7">
        <f>AVERAGE(M19:M28)</f>
        <v>0.37499999999999994</v>
      </c>
      <c r="R21" s="7">
        <f>STDEV(M19:M28)/SQRT(6)</f>
        <v>7.2168783648703355E-2</v>
      </c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spans="1:32" ht="11.25" customHeight="1">
      <c r="A22" s="7">
        <v>4</v>
      </c>
      <c r="B22" s="50">
        <v>8</v>
      </c>
      <c r="C22" s="7">
        <v>24</v>
      </c>
      <c r="D22" s="7">
        <f t="shared" si="13"/>
        <v>0.33333333333333331</v>
      </c>
      <c r="E22" s="49">
        <v>8</v>
      </c>
      <c r="F22" s="7">
        <v>24</v>
      </c>
      <c r="G22" s="7">
        <f t="shared" si="14"/>
        <v>0.33333333333333331</v>
      </c>
      <c r="H22" s="19">
        <v>5</v>
      </c>
      <c r="I22" s="7">
        <v>24</v>
      </c>
      <c r="J22" s="7">
        <f t="shared" si="15"/>
        <v>0.20833333333333334</v>
      </c>
      <c r="K22" s="19">
        <v>5</v>
      </c>
      <c r="L22" s="7">
        <v>24</v>
      </c>
      <c r="M22" s="7">
        <f t="shared" si="16"/>
        <v>0.20833333333333334</v>
      </c>
      <c r="N22" s="6"/>
      <c r="O22" s="6"/>
      <c r="P22" s="6"/>
      <c r="Q22" s="6"/>
      <c r="R22" s="6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spans="1:32" ht="11.25" customHeight="1">
      <c r="A23" s="7">
        <v>5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6"/>
      <c r="O23" s="6"/>
      <c r="P23" s="6"/>
      <c r="Q23" s="6"/>
      <c r="R23" s="6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spans="1:32" ht="11.25" customHeight="1">
      <c r="A24" s="7">
        <v>6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6"/>
      <c r="O24" s="6"/>
      <c r="P24" s="6"/>
      <c r="Q24" s="6"/>
      <c r="R24" s="6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spans="1:32" ht="11.25" customHeight="1">
      <c r="A25" s="7">
        <v>7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6"/>
      <c r="O25" s="6"/>
      <c r="P25" s="6"/>
      <c r="Q25" s="6"/>
      <c r="R25" s="6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 spans="1:32" ht="11.25" customHeight="1">
      <c r="A26" s="7">
        <v>8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6"/>
      <c r="O26" s="6"/>
      <c r="P26" s="6"/>
      <c r="Q26" s="6"/>
      <c r="R26" s="6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spans="1:32" ht="11.25" customHeight="1">
      <c r="A27" s="7">
        <v>9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6"/>
      <c r="O27" s="6"/>
      <c r="P27" s="6"/>
      <c r="Q27" s="6"/>
      <c r="R27" s="6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spans="1:32" ht="11.25" customHeight="1">
      <c r="A28" s="7">
        <v>10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6"/>
      <c r="O28" s="6"/>
      <c r="P28" s="6"/>
      <c r="Q28" s="6"/>
      <c r="R28" s="6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spans="1:32" ht="11.2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spans="1:32" ht="11.25" customHeight="1">
      <c r="A30" s="5" t="s">
        <v>13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</row>
    <row r="31" spans="1:32" ht="11.25" customHeight="1">
      <c r="A31" s="6"/>
      <c r="B31" s="26" t="s">
        <v>16</v>
      </c>
      <c r="C31" s="27"/>
      <c r="D31" s="28"/>
      <c r="E31" s="29" t="s">
        <v>10</v>
      </c>
      <c r="F31" s="30"/>
      <c r="G31" s="31"/>
      <c r="H31" s="42" t="s">
        <v>16</v>
      </c>
      <c r="I31" s="33"/>
      <c r="J31" s="34"/>
      <c r="K31" s="43" t="s">
        <v>10</v>
      </c>
      <c r="L31" s="36"/>
      <c r="M31" s="37"/>
      <c r="N31" s="6"/>
      <c r="O31" s="6"/>
      <c r="P31" s="6"/>
      <c r="Q31" s="7" t="s">
        <v>4</v>
      </c>
      <c r="R31" s="8" t="s">
        <v>0</v>
      </c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2" ht="11.25" customHeight="1">
      <c r="A32" s="9" t="s">
        <v>5</v>
      </c>
      <c r="B32" s="7" t="s">
        <v>1</v>
      </c>
      <c r="C32" s="7" t="s">
        <v>2</v>
      </c>
      <c r="D32" s="7" t="s">
        <v>3</v>
      </c>
      <c r="E32" s="7" t="s">
        <v>1</v>
      </c>
      <c r="F32" s="7" t="s">
        <v>2</v>
      </c>
      <c r="G32" s="7" t="s">
        <v>3</v>
      </c>
      <c r="H32" s="7" t="s">
        <v>1</v>
      </c>
      <c r="I32" s="7" t="s">
        <v>2</v>
      </c>
      <c r="J32" s="7" t="s">
        <v>3</v>
      </c>
      <c r="K32" s="7" t="s">
        <v>1</v>
      </c>
      <c r="L32" s="7" t="s">
        <v>2</v>
      </c>
      <c r="M32" s="7" t="s">
        <v>3</v>
      </c>
      <c r="N32" s="6"/>
      <c r="O32" s="46" t="s">
        <v>14</v>
      </c>
      <c r="P32" s="39"/>
      <c r="Q32" s="7">
        <f>AVERAGE(D33:D42)</f>
        <v>0.39583333333333331</v>
      </c>
      <c r="R32" s="7">
        <f>STDEV(D33:D42)/SQRT(6)</f>
        <v>4.0492721491981305E-2</v>
      </c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ht="11.25" customHeight="1">
      <c r="A33" s="7">
        <v>1</v>
      </c>
      <c r="B33" s="50">
        <v>7</v>
      </c>
      <c r="C33" s="7">
        <v>24</v>
      </c>
      <c r="D33" s="7">
        <f t="shared" ref="D33:D36" si="17">B33/C33</f>
        <v>0.29166666666666669</v>
      </c>
      <c r="E33" s="49">
        <v>8</v>
      </c>
      <c r="F33" s="7">
        <v>24</v>
      </c>
      <c r="G33" s="7">
        <f t="shared" ref="G33:G36" si="18">E33/F33</f>
        <v>0.33333333333333331</v>
      </c>
      <c r="H33" s="19">
        <v>7</v>
      </c>
      <c r="I33" s="7">
        <v>24</v>
      </c>
      <c r="J33" s="7">
        <f t="shared" ref="J33:J36" si="19">H33/I33</f>
        <v>0.29166666666666669</v>
      </c>
      <c r="K33" s="19">
        <v>6</v>
      </c>
      <c r="L33" s="7">
        <v>24</v>
      </c>
      <c r="M33" s="7">
        <f t="shared" ref="M33:M36" si="20">K33/L33</f>
        <v>0.25</v>
      </c>
      <c r="N33" s="6"/>
      <c r="O33" s="44" t="s">
        <v>7</v>
      </c>
      <c r="P33" s="25"/>
      <c r="Q33" s="7">
        <f>AVERAGE(G33:G42)</f>
        <v>0.375</v>
      </c>
      <c r="R33" s="7">
        <f>STDEV(D34:D43)/SQRT(6)</f>
        <v>3.540985773328334E-2</v>
      </c>
      <c r="S33" s="2"/>
      <c r="T33" s="2"/>
      <c r="U33" s="2" t="s">
        <v>17</v>
      </c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ht="11.25" customHeight="1">
      <c r="A34" s="7">
        <v>2</v>
      </c>
      <c r="B34" s="50">
        <v>12</v>
      </c>
      <c r="C34" s="7">
        <v>24</v>
      </c>
      <c r="D34" s="7">
        <f t="shared" si="17"/>
        <v>0.5</v>
      </c>
      <c r="E34" s="49">
        <v>11</v>
      </c>
      <c r="F34" s="7">
        <v>24</v>
      </c>
      <c r="G34" s="7">
        <f t="shared" si="18"/>
        <v>0.45833333333333331</v>
      </c>
      <c r="H34" s="19">
        <v>12</v>
      </c>
      <c r="I34" s="7">
        <v>24</v>
      </c>
      <c r="J34" s="7">
        <f t="shared" si="19"/>
        <v>0.5</v>
      </c>
      <c r="K34" s="19">
        <v>11</v>
      </c>
      <c r="L34" s="7">
        <v>24</v>
      </c>
      <c r="M34" s="7">
        <f t="shared" si="20"/>
        <v>0.45833333333333331</v>
      </c>
      <c r="N34" s="6"/>
      <c r="O34" s="40" t="s">
        <v>18</v>
      </c>
      <c r="P34" s="40"/>
      <c r="Q34" s="7">
        <f>AVERAGE(J33:J42)</f>
        <v>0.4375</v>
      </c>
      <c r="R34" s="7">
        <f>STDEV(J33:J42)/SQRT(6)</f>
        <v>6.2884619014843185E-2</v>
      </c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ht="11.25" customHeight="1">
      <c r="A35" s="7">
        <v>3</v>
      </c>
      <c r="B35" s="50">
        <v>8</v>
      </c>
      <c r="C35" s="7">
        <v>24</v>
      </c>
      <c r="D35" s="7">
        <f t="shared" si="17"/>
        <v>0.33333333333333331</v>
      </c>
      <c r="E35" s="49">
        <v>7</v>
      </c>
      <c r="F35" s="7">
        <v>24</v>
      </c>
      <c r="G35" s="7">
        <f t="shared" si="18"/>
        <v>0.29166666666666669</v>
      </c>
      <c r="H35" s="19">
        <v>15</v>
      </c>
      <c r="I35" s="7">
        <v>24</v>
      </c>
      <c r="J35" s="7">
        <f t="shared" si="19"/>
        <v>0.625</v>
      </c>
      <c r="K35" s="19">
        <v>14</v>
      </c>
      <c r="L35" s="7">
        <v>24</v>
      </c>
      <c r="M35" s="7">
        <f t="shared" si="20"/>
        <v>0.58333333333333337</v>
      </c>
      <c r="N35" s="6"/>
      <c r="O35" s="45" t="s">
        <v>19</v>
      </c>
      <c r="P35" s="45"/>
      <c r="Q35" s="7">
        <f>AVERAGE(M33:M42)</f>
        <v>0.41666666666666663</v>
      </c>
      <c r="R35" s="7">
        <f>STDEV(M33:M42)/SQRT(6)</f>
        <v>5.7265355911356515E-2</v>
      </c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1.25" customHeight="1">
      <c r="A36" s="7">
        <v>4</v>
      </c>
      <c r="B36" s="50">
        <v>11</v>
      </c>
      <c r="C36" s="7">
        <v>24</v>
      </c>
      <c r="D36" s="7">
        <f t="shared" si="17"/>
        <v>0.45833333333333331</v>
      </c>
      <c r="E36" s="49">
        <v>10</v>
      </c>
      <c r="F36" s="7">
        <v>24</v>
      </c>
      <c r="G36" s="7">
        <f t="shared" si="18"/>
        <v>0.41666666666666669</v>
      </c>
      <c r="H36" s="19">
        <v>8</v>
      </c>
      <c r="I36" s="7">
        <v>24</v>
      </c>
      <c r="J36" s="7">
        <f t="shared" si="19"/>
        <v>0.33333333333333331</v>
      </c>
      <c r="K36" s="19">
        <v>9</v>
      </c>
      <c r="L36" s="7">
        <v>24</v>
      </c>
      <c r="M36" s="7">
        <f t="shared" si="20"/>
        <v>0.375</v>
      </c>
      <c r="N36" s="6"/>
      <c r="O36" s="6"/>
      <c r="P36" s="6"/>
      <c r="Q36" s="6"/>
      <c r="R36" s="6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ht="11.25" customHeight="1">
      <c r="A37" s="7">
        <v>5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6"/>
      <c r="O37" s="6"/>
      <c r="P37" s="6"/>
      <c r="Q37" s="6"/>
      <c r="R37" s="6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</row>
    <row r="38" spans="1:32" ht="11.25" customHeight="1">
      <c r="A38" s="7">
        <v>6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6"/>
      <c r="O38" s="6"/>
      <c r="P38" s="6"/>
      <c r="Q38" s="6"/>
      <c r="R38" s="6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</row>
    <row r="39" spans="1:32" ht="11.25" customHeight="1">
      <c r="A39" s="7">
        <v>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6"/>
      <c r="O39" s="6"/>
      <c r="P39" s="6"/>
      <c r="Q39" s="6"/>
      <c r="R39" s="6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</row>
    <row r="40" spans="1:32" ht="11.25" customHeight="1">
      <c r="A40" s="7">
        <v>8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6"/>
      <c r="O40" s="6"/>
      <c r="P40" s="6"/>
      <c r="Q40" s="6"/>
      <c r="R40" s="6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</row>
    <row r="41" spans="1:32" ht="11.25" customHeight="1">
      <c r="A41" s="7">
        <v>9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6"/>
      <c r="O41" s="6"/>
      <c r="P41" s="6"/>
      <c r="Q41" s="6"/>
      <c r="R41" s="6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</row>
    <row r="42" spans="1:32" ht="11.25" customHeight="1">
      <c r="A42" s="7">
        <v>10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6"/>
      <c r="O42" s="6"/>
      <c r="P42" s="6"/>
      <c r="Q42" s="6"/>
      <c r="R42" s="6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 spans="1:32" ht="11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ht="11.25" customHeight="1">
      <c r="A44" s="10" t="s">
        <v>13</v>
      </c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2"/>
      <c r="O44" s="12"/>
      <c r="P44" s="12"/>
      <c r="Q44" s="12"/>
      <c r="R44" s="1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ht="11.25" customHeight="1">
      <c r="A45" s="11"/>
      <c r="B45" s="43" t="s">
        <v>6</v>
      </c>
      <c r="C45" s="36"/>
      <c r="D45" s="37"/>
      <c r="E45" s="43" t="s">
        <v>11</v>
      </c>
      <c r="F45" s="36"/>
      <c r="G45" s="37"/>
      <c r="H45" s="43" t="s">
        <v>6</v>
      </c>
      <c r="I45" s="36"/>
      <c r="J45" s="37"/>
      <c r="K45" s="43" t="s">
        <v>11</v>
      </c>
      <c r="L45" s="36"/>
      <c r="M45" s="37"/>
      <c r="N45" s="12"/>
      <c r="O45" s="11"/>
      <c r="P45" s="11"/>
      <c r="Q45" s="13" t="s">
        <v>4</v>
      </c>
      <c r="R45" s="14" t="s">
        <v>0</v>
      </c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ht="11.25" customHeight="1">
      <c r="A46" s="15" t="s">
        <v>5</v>
      </c>
      <c r="B46" s="13" t="s">
        <v>1</v>
      </c>
      <c r="C46" s="13" t="s">
        <v>2</v>
      </c>
      <c r="D46" s="13" t="s">
        <v>3</v>
      </c>
      <c r="E46" s="13" t="s">
        <v>1</v>
      </c>
      <c r="F46" s="13" t="s">
        <v>2</v>
      </c>
      <c r="G46" s="13" t="s">
        <v>3</v>
      </c>
      <c r="H46" s="13" t="s">
        <v>1</v>
      </c>
      <c r="I46" s="13" t="s">
        <v>2</v>
      </c>
      <c r="J46" s="13" t="s">
        <v>3</v>
      </c>
      <c r="K46" s="13" t="s">
        <v>1</v>
      </c>
      <c r="L46" s="13" t="s">
        <v>2</v>
      </c>
      <c r="M46" s="13" t="s">
        <v>3</v>
      </c>
      <c r="N46" s="12"/>
      <c r="O46" s="43" t="s">
        <v>6</v>
      </c>
      <c r="P46" s="37"/>
      <c r="Q46" s="13">
        <f>AVERAGE(D47:D56)</f>
        <v>0</v>
      </c>
      <c r="R46" s="13">
        <f>STDEV(D47:D56)/SQRT(6)</f>
        <v>0</v>
      </c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ht="11.25" customHeight="1">
      <c r="A47" s="13">
        <v>1</v>
      </c>
      <c r="B47" s="13"/>
      <c r="C47" s="13">
        <v>24</v>
      </c>
      <c r="D47" s="13">
        <f t="shared" ref="D47:D52" si="21">B47/C47</f>
        <v>0</v>
      </c>
      <c r="E47" s="13"/>
      <c r="F47" s="13">
        <v>24</v>
      </c>
      <c r="G47" s="13">
        <f t="shared" ref="G47:G52" si="22">E47/F47</f>
        <v>0</v>
      </c>
      <c r="H47" s="13"/>
      <c r="I47" s="13">
        <v>24</v>
      </c>
      <c r="J47" s="13">
        <f t="shared" ref="J47:J52" si="23">H47/I47</f>
        <v>0</v>
      </c>
      <c r="K47" s="13"/>
      <c r="L47" s="13">
        <v>24</v>
      </c>
      <c r="M47" s="13">
        <f t="shared" ref="M47:M52" si="24">K47/L47</f>
        <v>0</v>
      </c>
      <c r="N47" s="12"/>
      <c r="O47" s="43" t="s">
        <v>12</v>
      </c>
      <c r="P47" s="37"/>
      <c r="Q47" s="13">
        <f>AVERAGE(G47:G56)</f>
        <v>0</v>
      </c>
      <c r="R47" s="13">
        <f>STDEV(D48:D57)/SQRT(6)</f>
        <v>0</v>
      </c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ht="11.25" customHeight="1">
      <c r="A48" s="13">
        <v>2</v>
      </c>
      <c r="B48" s="13"/>
      <c r="C48" s="13">
        <v>24</v>
      </c>
      <c r="D48" s="13">
        <f t="shared" si="21"/>
        <v>0</v>
      </c>
      <c r="E48" s="13"/>
      <c r="F48" s="13">
        <v>24</v>
      </c>
      <c r="G48" s="13">
        <f t="shared" si="22"/>
        <v>0</v>
      </c>
      <c r="H48" s="13"/>
      <c r="I48" s="13">
        <v>24</v>
      </c>
      <c r="J48" s="13">
        <f t="shared" si="23"/>
        <v>0</v>
      </c>
      <c r="K48" s="13"/>
      <c r="L48" s="13">
        <v>24</v>
      </c>
      <c r="M48" s="13">
        <f t="shared" si="24"/>
        <v>0</v>
      </c>
      <c r="N48" s="12"/>
      <c r="O48" s="12"/>
      <c r="P48" s="12"/>
      <c r="Q48" s="13">
        <f>AVERAGE(J47:J56)</f>
        <v>0</v>
      </c>
      <c r="R48" s="13">
        <f>STDEV(J47:J56)/SQRT(6)</f>
        <v>0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ht="11.25" customHeight="1">
      <c r="A49" s="13">
        <v>3</v>
      </c>
      <c r="B49" s="13"/>
      <c r="C49" s="13">
        <v>24</v>
      </c>
      <c r="D49" s="13">
        <f t="shared" si="21"/>
        <v>0</v>
      </c>
      <c r="E49" s="13"/>
      <c r="F49" s="13">
        <v>24</v>
      </c>
      <c r="G49" s="13">
        <f t="shared" si="22"/>
        <v>0</v>
      </c>
      <c r="H49" s="13"/>
      <c r="I49" s="13">
        <v>24</v>
      </c>
      <c r="J49" s="13">
        <f t="shared" si="23"/>
        <v>0</v>
      </c>
      <c r="K49" s="13"/>
      <c r="L49" s="13">
        <v>24</v>
      </c>
      <c r="M49" s="13">
        <f t="shared" si="24"/>
        <v>0</v>
      </c>
      <c r="N49" s="12"/>
      <c r="O49" s="11"/>
      <c r="P49" s="12"/>
      <c r="Q49" s="13">
        <f>AVERAGE(M47:M56)</f>
        <v>0</v>
      </c>
      <c r="R49" s="13">
        <f>STDEV(M47:M56)/SQRT(6)</f>
        <v>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spans="1:32" ht="11.25" customHeight="1">
      <c r="A50" s="13">
        <v>4</v>
      </c>
      <c r="B50" s="13"/>
      <c r="C50" s="13">
        <v>24</v>
      </c>
      <c r="D50" s="13">
        <f t="shared" si="21"/>
        <v>0</v>
      </c>
      <c r="E50" s="13"/>
      <c r="F50" s="13">
        <v>24</v>
      </c>
      <c r="G50" s="13">
        <f t="shared" si="22"/>
        <v>0</v>
      </c>
      <c r="H50" s="13"/>
      <c r="I50" s="13">
        <v>24</v>
      </c>
      <c r="J50" s="13">
        <f t="shared" si="23"/>
        <v>0</v>
      </c>
      <c r="K50" s="13"/>
      <c r="L50" s="13">
        <v>24</v>
      </c>
      <c r="M50" s="13">
        <f t="shared" si="24"/>
        <v>0</v>
      </c>
      <c r="N50" s="12"/>
      <c r="O50" s="12"/>
      <c r="P50" s="12"/>
      <c r="Q50" s="12"/>
      <c r="R50" s="1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</row>
    <row r="51" spans="1:32" ht="11.25" customHeight="1">
      <c r="A51" s="13">
        <v>5</v>
      </c>
      <c r="B51" s="13"/>
      <c r="C51" s="13">
        <v>24</v>
      </c>
      <c r="D51" s="13">
        <f t="shared" si="21"/>
        <v>0</v>
      </c>
      <c r="E51" s="13"/>
      <c r="F51" s="13">
        <v>24</v>
      </c>
      <c r="G51" s="13">
        <f t="shared" si="22"/>
        <v>0</v>
      </c>
      <c r="H51" s="13"/>
      <c r="I51" s="13">
        <v>24</v>
      </c>
      <c r="J51" s="13">
        <f t="shared" si="23"/>
        <v>0</v>
      </c>
      <c r="K51" s="13"/>
      <c r="L51" s="13">
        <v>24</v>
      </c>
      <c r="M51" s="13">
        <f t="shared" si="24"/>
        <v>0</v>
      </c>
      <c r="N51" s="12"/>
      <c r="O51" s="12"/>
      <c r="P51" s="12"/>
      <c r="Q51" s="12"/>
      <c r="R51" s="1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</row>
    <row r="52" spans="1:32" ht="11.25" customHeight="1">
      <c r="A52" s="13">
        <v>6</v>
      </c>
      <c r="B52" s="13"/>
      <c r="C52" s="13">
        <v>24</v>
      </c>
      <c r="D52" s="13">
        <f t="shared" si="21"/>
        <v>0</v>
      </c>
      <c r="E52" s="13"/>
      <c r="F52" s="13">
        <v>24</v>
      </c>
      <c r="G52" s="13">
        <f t="shared" si="22"/>
        <v>0</v>
      </c>
      <c r="H52" s="13"/>
      <c r="I52" s="13">
        <v>24</v>
      </c>
      <c r="J52" s="13">
        <f t="shared" si="23"/>
        <v>0</v>
      </c>
      <c r="K52" s="13"/>
      <c r="L52" s="13">
        <v>24</v>
      </c>
      <c r="M52" s="13">
        <f t="shared" si="24"/>
        <v>0</v>
      </c>
      <c r="N52" s="12"/>
      <c r="O52" s="12"/>
      <c r="P52" s="12"/>
      <c r="Q52" s="12"/>
      <c r="R52" s="1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</row>
    <row r="53" spans="1:32" ht="11.25" customHeight="1">
      <c r="A53" s="13">
        <v>7</v>
      </c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2"/>
      <c r="O53" s="12"/>
      <c r="P53" s="12"/>
      <c r="Q53" s="12"/>
      <c r="R53" s="1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</row>
    <row r="54" spans="1:32" ht="11.25" customHeight="1">
      <c r="A54" s="13">
        <v>8</v>
      </c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2"/>
      <c r="O54" s="12"/>
      <c r="P54" s="12"/>
      <c r="Q54" s="12"/>
      <c r="R54" s="1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</row>
    <row r="55" spans="1:32" ht="11.25" customHeight="1">
      <c r="A55" s="13">
        <v>9</v>
      </c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2"/>
      <c r="O55" s="12"/>
      <c r="P55" s="12"/>
      <c r="Q55" s="12"/>
      <c r="R55" s="1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</row>
    <row r="56" spans="1:32" ht="11.25" customHeight="1">
      <c r="A56" s="13">
        <v>10</v>
      </c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2"/>
      <c r="O56" s="12"/>
      <c r="P56" s="12"/>
      <c r="Q56" s="12"/>
      <c r="R56" s="1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</row>
    <row r="57" spans="1:32" ht="11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</row>
    <row r="58" spans="1:32" ht="11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</row>
    <row r="59" spans="1:32" ht="11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</row>
    <row r="60" spans="1:32" ht="11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</row>
    <row r="61" spans="1:32" ht="11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</row>
    <row r="62" spans="1:32" ht="11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</row>
    <row r="63" spans="1:32" ht="11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</row>
    <row r="64" spans="1:32" ht="11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</row>
    <row r="65" spans="1:32" ht="11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</row>
    <row r="66" spans="1:32" ht="11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</row>
    <row r="67" spans="1:32" ht="11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</row>
    <row r="68" spans="1:32" ht="11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</row>
    <row r="69" spans="1:32" ht="11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</row>
    <row r="70" spans="1:32" ht="11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</row>
    <row r="71" spans="1:32" ht="11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</row>
    <row r="72" spans="1:32" ht="11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</row>
    <row r="73" spans="1:32" ht="11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</row>
    <row r="74" spans="1:32" ht="11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</row>
    <row r="75" spans="1:32" ht="11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</row>
    <row r="76" spans="1:32" ht="11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</row>
    <row r="77" spans="1:32" ht="11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</row>
    <row r="78" spans="1:32" ht="11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</row>
    <row r="79" spans="1:32" ht="11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</row>
    <row r="80" spans="1:32" ht="11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</row>
    <row r="81" spans="1:32" ht="11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</row>
    <row r="82" spans="1:32" ht="11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</row>
    <row r="83" spans="1:32" ht="11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</row>
    <row r="84" spans="1:32" ht="11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</row>
    <row r="85" spans="1:32" ht="11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</row>
    <row r="86" spans="1:32" ht="11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</row>
    <row r="87" spans="1:32" ht="11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</row>
    <row r="88" spans="1:32" ht="11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</row>
    <row r="89" spans="1:32" ht="11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</row>
    <row r="90" spans="1:32" ht="11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</row>
    <row r="91" spans="1:32" ht="11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</row>
    <row r="92" spans="1:32" ht="11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</row>
    <row r="93" spans="1:32" ht="11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</row>
    <row r="94" spans="1:32" ht="11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</row>
    <row r="95" spans="1:32" ht="11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</row>
    <row r="96" spans="1:32" ht="11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</row>
    <row r="97" spans="1:32" ht="11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</row>
    <row r="98" spans="1:32" ht="11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</row>
    <row r="99" spans="1:32" ht="11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</row>
    <row r="100" spans="1:32" ht="11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</row>
    <row r="101" spans="1:32" ht="11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</row>
    <row r="102" spans="1:32" ht="11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</row>
    <row r="103" spans="1:32" ht="11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</row>
    <row r="104" spans="1:32" ht="11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</row>
    <row r="105" spans="1:32" ht="11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</row>
    <row r="106" spans="1:32" ht="11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</row>
    <row r="107" spans="1:32" ht="11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</row>
    <row r="108" spans="1:32" ht="11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</row>
    <row r="109" spans="1:32" ht="11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</row>
    <row r="110" spans="1:32" ht="11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</row>
    <row r="111" spans="1:32" ht="11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</row>
    <row r="112" spans="1:32" ht="11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</row>
    <row r="113" spans="1:32" ht="11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</row>
    <row r="114" spans="1:32" ht="11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</row>
    <row r="115" spans="1:32" ht="11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</row>
    <row r="116" spans="1:32" ht="11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</row>
    <row r="117" spans="1:32" ht="11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</row>
    <row r="118" spans="1:32" ht="11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</row>
    <row r="119" spans="1:32" ht="11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</row>
    <row r="120" spans="1:32" ht="11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</row>
    <row r="121" spans="1:32" ht="11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</row>
    <row r="122" spans="1:32" ht="11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</row>
    <row r="123" spans="1:32" ht="11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</row>
    <row r="124" spans="1:32" ht="11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</row>
    <row r="125" spans="1:32" ht="11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</row>
    <row r="126" spans="1:32" ht="11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</row>
    <row r="127" spans="1:32" ht="11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</row>
    <row r="128" spans="1:32" ht="11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</row>
    <row r="129" spans="1:32" ht="11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</row>
    <row r="130" spans="1:32" ht="11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</row>
    <row r="131" spans="1:32" ht="11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</row>
    <row r="132" spans="1:32" ht="11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</row>
    <row r="133" spans="1:32" ht="11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</row>
    <row r="134" spans="1:32" ht="11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</row>
    <row r="135" spans="1:32" ht="11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</row>
    <row r="136" spans="1:32" ht="11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</row>
    <row r="137" spans="1:32" ht="11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</row>
    <row r="138" spans="1:32" ht="11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</row>
    <row r="139" spans="1:32" ht="11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</row>
    <row r="140" spans="1:32" ht="11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</row>
    <row r="141" spans="1:32" ht="11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</row>
    <row r="142" spans="1:32" ht="11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</row>
    <row r="143" spans="1:32" ht="11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</row>
    <row r="144" spans="1:32" ht="11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</row>
    <row r="145" spans="1:32" ht="11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</row>
    <row r="146" spans="1:32" ht="11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</row>
    <row r="147" spans="1:32" ht="11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</row>
    <row r="148" spans="1:32" ht="11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</row>
    <row r="149" spans="1:32" ht="11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</row>
    <row r="150" spans="1:32" ht="11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</row>
    <row r="151" spans="1:32" ht="11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</row>
    <row r="152" spans="1:32" ht="11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</row>
    <row r="153" spans="1:32" ht="11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</row>
    <row r="154" spans="1:32" ht="11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</row>
    <row r="155" spans="1:32" ht="11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</row>
    <row r="156" spans="1:32" ht="11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</row>
    <row r="157" spans="1:32" ht="11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</row>
    <row r="158" spans="1:32" ht="11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</row>
    <row r="159" spans="1:32" ht="11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</row>
    <row r="160" spans="1:32" ht="11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</row>
    <row r="161" spans="1:32" ht="11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</row>
    <row r="162" spans="1:32" ht="11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</row>
    <row r="163" spans="1:32" ht="11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</row>
    <row r="164" spans="1:32" ht="11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</row>
    <row r="165" spans="1:32" ht="11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</row>
    <row r="166" spans="1:32" ht="11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</row>
    <row r="167" spans="1:32" ht="11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</row>
    <row r="168" spans="1:32" ht="11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</row>
    <row r="169" spans="1:32" ht="11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</row>
    <row r="170" spans="1:32" ht="11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</row>
    <row r="171" spans="1:32" ht="11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</row>
    <row r="172" spans="1:32" ht="11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</row>
    <row r="173" spans="1:32" ht="11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</row>
    <row r="174" spans="1:32" ht="11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</row>
    <row r="175" spans="1:32" ht="11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</row>
    <row r="176" spans="1:32" ht="11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</row>
    <row r="177" spans="1:32" ht="11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</row>
    <row r="178" spans="1:32" ht="11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</row>
    <row r="179" spans="1:32" ht="11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</row>
    <row r="180" spans="1:32" ht="11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</row>
    <row r="181" spans="1:32" ht="11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</row>
    <row r="182" spans="1:32" ht="11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</row>
    <row r="183" spans="1:32" ht="11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</row>
    <row r="184" spans="1:32" ht="11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</row>
    <row r="185" spans="1:32" ht="11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</row>
    <row r="186" spans="1:32" ht="11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</row>
    <row r="187" spans="1:32" ht="11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</row>
    <row r="188" spans="1:32" ht="11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</row>
    <row r="189" spans="1:32" ht="11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</row>
    <row r="190" spans="1:32" ht="11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</row>
    <row r="191" spans="1:32" ht="11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</row>
    <row r="192" spans="1:32" ht="11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</row>
    <row r="193" spans="1:32" ht="11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</row>
    <row r="194" spans="1:32" ht="11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</row>
    <row r="195" spans="1:32" ht="11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</row>
    <row r="196" spans="1:32" ht="11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</row>
    <row r="197" spans="1:32" ht="11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</row>
    <row r="198" spans="1:32" ht="11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</row>
    <row r="199" spans="1:32" ht="11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</row>
    <row r="200" spans="1:32" ht="11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</row>
    <row r="201" spans="1:32" ht="11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</row>
    <row r="202" spans="1:32" ht="11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</row>
    <row r="203" spans="1:32" ht="11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</row>
    <row r="204" spans="1:32" ht="11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</row>
    <row r="205" spans="1:32" ht="11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</row>
    <row r="206" spans="1:32" ht="11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</row>
    <row r="207" spans="1:32" ht="11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</row>
    <row r="208" spans="1:32" ht="11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</row>
    <row r="209" spans="1:32" ht="11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</row>
    <row r="210" spans="1:32" ht="11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</row>
    <row r="211" spans="1:32" ht="11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</row>
    <row r="212" spans="1:32" ht="11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</row>
    <row r="213" spans="1:32" ht="11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</row>
    <row r="214" spans="1:32" ht="11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</row>
    <row r="215" spans="1:32" ht="11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</row>
    <row r="216" spans="1:32" ht="11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</row>
    <row r="217" spans="1:32" ht="11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</row>
    <row r="218" spans="1:32" ht="11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</row>
    <row r="219" spans="1:32" ht="11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</row>
    <row r="220" spans="1:32" ht="11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</row>
    <row r="221" spans="1:32" ht="11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</row>
    <row r="222" spans="1:32" ht="11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</row>
    <row r="223" spans="1:32" ht="11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</row>
    <row r="224" spans="1:32" ht="11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</row>
    <row r="225" spans="1:32" ht="11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</row>
    <row r="226" spans="1:32" ht="11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</row>
    <row r="227" spans="1:32" ht="11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</row>
    <row r="228" spans="1:32" ht="11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</row>
    <row r="229" spans="1:32" ht="11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</row>
    <row r="230" spans="1:32" ht="11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</row>
    <row r="231" spans="1:32" ht="11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</row>
    <row r="232" spans="1:32" ht="11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</row>
    <row r="233" spans="1:32" ht="11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</row>
    <row r="234" spans="1:32" ht="11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</row>
    <row r="235" spans="1:32" ht="11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</row>
    <row r="236" spans="1:32" ht="11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</row>
    <row r="237" spans="1:32" ht="11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</row>
    <row r="238" spans="1:32" ht="11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</row>
    <row r="239" spans="1:32" ht="11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</row>
    <row r="240" spans="1:32" ht="11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</row>
    <row r="241" spans="1:32" ht="11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</row>
    <row r="242" spans="1:32" ht="11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</row>
    <row r="243" spans="1:32" ht="11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</row>
    <row r="244" spans="1:32" ht="11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</row>
    <row r="245" spans="1:32" ht="11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</row>
    <row r="246" spans="1:32" ht="11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</row>
    <row r="247" spans="1:32" ht="11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</row>
    <row r="248" spans="1:32" ht="11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</row>
    <row r="249" spans="1:32" ht="11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</row>
    <row r="250" spans="1:32" ht="11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</row>
    <row r="251" spans="1:32" ht="11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</row>
    <row r="252" spans="1:32" ht="11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</row>
    <row r="253" spans="1:32" ht="11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</row>
    <row r="254" spans="1:32" ht="11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</row>
    <row r="255" spans="1:32" ht="11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</row>
    <row r="256" spans="1:32" ht="11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</row>
    <row r="257" spans="1:32" ht="11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</row>
    <row r="258" spans="1:32" ht="11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</row>
    <row r="259" spans="1:32" ht="11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</row>
    <row r="260" spans="1:32" ht="11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</row>
    <row r="261" spans="1:32" ht="11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</row>
    <row r="262" spans="1:32" ht="11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</row>
    <row r="263" spans="1:32" ht="11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</row>
    <row r="264" spans="1:32" ht="11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</row>
    <row r="265" spans="1:32" ht="11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</row>
    <row r="266" spans="1:32" ht="11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</row>
    <row r="267" spans="1:32" ht="11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</row>
    <row r="268" spans="1:32" ht="11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</row>
    <row r="269" spans="1:32" ht="11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</row>
    <row r="270" spans="1:32" ht="11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</row>
    <row r="271" spans="1:32" ht="11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</row>
    <row r="272" spans="1:32" ht="11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</row>
    <row r="273" spans="1:32" ht="11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</row>
    <row r="274" spans="1:32" ht="11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</row>
    <row r="275" spans="1:32" ht="11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</row>
    <row r="276" spans="1:32" ht="11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</row>
    <row r="277" spans="1:32" ht="11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</row>
    <row r="278" spans="1:32" ht="11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</row>
    <row r="279" spans="1:32" ht="11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</row>
    <row r="280" spans="1:32" ht="11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</row>
    <row r="281" spans="1:32" ht="11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</row>
    <row r="282" spans="1:32" ht="11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</row>
    <row r="283" spans="1:32" ht="11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</row>
    <row r="284" spans="1:32" ht="11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</row>
    <row r="285" spans="1:32" ht="11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</row>
    <row r="286" spans="1:32" ht="11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</row>
    <row r="287" spans="1:32" ht="11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</row>
    <row r="288" spans="1:32" ht="11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</row>
    <row r="289" spans="1:32" ht="11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</row>
    <row r="290" spans="1:32" ht="11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</row>
    <row r="291" spans="1:32" ht="11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</row>
    <row r="292" spans="1:32" ht="11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</row>
    <row r="293" spans="1:32" ht="11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</row>
    <row r="294" spans="1:32" ht="11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  <row r="295" spans="1:32" ht="11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</row>
    <row r="296" spans="1:32" ht="11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</row>
    <row r="297" spans="1:32" ht="11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</row>
    <row r="298" spans="1:32" ht="11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</row>
    <row r="299" spans="1:32" ht="11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</row>
    <row r="300" spans="1:32" ht="11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</row>
    <row r="301" spans="1:32" ht="11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</row>
    <row r="302" spans="1:32" ht="11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</row>
    <row r="303" spans="1:32" ht="11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</row>
    <row r="304" spans="1:32" ht="11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</row>
    <row r="305" spans="1:32" ht="11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</row>
    <row r="306" spans="1:32" ht="11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</row>
    <row r="307" spans="1:32" ht="11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</row>
    <row r="308" spans="1:32" ht="11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</row>
    <row r="309" spans="1:32" ht="11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</row>
    <row r="310" spans="1:32" ht="11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</row>
    <row r="311" spans="1:32" ht="11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</row>
    <row r="312" spans="1:32" ht="11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</row>
    <row r="313" spans="1:32" ht="11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</row>
    <row r="314" spans="1:32" ht="11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</row>
    <row r="315" spans="1:32" ht="11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</row>
    <row r="316" spans="1:32" ht="11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</row>
    <row r="317" spans="1:32" ht="11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</row>
    <row r="318" spans="1:32" ht="11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</row>
    <row r="319" spans="1:32" ht="11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</row>
    <row r="320" spans="1:32" ht="11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</row>
    <row r="321" spans="1:32" ht="11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</row>
    <row r="322" spans="1:32" ht="11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</row>
    <row r="323" spans="1:32" ht="11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</row>
    <row r="324" spans="1:32" ht="11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</row>
    <row r="325" spans="1:32" ht="11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</row>
    <row r="326" spans="1:32" ht="11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</row>
    <row r="327" spans="1:32" ht="11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</row>
    <row r="328" spans="1:32" ht="11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</row>
    <row r="329" spans="1:32" ht="11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</row>
    <row r="330" spans="1:32" ht="11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</row>
    <row r="331" spans="1:32" ht="11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</row>
    <row r="332" spans="1:32" ht="11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</row>
    <row r="333" spans="1:32" ht="11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</row>
    <row r="334" spans="1:32" ht="11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</row>
    <row r="335" spans="1:32" ht="11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</row>
    <row r="336" spans="1:32" ht="11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</row>
    <row r="337" spans="1:32" ht="11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</row>
    <row r="338" spans="1:32" ht="11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</row>
    <row r="339" spans="1:32" ht="11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</row>
    <row r="340" spans="1:32" ht="11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</row>
    <row r="341" spans="1:32" ht="11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</row>
    <row r="342" spans="1:32" ht="11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</row>
    <row r="343" spans="1:32" ht="11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</row>
    <row r="344" spans="1:32" ht="11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</row>
    <row r="345" spans="1:32" ht="11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</row>
    <row r="346" spans="1:32" ht="11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</row>
    <row r="347" spans="1:32" ht="11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</row>
    <row r="348" spans="1:32" ht="11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</row>
    <row r="349" spans="1:32" ht="11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</row>
    <row r="350" spans="1:32" ht="11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</row>
    <row r="351" spans="1:32" ht="11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</row>
    <row r="352" spans="1:32" ht="11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</row>
    <row r="353" spans="1:32" ht="11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</row>
    <row r="354" spans="1:32" ht="11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</row>
    <row r="355" spans="1:32" ht="11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</row>
    <row r="356" spans="1:32" ht="11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</row>
    <row r="357" spans="1:32" ht="11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</row>
    <row r="358" spans="1:32" ht="11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</row>
    <row r="359" spans="1:32" ht="11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</row>
    <row r="360" spans="1:32" ht="11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</row>
    <row r="361" spans="1:32" ht="11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</row>
    <row r="362" spans="1:32" ht="11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</row>
    <row r="363" spans="1:32" ht="11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</row>
    <row r="364" spans="1:32" ht="11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</row>
    <row r="365" spans="1:32" ht="11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</row>
    <row r="366" spans="1:32" ht="11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</row>
    <row r="367" spans="1:32" ht="11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</row>
    <row r="368" spans="1:32" ht="11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</row>
    <row r="369" spans="1:32" ht="11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</row>
    <row r="370" spans="1:32" ht="11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</row>
    <row r="371" spans="1:32" ht="11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</row>
    <row r="372" spans="1:32" ht="11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</row>
    <row r="373" spans="1:32" ht="11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</row>
    <row r="374" spans="1:32" ht="11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</row>
    <row r="375" spans="1:32" ht="11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</row>
    <row r="376" spans="1:32" ht="11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</row>
    <row r="377" spans="1:32" ht="11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</row>
    <row r="378" spans="1:32" ht="11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</row>
    <row r="379" spans="1:32" ht="11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</row>
    <row r="380" spans="1:32" ht="11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</row>
    <row r="381" spans="1:32" ht="11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</row>
    <row r="382" spans="1:32" ht="11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</row>
    <row r="383" spans="1:32" ht="11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</row>
    <row r="384" spans="1:32" ht="11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</row>
    <row r="385" spans="1:32" ht="11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</row>
    <row r="386" spans="1:32" ht="11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</row>
    <row r="387" spans="1:32" ht="11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</row>
    <row r="388" spans="1:32" ht="11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</row>
    <row r="389" spans="1:32" ht="11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</row>
    <row r="390" spans="1:32" ht="11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</row>
    <row r="391" spans="1:32" ht="11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</row>
    <row r="392" spans="1:32" ht="11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</row>
    <row r="393" spans="1:32" ht="11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</row>
    <row r="394" spans="1:32" ht="11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</row>
    <row r="395" spans="1:32" ht="11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</row>
    <row r="396" spans="1:32" ht="11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</row>
    <row r="397" spans="1:32" ht="11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</row>
    <row r="398" spans="1:32" ht="11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</row>
    <row r="399" spans="1:32" ht="11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</row>
    <row r="400" spans="1:32" ht="11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</row>
    <row r="401" spans="1:32" ht="11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</row>
    <row r="402" spans="1:32" ht="11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</row>
    <row r="403" spans="1:32" ht="11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</row>
    <row r="404" spans="1:32" ht="11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</row>
    <row r="405" spans="1:32" ht="11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</row>
    <row r="406" spans="1:32" ht="11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</row>
    <row r="407" spans="1:32" ht="11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</row>
    <row r="408" spans="1:32" ht="11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</row>
    <row r="409" spans="1:32" ht="11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</row>
    <row r="410" spans="1:32" ht="11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</row>
    <row r="411" spans="1:32" ht="11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</row>
    <row r="412" spans="1:32" ht="11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</row>
    <row r="413" spans="1:32" ht="11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</row>
    <row r="414" spans="1:32" ht="11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</row>
    <row r="415" spans="1:32" ht="11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</row>
    <row r="416" spans="1:32" ht="11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</row>
    <row r="417" spans="1:32" ht="11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</row>
    <row r="418" spans="1:32" ht="11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</row>
    <row r="419" spans="1:32" ht="11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</row>
    <row r="420" spans="1:32" ht="11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</row>
    <row r="421" spans="1:32" ht="11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</row>
    <row r="422" spans="1:32" ht="11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</row>
    <row r="423" spans="1:32" ht="11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</row>
    <row r="424" spans="1:32" ht="11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</row>
    <row r="425" spans="1:32" ht="11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</row>
    <row r="426" spans="1:32" ht="11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</row>
    <row r="427" spans="1:32" ht="11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</row>
    <row r="428" spans="1:32" ht="11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</row>
    <row r="429" spans="1:32" ht="11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</row>
    <row r="430" spans="1:32" ht="11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</row>
    <row r="431" spans="1:32" ht="11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</row>
    <row r="432" spans="1:32" ht="11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</row>
    <row r="433" spans="1:32" ht="11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</row>
    <row r="434" spans="1:32" ht="11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</row>
    <row r="435" spans="1:32" ht="11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</row>
    <row r="436" spans="1:32" ht="11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</row>
    <row r="437" spans="1:32" ht="11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</row>
    <row r="438" spans="1:32" ht="11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</row>
    <row r="439" spans="1:32" ht="11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</row>
    <row r="440" spans="1:32" ht="11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</row>
    <row r="441" spans="1:32" ht="11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</row>
    <row r="442" spans="1:32" ht="11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</row>
    <row r="443" spans="1:32" ht="11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</row>
    <row r="444" spans="1:32" ht="11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</row>
    <row r="445" spans="1:32" ht="11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</row>
    <row r="446" spans="1:32" ht="11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</row>
    <row r="447" spans="1:32" ht="11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</row>
    <row r="448" spans="1:32" ht="11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</row>
    <row r="449" spans="1:32" ht="11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</row>
    <row r="450" spans="1:32" ht="11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</row>
    <row r="451" spans="1:32" ht="11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</row>
    <row r="452" spans="1:32" ht="11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</row>
    <row r="453" spans="1:32" ht="11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</row>
    <row r="454" spans="1:32" ht="11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</row>
    <row r="455" spans="1:32" ht="11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</row>
    <row r="456" spans="1:32" ht="11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</row>
    <row r="457" spans="1:32" ht="11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</row>
    <row r="458" spans="1:32" ht="11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</row>
    <row r="459" spans="1:32" ht="11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</row>
    <row r="460" spans="1:32" ht="11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</row>
    <row r="461" spans="1:32" ht="11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</row>
    <row r="462" spans="1:32" ht="11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</row>
    <row r="463" spans="1:32" ht="11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</row>
    <row r="464" spans="1:32" ht="11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</row>
    <row r="465" spans="1:32" ht="11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</row>
    <row r="466" spans="1:32" ht="11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</row>
    <row r="467" spans="1:32" ht="11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</row>
    <row r="468" spans="1:32" ht="11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</row>
    <row r="469" spans="1:32" ht="11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</row>
    <row r="470" spans="1:32" ht="11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</row>
    <row r="471" spans="1:32" ht="11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</row>
    <row r="472" spans="1:32" ht="11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</row>
    <row r="473" spans="1:32" ht="11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</row>
    <row r="474" spans="1:32" ht="11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</row>
    <row r="475" spans="1:32" ht="11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</row>
    <row r="476" spans="1:32" ht="11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</row>
    <row r="477" spans="1:32" ht="11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</row>
    <row r="478" spans="1:32" ht="11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</row>
    <row r="479" spans="1:32" ht="11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</row>
    <row r="480" spans="1:32" ht="11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</row>
    <row r="481" spans="1:32" ht="11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</row>
    <row r="482" spans="1:32" ht="11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</row>
    <row r="483" spans="1:32" ht="11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</row>
    <row r="484" spans="1:32" ht="11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</row>
    <row r="485" spans="1:32" ht="11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</row>
    <row r="486" spans="1:32" ht="11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</row>
    <row r="487" spans="1:32" ht="11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</row>
    <row r="488" spans="1:32" ht="11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</row>
    <row r="489" spans="1:32" ht="11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</row>
    <row r="490" spans="1:32" ht="11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</row>
    <row r="491" spans="1:32" ht="11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</row>
    <row r="492" spans="1:32" ht="11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</row>
    <row r="493" spans="1:32" ht="11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</row>
    <row r="494" spans="1:32" ht="11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</row>
    <row r="495" spans="1:32" ht="11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</row>
    <row r="496" spans="1:32" ht="11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</row>
    <row r="497" spans="1:32" ht="11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</row>
    <row r="498" spans="1:32" ht="11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</row>
    <row r="499" spans="1:32" ht="11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</row>
    <row r="500" spans="1:32" ht="11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</row>
    <row r="501" spans="1:32" ht="11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</row>
    <row r="502" spans="1:32" ht="11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</row>
    <row r="503" spans="1:32" ht="11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</row>
    <row r="504" spans="1:32" ht="11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</row>
    <row r="505" spans="1:32" ht="11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</row>
    <row r="506" spans="1:32" ht="11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</row>
    <row r="507" spans="1:32" ht="11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</row>
    <row r="508" spans="1:32" ht="11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</row>
    <row r="509" spans="1:32" ht="11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</row>
    <row r="510" spans="1:32" ht="11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</row>
    <row r="511" spans="1:32" ht="11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</row>
    <row r="512" spans="1:32" ht="11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</row>
    <row r="513" spans="1:32" ht="11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</row>
    <row r="514" spans="1:32" ht="11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</row>
    <row r="515" spans="1:32" ht="11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</row>
    <row r="516" spans="1:32" ht="11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</row>
    <row r="517" spans="1:32" ht="11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</row>
    <row r="518" spans="1:32" ht="11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</row>
    <row r="519" spans="1:32" ht="11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</row>
    <row r="520" spans="1:32" ht="11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</row>
    <row r="521" spans="1:32" ht="11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</row>
    <row r="522" spans="1:32" ht="11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</row>
    <row r="523" spans="1:32" ht="11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</row>
    <row r="524" spans="1:32" ht="11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</row>
    <row r="525" spans="1:32" ht="11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</row>
    <row r="526" spans="1:32" ht="11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</row>
    <row r="527" spans="1:32" ht="11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</row>
    <row r="528" spans="1:32" ht="11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</row>
    <row r="529" spans="1:32" ht="11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</row>
    <row r="530" spans="1:32" ht="11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</row>
    <row r="531" spans="1:32" ht="11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</row>
    <row r="532" spans="1:32" ht="11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</row>
    <row r="533" spans="1:32" ht="11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</row>
    <row r="534" spans="1:32" ht="11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</row>
    <row r="535" spans="1:32" ht="11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</row>
    <row r="536" spans="1:32" ht="11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</row>
    <row r="537" spans="1:32" ht="11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</row>
    <row r="538" spans="1:32" ht="11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</row>
    <row r="539" spans="1:32" ht="11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</row>
    <row r="540" spans="1:32" ht="11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</row>
    <row r="541" spans="1:32" ht="11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</row>
    <row r="542" spans="1:32" ht="11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</row>
    <row r="543" spans="1:32" ht="11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</row>
    <row r="544" spans="1:32" ht="11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</row>
    <row r="545" spans="1:32" ht="11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</row>
    <row r="546" spans="1:32" ht="11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</row>
    <row r="547" spans="1:32" ht="11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</row>
    <row r="548" spans="1:32" ht="11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</row>
    <row r="549" spans="1:32" ht="11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</row>
    <row r="550" spans="1:32" ht="11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</row>
    <row r="551" spans="1:32" ht="11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</row>
    <row r="552" spans="1:32" ht="11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</row>
    <row r="553" spans="1:32" ht="11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</row>
    <row r="554" spans="1:32" ht="11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</row>
    <row r="555" spans="1:32" ht="11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</row>
    <row r="556" spans="1:32" ht="11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</row>
    <row r="557" spans="1:32" ht="11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</row>
    <row r="558" spans="1:32" ht="11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</row>
    <row r="559" spans="1:32" ht="11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</row>
    <row r="560" spans="1:32" ht="11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</row>
    <row r="561" spans="1:32" ht="11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</row>
    <row r="562" spans="1:32" ht="11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</row>
    <row r="563" spans="1:32" ht="11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</row>
    <row r="564" spans="1:32" ht="11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</row>
    <row r="565" spans="1:32" ht="11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</row>
    <row r="566" spans="1:32" ht="11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</row>
    <row r="567" spans="1:32" ht="11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</row>
    <row r="568" spans="1:32" ht="11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</row>
    <row r="569" spans="1:32" ht="11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</row>
    <row r="570" spans="1:32" ht="11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</row>
    <row r="571" spans="1:32" ht="11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</row>
    <row r="572" spans="1:32" ht="11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</row>
    <row r="573" spans="1:32" ht="11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</row>
    <row r="574" spans="1:32" ht="11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</row>
    <row r="575" spans="1:32" ht="11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</row>
    <row r="576" spans="1:32" ht="11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</row>
    <row r="577" spans="1:32" ht="11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</row>
    <row r="578" spans="1:32" ht="11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</row>
    <row r="579" spans="1:32" ht="11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</row>
    <row r="580" spans="1:32" ht="11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</row>
    <row r="581" spans="1:32" ht="11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</row>
    <row r="582" spans="1:32" ht="11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</row>
    <row r="583" spans="1:32" ht="11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</row>
    <row r="584" spans="1:32" ht="11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</row>
    <row r="585" spans="1:32" ht="11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</row>
    <row r="586" spans="1:32" ht="11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</row>
    <row r="587" spans="1:32" ht="11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</row>
    <row r="588" spans="1:32" ht="11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</row>
    <row r="589" spans="1:32" ht="11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</row>
    <row r="590" spans="1:32" ht="11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</row>
    <row r="591" spans="1:32" ht="11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</row>
    <row r="592" spans="1:32" ht="11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</row>
    <row r="593" spans="1:32" ht="11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</row>
    <row r="594" spans="1:32" ht="11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</row>
    <row r="595" spans="1:32" ht="11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</row>
    <row r="596" spans="1:32" ht="11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</row>
    <row r="597" spans="1:32" ht="11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</row>
    <row r="598" spans="1:32" ht="11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</row>
    <row r="599" spans="1:32" ht="11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</row>
    <row r="600" spans="1:32" ht="11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</row>
    <row r="601" spans="1:32" ht="11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</row>
    <row r="602" spans="1:32" ht="11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</row>
    <row r="603" spans="1:32" ht="11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</row>
    <row r="604" spans="1:32" ht="11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</row>
    <row r="605" spans="1:32" ht="11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</row>
    <row r="606" spans="1:32" ht="11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</row>
    <row r="607" spans="1:32" ht="11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</row>
    <row r="608" spans="1:32" ht="11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</row>
    <row r="609" spans="1:32" ht="11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</row>
    <row r="610" spans="1:32" ht="11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</row>
    <row r="611" spans="1:32" ht="11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</row>
    <row r="612" spans="1:32" ht="11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</row>
    <row r="613" spans="1:32" ht="11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</row>
    <row r="614" spans="1:32" ht="11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</row>
    <row r="615" spans="1:32" ht="11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</row>
    <row r="616" spans="1:32" ht="11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</row>
    <row r="617" spans="1:32" ht="11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</row>
    <row r="618" spans="1:32" ht="11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</row>
    <row r="619" spans="1:32" ht="11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</row>
    <row r="620" spans="1:32" ht="11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</row>
    <row r="621" spans="1:32" ht="11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</row>
    <row r="622" spans="1:32" ht="11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</row>
    <row r="623" spans="1:32" ht="11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</row>
    <row r="624" spans="1:32" ht="11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</row>
    <row r="625" spans="1:32" ht="11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</row>
    <row r="626" spans="1:32" ht="11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</row>
    <row r="627" spans="1:32" ht="11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</row>
    <row r="628" spans="1:32" ht="11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</row>
    <row r="629" spans="1:32" ht="11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</row>
    <row r="630" spans="1:32" ht="11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</row>
    <row r="631" spans="1:32" ht="11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</row>
    <row r="632" spans="1:32" ht="11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</row>
    <row r="633" spans="1:32" ht="11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</row>
    <row r="634" spans="1:32" ht="11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</row>
    <row r="635" spans="1:32" ht="11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</row>
    <row r="636" spans="1:32" ht="11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</row>
    <row r="637" spans="1:32" ht="11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</row>
    <row r="638" spans="1:32" ht="11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</row>
    <row r="639" spans="1:32" ht="11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</row>
    <row r="640" spans="1:32" ht="11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</row>
    <row r="641" spans="1:32" ht="11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</row>
    <row r="642" spans="1:32" ht="11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</row>
    <row r="643" spans="1:32" ht="11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</row>
    <row r="644" spans="1:32" ht="11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</row>
    <row r="645" spans="1:32" ht="11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</row>
    <row r="646" spans="1:32" ht="11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</row>
    <row r="647" spans="1:32" ht="11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</row>
    <row r="648" spans="1:32" ht="11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</row>
    <row r="649" spans="1:32" ht="11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</row>
    <row r="650" spans="1:32" ht="11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</row>
    <row r="651" spans="1:32" ht="11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</row>
    <row r="652" spans="1:32" ht="11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</row>
    <row r="653" spans="1:32" ht="11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</row>
    <row r="654" spans="1:32" ht="11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</row>
    <row r="655" spans="1:32" ht="11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</row>
    <row r="656" spans="1:32" ht="11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</row>
    <row r="657" spans="1:32" ht="11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</row>
    <row r="658" spans="1:32" ht="11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</row>
    <row r="659" spans="1:32" ht="11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</row>
    <row r="660" spans="1:32" ht="11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</row>
    <row r="661" spans="1:32" ht="11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</row>
    <row r="662" spans="1:32" ht="11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</row>
    <row r="663" spans="1:32" ht="11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</row>
    <row r="664" spans="1:32" ht="11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</row>
    <row r="665" spans="1:32" ht="11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</row>
    <row r="666" spans="1:32" ht="11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</row>
    <row r="667" spans="1:32" ht="11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</row>
    <row r="668" spans="1:32" ht="11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</row>
    <row r="669" spans="1:32" ht="11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</row>
    <row r="670" spans="1:32" ht="11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</row>
    <row r="671" spans="1:32" ht="11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</row>
    <row r="672" spans="1:32" ht="11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</row>
    <row r="673" spans="1:32" ht="11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</row>
    <row r="674" spans="1:32" ht="11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</row>
    <row r="675" spans="1:32" ht="11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</row>
    <row r="676" spans="1:32" ht="11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</row>
    <row r="677" spans="1:32" ht="11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</row>
    <row r="678" spans="1:32" ht="11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</row>
    <row r="679" spans="1:32" ht="11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</row>
    <row r="680" spans="1:32" ht="11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</row>
    <row r="681" spans="1:32" ht="11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</row>
    <row r="682" spans="1:32" ht="11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</row>
    <row r="683" spans="1:32" ht="11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</row>
    <row r="684" spans="1:32" ht="11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</row>
    <row r="685" spans="1:32" ht="11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</row>
    <row r="686" spans="1:32" ht="11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</row>
    <row r="687" spans="1:32" ht="11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</row>
    <row r="688" spans="1:32" ht="11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</row>
    <row r="689" spans="1:32" ht="11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</row>
    <row r="690" spans="1:32" ht="11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</row>
    <row r="691" spans="1:32" ht="11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</row>
    <row r="692" spans="1:32" ht="11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</row>
    <row r="693" spans="1:32" ht="11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</row>
    <row r="694" spans="1:32" ht="11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</row>
    <row r="695" spans="1:32" ht="11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</row>
    <row r="696" spans="1:32" ht="11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</row>
    <row r="697" spans="1:32" ht="11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</row>
    <row r="698" spans="1:32" ht="11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</row>
    <row r="699" spans="1:32" ht="11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</row>
    <row r="700" spans="1:32" ht="11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</row>
    <row r="701" spans="1:32" ht="11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</row>
    <row r="702" spans="1:32" ht="11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</row>
    <row r="703" spans="1:32" ht="11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</row>
    <row r="704" spans="1:32" ht="11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</row>
    <row r="705" spans="1:32" ht="11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</row>
    <row r="706" spans="1:32" ht="11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</row>
    <row r="707" spans="1:32" ht="11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</row>
    <row r="708" spans="1:32" ht="11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</row>
    <row r="709" spans="1:32" ht="11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</row>
    <row r="710" spans="1:32" ht="11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</row>
    <row r="711" spans="1:32" ht="11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</row>
    <row r="712" spans="1:32" ht="11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</row>
    <row r="713" spans="1:32" ht="11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</row>
    <row r="714" spans="1:32" ht="11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</row>
    <row r="715" spans="1:32" ht="11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</row>
    <row r="716" spans="1:32" ht="11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</row>
    <row r="717" spans="1:32" ht="11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</row>
    <row r="718" spans="1:32" ht="11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</row>
    <row r="719" spans="1:32" ht="11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</row>
    <row r="720" spans="1:32" ht="11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</row>
    <row r="721" spans="1:32" ht="11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</row>
    <row r="722" spans="1:32" ht="11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</row>
    <row r="723" spans="1:32" ht="11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</row>
    <row r="724" spans="1:32" ht="11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</row>
    <row r="725" spans="1:32" ht="11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</row>
    <row r="726" spans="1:32" ht="11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</row>
    <row r="727" spans="1:32" ht="11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</row>
    <row r="728" spans="1:32" ht="11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</row>
    <row r="729" spans="1:32" ht="11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</row>
    <row r="730" spans="1:32" ht="11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</row>
    <row r="731" spans="1:32" ht="11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</row>
    <row r="732" spans="1:32" ht="11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</row>
    <row r="733" spans="1:32" ht="11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</row>
    <row r="734" spans="1:32" ht="11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</row>
    <row r="735" spans="1:32" ht="11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</row>
    <row r="736" spans="1:32" ht="11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</row>
    <row r="737" spans="1:32" ht="11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</row>
    <row r="738" spans="1:32" ht="11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</row>
    <row r="739" spans="1:32" ht="11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</row>
    <row r="740" spans="1:32" ht="11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</row>
    <row r="741" spans="1:32" ht="11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</row>
    <row r="742" spans="1:32" ht="11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</row>
    <row r="743" spans="1:32" ht="11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</row>
    <row r="744" spans="1:32" ht="11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</row>
    <row r="745" spans="1:32" ht="11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</row>
    <row r="746" spans="1:32" ht="11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</row>
    <row r="747" spans="1:32" ht="11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</row>
    <row r="748" spans="1:32" ht="11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</row>
    <row r="749" spans="1:32" ht="11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</row>
    <row r="750" spans="1:32" ht="11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</row>
    <row r="751" spans="1:32" ht="11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</row>
    <row r="752" spans="1:32" ht="11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</row>
    <row r="753" spans="1:32" ht="11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</row>
    <row r="754" spans="1:32" ht="11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</row>
    <row r="755" spans="1:32" ht="11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</row>
    <row r="756" spans="1:32" ht="11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</row>
    <row r="757" spans="1:32" ht="11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</row>
    <row r="758" spans="1:32" ht="11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</row>
    <row r="759" spans="1:32" ht="11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</row>
    <row r="760" spans="1:32" ht="11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</row>
    <row r="761" spans="1:32" ht="11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</row>
    <row r="762" spans="1:32" ht="11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</row>
    <row r="763" spans="1:32" ht="11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</row>
    <row r="764" spans="1:32" ht="11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</row>
    <row r="765" spans="1:32" ht="11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</row>
    <row r="766" spans="1:32" ht="11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</row>
    <row r="767" spans="1:32" ht="11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</row>
    <row r="768" spans="1:32" ht="11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</row>
    <row r="769" spans="1:32" ht="11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</row>
    <row r="770" spans="1:32" ht="11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</row>
    <row r="771" spans="1:32" ht="11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</row>
    <row r="772" spans="1:32" ht="11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</row>
    <row r="773" spans="1:32" ht="11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</row>
    <row r="774" spans="1:32" ht="11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</row>
    <row r="775" spans="1:32" ht="11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</row>
    <row r="776" spans="1:32" ht="11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</row>
    <row r="777" spans="1:32" ht="11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</row>
    <row r="778" spans="1:32" ht="11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</row>
    <row r="779" spans="1:32" ht="11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</row>
    <row r="780" spans="1:32" ht="11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</row>
    <row r="781" spans="1:32" ht="11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</row>
    <row r="782" spans="1:32" ht="11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</row>
    <row r="783" spans="1:32" ht="11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</row>
    <row r="784" spans="1:32" ht="11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</row>
    <row r="785" spans="1:32" ht="11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</row>
    <row r="786" spans="1:32" ht="11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</row>
    <row r="787" spans="1:32" ht="11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</row>
    <row r="788" spans="1:32" ht="11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</row>
    <row r="789" spans="1:32" ht="11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</row>
    <row r="790" spans="1:32" ht="11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</row>
    <row r="791" spans="1:32" ht="11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</row>
    <row r="792" spans="1:32" ht="11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</row>
    <row r="793" spans="1:32" ht="11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</row>
    <row r="794" spans="1:32" ht="11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</row>
    <row r="795" spans="1:32" ht="11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</row>
    <row r="796" spans="1:32" ht="11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</row>
    <row r="797" spans="1:32" ht="11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</row>
    <row r="798" spans="1:32" ht="11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</row>
    <row r="799" spans="1:32" ht="11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</row>
    <row r="800" spans="1:32" ht="11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</row>
    <row r="801" spans="1:32" ht="11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</row>
    <row r="802" spans="1:32" ht="11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</row>
    <row r="803" spans="1:32" ht="11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</row>
    <row r="804" spans="1:32" ht="11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</row>
    <row r="805" spans="1:32" ht="11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</row>
    <row r="806" spans="1:32" ht="11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</row>
    <row r="807" spans="1:32" ht="11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</row>
    <row r="808" spans="1:32" ht="11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</row>
    <row r="809" spans="1:32" ht="11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</row>
    <row r="810" spans="1:32" ht="11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</row>
    <row r="811" spans="1:32" ht="11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</row>
    <row r="812" spans="1:32" ht="11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</row>
    <row r="813" spans="1:32" ht="11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</row>
    <row r="814" spans="1:32" ht="11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</row>
    <row r="815" spans="1:32" ht="11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</row>
    <row r="816" spans="1:32" ht="11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</row>
    <row r="817" spans="1:32" ht="11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</row>
    <row r="818" spans="1:32" ht="11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</row>
    <row r="819" spans="1:32" ht="11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</row>
    <row r="820" spans="1:32" ht="11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</row>
    <row r="821" spans="1:32" ht="11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</row>
    <row r="822" spans="1:32" ht="11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</row>
    <row r="823" spans="1:32" ht="11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</row>
    <row r="824" spans="1:32" ht="11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</row>
    <row r="825" spans="1:32" ht="11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</row>
    <row r="826" spans="1:32" ht="11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</row>
    <row r="827" spans="1:32" ht="11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</row>
    <row r="828" spans="1:32" ht="11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</row>
    <row r="829" spans="1:32" ht="11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</row>
    <row r="830" spans="1:32" ht="11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</row>
    <row r="831" spans="1:32" ht="11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</row>
    <row r="832" spans="1:32" ht="11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</row>
    <row r="833" spans="1:32" ht="11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</row>
    <row r="834" spans="1:32" ht="11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</row>
    <row r="835" spans="1:32" ht="11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</row>
    <row r="836" spans="1:32" ht="11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</row>
    <row r="837" spans="1:32" ht="11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</row>
    <row r="838" spans="1:32" ht="11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</row>
    <row r="839" spans="1:32" ht="11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</row>
    <row r="840" spans="1:32" ht="11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</row>
    <row r="841" spans="1:32" ht="11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</row>
    <row r="842" spans="1:32" ht="11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</row>
    <row r="843" spans="1:32" ht="11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</row>
    <row r="844" spans="1:32" ht="11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</row>
    <row r="845" spans="1:32" ht="11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</row>
    <row r="846" spans="1:32" ht="11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</row>
    <row r="847" spans="1:32" ht="11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</row>
    <row r="848" spans="1:32" ht="11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</row>
    <row r="849" spans="1:32" ht="11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</row>
    <row r="850" spans="1:32" ht="11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</row>
    <row r="851" spans="1:32" ht="11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</row>
    <row r="852" spans="1:32" ht="11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</row>
    <row r="853" spans="1:32" ht="11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</row>
    <row r="854" spans="1:32" ht="11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</row>
    <row r="855" spans="1:32" ht="11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</row>
    <row r="856" spans="1:32" ht="11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</row>
    <row r="857" spans="1:32" ht="11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</row>
    <row r="858" spans="1:32" ht="11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</row>
    <row r="859" spans="1:32" ht="11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</row>
    <row r="860" spans="1:32" ht="11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</row>
    <row r="861" spans="1:32" ht="11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</row>
    <row r="862" spans="1:32" ht="11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</row>
    <row r="863" spans="1:32" ht="11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</row>
    <row r="864" spans="1:32" ht="11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</row>
    <row r="865" spans="1:32" ht="11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</row>
    <row r="866" spans="1:32" ht="11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</row>
    <row r="867" spans="1:32" ht="11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</row>
    <row r="868" spans="1:32" ht="11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</row>
    <row r="869" spans="1:32" ht="11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</row>
    <row r="870" spans="1:32" ht="11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</row>
    <row r="871" spans="1:32" ht="11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</row>
    <row r="872" spans="1:32" ht="11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</row>
    <row r="873" spans="1:32" ht="11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</row>
    <row r="874" spans="1:32" ht="11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</row>
    <row r="875" spans="1:32" ht="11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</row>
    <row r="876" spans="1:32" ht="11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</row>
    <row r="877" spans="1:32" ht="11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</row>
    <row r="878" spans="1:32" ht="11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</row>
    <row r="879" spans="1:32" ht="11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</row>
    <row r="880" spans="1:32" ht="11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</row>
    <row r="881" spans="1:32" ht="11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</row>
    <row r="882" spans="1:32" ht="11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</row>
    <row r="883" spans="1:32" ht="11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</row>
    <row r="884" spans="1:32" ht="11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</row>
    <row r="885" spans="1:32" ht="11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</row>
    <row r="886" spans="1:32" ht="11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</row>
    <row r="887" spans="1:32" ht="11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</row>
    <row r="888" spans="1:32" ht="11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</row>
    <row r="889" spans="1:32" ht="11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</row>
    <row r="890" spans="1:32" ht="11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</row>
    <row r="891" spans="1:32" ht="11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</row>
    <row r="892" spans="1:32" ht="11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</row>
    <row r="893" spans="1:32" ht="11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</row>
    <row r="894" spans="1:32" ht="11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</row>
    <row r="895" spans="1:32" ht="11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</row>
    <row r="896" spans="1:32" ht="11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</row>
    <row r="897" spans="1:32" ht="11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</row>
    <row r="898" spans="1:32" ht="11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</row>
    <row r="899" spans="1:32" ht="11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</row>
    <row r="900" spans="1:32" ht="11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</row>
    <row r="901" spans="1:32" ht="11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</row>
    <row r="902" spans="1:32" ht="11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</row>
    <row r="903" spans="1:32" ht="11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</row>
    <row r="904" spans="1:32" ht="11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</row>
    <row r="905" spans="1:32" ht="11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</row>
    <row r="906" spans="1:32" ht="11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</row>
    <row r="907" spans="1:32" ht="11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</row>
    <row r="908" spans="1:32" ht="11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</row>
    <row r="909" spans="1:32" ht="11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</row>
    <row r="910" spans="1:32" ht="11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</row>
    <row r="911" spans="1:32" ht="11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</row>
    <row r="912" spans="1:32" ht="11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</row>
    <row r="913" spans="1:32" ht="11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</row>
    <row r="914" spans="1:32" ht="11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</row>
    <row r="915" spans="1:32" ht="11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</row>
    <row r="916" spans="1:32" ht="11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</row>
    <row r="917" spans="1:32" ht="11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</row>
    <row r="918" spans="1:32" ht="11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</row>
    <row r="919" spans="1:32" ht="11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</row>
    <row r="920" spans="1:32" ht="11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</row>
    <row r="921" spans="1:32" ht="11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</row>
    <row r="922" spans="1:32" ht="11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</row>
    <row r="923" spans="1:32" ht="11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</row>
    <row r="924" spans="1:32" ht="11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</row>
    <row r="925" spans="1:32" ht="11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</row>
    <row r="926" spans="1:32" ht="11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</row>
    <row r="927" spans="1:32" ht="11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</row>
    <row r="928" spans="1:32" ht="11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</row>
    <row r="929" spans="1:32" ht="11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</row>
    <row r="930" spans="1:32" ht="11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</row>
    <row r="931" spans="1:32" ht="11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</row>
    <row r="932" spans="1:32" ht="11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</row>
    <row r="933" spans="1:32" ht="11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</row>
    <row r="934" spans="1:32" ht="11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</row>
    <row r="935" spans="1:32" ht="11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</row>
    <row r="936" spans="1:32" ht="11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</row>
    <row r="937" spans="1:32" ht="11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</row>
    <row r="938" spans="1:32" ht="11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</row>
    <row r="939" spans="1:32" ht="11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</row>
    <row r="940" spans="1:32" ht="11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</row>
    <row r="941" spans="1:32" ht="11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</row>
    <row r="942" spans="1:32" ht="11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</row>
    <row r="943" spans="1:32" ht="11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</row>
    <row r="944" spans="1:32" ht="11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</row>
    <row r="945" spans="1:32" ht="11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</row>
    <row r="946" spans="1:32" ht="11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</row>
    <row r="947" spans="1:32" ht="11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</row>
    <row r="948" spans="1:32" ht="11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</row>
    <row r="949" spans="1:32" ht="11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</row>
    <row r="950" spans="1:32" ht="11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</row>
    <row r="951" spans="1:32" ht="11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</row>
    <row r="952" spans="1:32" ht="11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</row>
    <row r="953" spans="1:32" ht="11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</row>
    <row r="954" spans="1:32" ht="11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</row>
    <row r="955" spans="1:32" ht="11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</row>
    <row r="956" spans="1:32" ht="11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</row>
    <row r="957" spans="1:32" ht="11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</row>
    <row r="958" spans="1:32" ht="11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</row>
    <row r="959" spans="1:32" ht="11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</row>
    <row r="960" spans="1:32" ht="11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</row>
    <row r="961" spans="1:32" ht="11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</row>
    <row r="962" spans="1:32" ht="11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</row>
    <row r="963" spans="1:32" ht="11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</row>
    <row r="964" spans="1:32" ht="11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</row>
    <row r="965" spans="1:32" ht="11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</row>
    <row r="966" spans="1:32" ht="11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</row>
    <row r="967" spans="1:32" ht="11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</row>
    <row r="968" spans="1:32" ht="11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</row>
    <row r="969" spans="1:32" ht="11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</row>
    <row r="970" spans="1:32" ht="11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</row>
    <row r="971" spans="1:32" ht="11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</row>
    <row r="972" spans="1:32" ht="11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</row>
    <row r="973" spans="1:32" ht="11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</row>
    <row r="974" spans="1:32" ht="11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</row>
    <row r="975" spans="1:32" ht="11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</row>
    <row r="976" spans="1:32" ht="11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</row>
    <row r="977" spans="1:32" ht="11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</row>
    <row r="978" spans="1:32" ht="11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</row>
    <row r="979" spans="1:32" ht="11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</row>
    <row r="980" spans="1:32" ht="11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</row>
    <row r="981" spans="1:32" ht="11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</row>
    <row r="982" spans="1:32" ht="11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</row>
    <row r="983" spans="1:32" ht="11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</row>
    <row r="984" spans="1:32" ht="11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</row>
    <row r="985" spans="1:32" ht="11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</row>
    <row r="986" spans="1:32" ht="11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</row>
    <row r="987" spans="1:32" ht="11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</row>
    <row r="988" spans="1:32" ht="11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</row>
    <row r="989" spans="1:32" ht="11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</row>
    <row r="990" spans="1:32" ht="11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</row>
    <row r="991" spans="1:32" ht="11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</row>
    <row r="992" spans="1:32" ht="11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</row>
    <row r="993" spans="1:32" ht="11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</row>
    <row r="994" spans="1:32" ht="11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</row>
    <row r="995" spans="1:32" ht="11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</row>
    <row r="996" spans="1:32" ht="11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</row>
    <row r="997" spans="1:32" ht="11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</row>
  </sheetData>
  <mergeCells count="30">
    <mergeCell ref="O46:P46"/>
    <mergeCell ref="O47:P47"/>
    <mergeCell ref="O32:P32"/>
    <mergeCell ref="O33:P33"/>
    <mergeCell ref="O34:P34"/>
    <mergeCell ref="O35:P35"/>
    <mergeCell ref="B45:D45"/>
    <mergeCell ref="E45:G45"/>
    <mergeCell ref="H45:J45"/>
    <mergeCell ref="K45:M45"/>
    <mergeCell ref="O18:P18"/>
    <mergeCell ref="O19:P19"/>
    <mergeCell ref="O20:P20"/>
    <mergeCell ref="O21:P21"/>
    <mergeCell ref="B31:D31"/>
    <mergeCell ref="E31:G31"/>
    <mergeCell ref="H31:J31"/>
    <mergeCell ref="K31:M31"/>
    <mergeCell ref="O6:P6"/>
    <mergeCell ref="O7:P7"/>
    <mergeCell ref="B17:D17"/>
    <mergeCell ref="E17:G17"/>
    <mergeCell ref="H17:J17"/>
    <mergeCell ref="K17:M17"/>
    <mergeCell ref="B3:D3"/>
    <mergeCell ref="E3:G3"/>
    <mergeCell ref="H3:J3"/>
    <mergeCell ref="K3:M3"/>
    <mergeCell ref="O4:P4"/>
    <mergeCell ref="O5:P5"/>
  </mergeCells>
  <pageMargins left="0.7" right="0.7" top="0.75" bottom="0.75" header="0" footer="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63CEF-360A-450D-865F-BDB31A457819}">
  <dimension ref="A1:AF997"/>
  <sheetViews>
    <sheetView zoomScale="80" zoomScaleNormal="80" workbookViewId="0"/>
  </sheetViews>
  <sheetFormatPr defaultColWidth="14.44140625" defaultRowHeight="15" customHeight="1"/>
  <cols>
    <col min="1" max="32" width="9" style="4" customWidth="1"/>
    <col min="33" max="16384" width="14.44140625" style="4"/>
  </cols>
  <sheetData>
    <row r="1" spans="1:32" ht="14.2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3"/>
      <c r="AE1" s="3"/>
      <c r="AF1" s="3"/>
    </row>
    <row r="2" spans="1:32" ht="11.25" customHeight="1">
      <c r="A2" s="17" t="s">
        <v>32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2"/>
      <c r="T2" s="3"/>
      <c r="U2" s="3"/>
      <c r="V2" s="3"/>
      <c r="W2" s="2"/>
      <c r="X2" s="2"/>
      <c r="Y2" s="2"/>
      <c r="Z2" s="2"/>
      <c r="AA2" s="2"/>
      <c r="AB2" s="2"/>
      <c r="AC2" s="2"/>
      <c r="AD2" s="2"/>
      <c r="AE2" s="2"/>
      <c r="AF2" s="2"/>
    </row>
    <row r="3" spans="1:32" ht="11.25" customHeight="1">
      <c r="A3" s="6"/>
      <c r="B3" s="26" t="s">
        <v>14</v>
      </c>
      <c r="C3" s="27"/>
      <c r="D3" s="28"/>
      <c r="E3" s="29" t="s">
        <v>8</v>
      </c>
      <c r="F3" s="30"/>
      <c r="G3" s="31"/>
      <c r="H3" s="32" t="s">
        <v>18</v>
      </c>
      <c r="I3" s="33"/>
      <c r="J3" s="34"/>
      <c r="K3" s="35" t="s">
        <v>19</v>
      </c>
      <c r="L3" s="36"/>
      <c r="M3" s="37"/>
      <c r="N3" s="6"/>
      <c r="O3" s="6"/>
      <c r="P3" s="6"/>
      <c r="Q3" s="7" t="s">
        <v>4</v>
      </c>
      <c r="R3" s="8" t="s">
        <v>0</v>
      </c>
      <c r="S3" s="2"/>
      <c r="T3" s="3"/>
      <c r="U3" s="3"/>
      <c r="V3" s="3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ht="11.25" customHeight="1">
      <c r="A4" s="9" t="s">
        <v>5</v>
      </c>
      <c r="B4" s="7" t="s">
        <v>1</v>
      </c>
      <c r="C4" s="7" t="s">
        <v>2</v>
      </c>
      <c r="D4" s="7" t="s">
        <v>3</v>
      </c>
      <c r="E4" s="7" t="s">
        <v>1</v>
      </c>
      <c r="F4" s="7" t="s">
        <v>2</v>
      </c>
      <c r="G4" s="7" t="s">
        <v>3</v>
      </c>
      <c r="H4" s="7" t="s">
        <v>1</v>
      </c>
      <c r="I4" s="7" t="s">
        <v>2</v>
      </c>
      <c r="J4" s="7" t="s">
        <v>3</v>
      </c>
      <c r="K4" s="7" t="s">
        <v>1</v>
      </c>
      <c r="L4" s="7" t="s">
        <v>2</v>
      </c>
      <c r="M4" s="7" t="s">
        <v>3</v>
      </c>
      <c r="N4" s="6"/>
      <c r="O4" s="38" t="s">
        <v>14</v>
      </c>
      <c r="P4" s="39"/>
      <c r="Q4" s="7">
        <f>AVERAGE(D5:D14)</f>
        <v>7.2916666666666671E-2</v>
      </c>
      <c r="R4" s="7">
        <f>STDEV(D5:D14)/SQRT(6)</f>
        <v>2.9050695365766512E-2</v>
      </c>
      <c r="S4" s="2"/>
      <c r="T4" s="3"/>
      <c r="U4" s="3"/>
      <c r="V4" s="3"/>
      <c r="W4" s="2"/>
      <c r="X4" s="2"/>
      <c r="Y4" s="2"/>
      <c r="Z4" s="2"/>
      <c r="AA4" s="2"/>
      <c r="AB4" s="2"/>
      <c r="AC4" s="2"/>
      <c r="AD4" s="2"/>
      <c r="AE4" s="2"/>
      <c r="AF4" s="2"/>
    </row>
    <row r="5" spans="1:32" ht="11.25" customHeight="1">
      <c r="A5" s="7">
        <v>1</v>
      </c>
      <c r="B5" s="7">
        <v>0</v>
      </c>
      <c r="C5" s="7">
        <v>24</v>
      </c>
      <c r="D5" s="7">
        <f t="shared" ref="D5:D8" si="0">B5/C5</f>
        <v>0</v>
      </c>
      <c r="E5" s="7">
        <v>0</v>
      </c>
      <c r="F5" s="7">
        <v>24</v>
      </c>
      <c r="G5" s="7">
        <f t="shared" ref="G5:G8" si="1">E5/F5</f>
        <v>0</v>
      </c>
      <c r="H5" s="18">
        <v>1</v>
      </c>
      <c r="I5" s="7">
        <v>24</v>
      </c>
      <c r="J5" s="7">
        <f t="shared" ref="J5:J8" si="2">H5/I5</f>
        <v>4.1666666666666664E-2</v>
      </c>
      <c r="K5" s="18">
        <v>0</v>
      </c>
      <c r="L5" s="7">
        <v>24</v>
      </c>
      <c r="M5" s="7">
        <f t="shared" ref="M5:M8" si="3">K5/L5</f>
        <v>0</v>
      </c>
      <c r="N5" s="6"/>
      <c r="O5" s="24" t="s">
        <v>7</v>
      </c>
      <c r="P5" s="25"/>
      <c r="Q5" s="7">
        <f>AVERAGE(G5:G14)</f>
        <v>2.0833333333333332E-2</v>
      </c>
      <c r="R5" s="7">
        <f>STDEV(D6:D15)/SQRT(6)</f>
        <v>2.5983731852596812E-2</v>
      </c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2" ht="11.25" customHeight="1">
      <c r="A6" s="7">
        <v>2</v>
      </c>
      <c r="B6" s="7">
        <v>2</v>
      </c>
      <c r="C6" s="7">
        <v>24</v>
      </c>
      <c r="D6" s="7">
        <f t="shared" si="0"/>
        <v>8.3333333333333329E-2</v>
      </c>
      <c r="E6" s="7">
        <v>0</v>
      </c>
      <c r="F6" s="7">
        <v>24</v>
      </c>
      <c r="G6" s="7">
        <f t="shared" si="1"/>
        <v>0</v>
      </c>
      <c r="H6" s="18">
        <v>0</v>
      </c>
      <c r="I6" s="7">
        <v>24</v>
      </c>
      <c r="J6" s="7">
        <f t="shared" si="2"/>
        <v>0</v>
      </c>
      <c r="K6" s="18">
        <v>2</v>
      </c>
      <c r="L6" s="7">
        <v>24</v>
      </c>
      <c r="M6" s="7">
        <f t="shared" si="3"/>
        <v>8.3333333333333329E-2</v>
      </c>
      <c r="N6" s="6"/>
      <c r="O6" s="40" t="s">
        <v>18</v>
      </c>
      <c r="P6" s="40"/>
      <c r="Q6" s="7">
        <f>AVERAGE(J5:J14)</f>
        <v>0.10416666666666666</v>
      </c>
      <c r="R6" s="7">
        <f>STDEV(J5:J14)/SQRT(6)</f>
        <v>4.0492721491981264E-2</v>
      </c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</row>
    <row r="7" spans="1:32" ht="11.25" customHeight="1">
      <c r="A7" s="7">
        <v>3</v>
      </c>
      <c r="B7" s="7">
        <v>4</v>
      </c>
      <c r="C7" s="7">
        <v>24</v>
      </c>
      <c r="D7" s="7">
        <f t="shared" si="0"/>
        <v>0.16666666666666666</v>
      </c>
      <c r="E7" s="7">
        <v>1</v>
      </c>
      <c r="F7" s="7">
        <v>24</v>
      </c>
      <c r="G7" s="7">
        <f t="shared" si="1"/>
        <v>4.1666666666666664E-2</v>
      </c>
      <c r="H7" s="18">
        <v>5</v>
      </c>
      <c r="I7" s="7">
        <v>24</v>
      </c>
      <c r="J7" s="7">
        <f t="shared" si="2"/>
        <v>0.20833333333333334</v>
      </c>
      <c r="K7" s="18">
        <v>5</v>
      </c>
      <c r="L7" s="7">
        <v>24</v>
      </c>
      <c r="M7" s="7">
        <f t="shared" si="3"/>
        <v>0.20833333333333334</v>
      </c>
      <c r="N7" s="6"/>
      <c r="O7" s="41" t="s">
        <v>19</v>
      </c>
      <c r="P7" s="41"/>
      <c r="Q7" s="7">
        <f>AVERAGE(M5:M14)</f>
        <v>7.2916666666666671E-2</v>
      </c>
      <c r="R7" s="7">
        <f>STDEV(M5:M14)/SQRT(6)</f>
        <v>4.0193878134688284E-2</v>
      </c>
      <c r="S7" s="2"/>
      <c r="T7" s="2"/>
      <c r="U7" s="5" t="s">
        <v>4</v>
      </c>
      <c r="V7" s="2"/>
      <c r="W7" s="2"/>
      <c r="X7" s="2"/>
      <c r="Y7" s="2"/>
      <c r="Z7" s="1" t="s">
        <v>0</v>
      </c>
      <c r="AA7" s="2"/>
      <c r="AB7" s="2"/>
      <c r="AC7" s="2"/>
      <c r="AD7" s="2"/>
      <c r="AE7" s="2"/>
      <c r="AF7" s="2"/>
    </row>
    <row r="8" spans="1:32" ht="11.25" customHeight="1">
      <c r="A8" s="7">
        <v>4</v>
      </c>
      <c r="B8" s="7">
        <v>1</v>
      </c>
      <c r="C8" s="7">
        <v>24</v>
      </c>
      <c r="D8" s="7">
        <f t="shared" si="0"/>
        <v>4.1666666666666664E-2</v>
      </c>
      <c r="E8" s="7">
        <v>1</v>
      </c>
      <c r="F8" s="7">
        <v>24</v>
      </c>
      <c r="G8" s="7">
        <f t="shared" si="1"/>
        <v>4.1666666666666664E-2</v>
      </c>
      <c r="H8" s="18">
        <v>4</v>
      </c>
      <c r="I8" s="7">
        <v>24</v>
      </c>
      <c r="J8" s="7">
        <f t="shared" si="2"/>
        <v>0.16666666666666666</v>
      </c>
      <c r="K8" s="18">
        <v>0</v>
      </c>
      <c r="L8" s="7">
        <v>24</v>
      </c>
      <c r="M8" s="7">
        <f t="shared" si="3"/>
        <v>0</v>
      </c>
      <c r="N8" s="6"/>
      <c r="O8" s="6"/>
      <c r="P8" s="6"/>
      <c r="Q8" s="6"/>
      <c r="R8" s="6"/>
      <c r="S8" s="2"/>
      <c r="T8" s="1"/>
      <c r="U8" s="1">
        <v>10</v>
      </c>
      <c r="V8" s="1">
        <v>50</v>
      </c>
      <c r="W8" s="1">
        <v>100</v>
      </c>
      <c r="X8" s="16">
        <v>500</v>
      </c>
      <c r="Y8" s="1"/>
      <c r="Z8" s="1">
        <v>10</v>
      </c>
      <c r="AA8" s="1">
        <v>50</v>
      </c>
      <c r="AB8" s="1">
        <v>100</v>
      </c>
      <c r="AC8" s="16">
        <v>500</v>
      </c>
      <c r="AD8" s="2"/>
      <c r="AE8" s="2"/>
      <c r="AF8" s="2"/>
    </row>
    <row r="9" spans="1:32" ht="11.25" customHeight="1">
      <c r="A9" s="7">
        <v>5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6"/>
      <c r="O9" s="6"/>
      <c r="P9" s="6"/>
      <c r="Q9" s="6"/>
      <c r="R9" s="6"/>
      <c r="S9" s="2"/>
      <c r="T9" s="21" t="s">
        <v>20</v>
      </c>
      <c r="U9" s="2">
        <f t="shared" ref="U9:U10" si="4">Q4</f>
        <v>7.2916666666666671E-2</v>
      </c>
      <c r="V9" s="2">
        <f t="shared" ref="V9:V12" si="5">Q18</f>
        <v>0.15625</v>
      </c>
      <c r="W9" s="2">
        <f t="shared" ref="W9:W12" si="6">Q32</f>
        <v>0.28125</v>
      </c>
      <c r="X9" s="12">
        <f t="shared" ref="X9:X12" si="7">Q46</f>
        <v>0</v>
      </c>
      <c r="Y9" s="2"/>
      <c r="Z9" s="2">
        <f t="shared" ref="Z9:Z12" si="8">R4</f>
        <v>2.9050695365766512E-2</v>
      </c>
      <c r="AA9" s="2">
        <f t="shared" ref="AA9:AA12" si="9">R18</f>
        <v>4.6842838761222381E-2</v>
      </c>
      <c r="AB9" s="2">
        <f t="shared" ref="AB9:AB12" si="10">R32</f>
        <v>4.4736453912240036E-2</v>
      </c>
      <c r="AC9" s="12">
        <f t="shared" ref="AC9" si="11">R46</f>
        <v>0</v>
      </c>
      <c r="AD9" s="2"/>
      <c r="AE9" s="2"/>
      <c r="AF9" s="2"/>
    </row>
    <row r="10" spans="1:32" ht="11.25" customHeight="1">
      <c r="A10" s="7">
        <v>6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6"/>
      <c r="O10" s="6"/>
      <c r="P10" s="6"/>
      <c r="Q10" s="6"/>
      <c r="R10" s="6"/>
      <c r="S10" s="2"/>
      <c r="T10" s="22" t="s">
        <v>21</v>
      </c>
      <c r="U10" s="2">
        <f t="shared" si="4"/>
        <v>2.0833333333333332E-2</v>
      </c>
      <c r="V10" s="2">
        <f t="shared" si="5"/>
        <v>0.13541666666666666</v>
      </c>
      <c r="W10" s="2">
        <f t="shared" si="6"/>
        <v>0.28125</v>
      </c>
      <c r="X10" s="12">
        <f t="shared" si="7"/>
        <v>0</v>
      </c>
      <c r="Y10" s="2"/>
      <c r="Z10" s="2">
        <f t="shared" si="8"/>
        <v>2.5983731852596812E-2</v>
      </c>
      <c r="AA10" s="2">
        <f t="shared" si="9"/>
        <v>4.2808430576173451E-2</v>
      </c>
      <c r="AB10" s="2">
        <f t="shared" si="10"/>
        <v>4.9104637582399177E-2</v>
      </c>
      <c r="AC10" s="12">
        <f>R47</f>
        <v>0</v>
      </c>
      <c r="AD10" s="2"/>
      <c r="AE10" s="2"/>
      <c r="AF10" s="2"/>
    </row>
    <row r="11" spans="1:32" ht="11.25" customHeight="1">
      <c r="A11" s="7">
        <v>7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6"/>
      <c r="O11" s="6"/>
      <c r="P11" s="6"/>
      <c r="Q11" s="6"/>
      <c r="R11" s="6"/>
      <c r="S11" s="2"/>
      <c r="T11" s="20" t="s">
        <v>22</v>
      </c>
      <c r="U11" s="2">
        <f>Q6</f>
        <v>0.10416666666666666</v>
      </c>
      <c r="V11" s="2">
        <f t="shared" si="5"/>
        <v>0.27083333333333337</v>
      </c>
      <c r="W11" s="2">
        <f t="shared" si="6"/>
        <v>0.40625</v>
      </c>
      <c r="X11" s="12">
        <f t="shared" si="7"/>
        <v>0</v>
      </c>
      <c r="Y11" s="2"/>
      <c r="Z11" s="2">
        <f t="shared" si="8"/>
        <v>4.0492721491981264E-2</v>
      </c>
      <c r="AA11" s="2">
        <f t="shared" si="9"/>
        <v>2.946278254943948E-2</v>
      </c>
      <c r="AB11" s="2">
        <f t="shared" si="10"/>
        <v>4.0193878134688318E-2</v>
      </c>
      <c r="AC11" s="12">
        <f t="shared" ref="AC11:AC12" si="12">R48</f>
        <v>0</v>
      </c>
      <c r="AD11" s="2"/>
      <c r="AE11" s="2"/>
      <c r="AF11" s="2"/>
    </row>
    <row r="12" spans="1:32" ht="11.25" customHeight="1">
      <c r="A12" s="7">
        <v>8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6"/>
      <c r="O12" s="6"/>
      <c r="P12" s="6"/>
      <c r="Q12" s="6"/>
      <c r="R12" s="6"/>
      <c r="S12" s="2"/>
      <c r="T12" s="23" t="s">
        <v>23</v>
      </c>
      <c r="U12" s="2">
        <f>Q7</f>
        <v>7.2916666666666671E-2</v>
      </c>
      <c r="V12" s="2">
        <f t="shared" si="5"/>
        <v>0.23958333333333337</v>
      </c>
      <c r="W12" s="2">
        <f t="shared" si="6"/>
        <v>0.39583333333333331</v>
      </c>
      <c r="X12" s="12">
        <f t="shared" si="7"/>
        <v>0</v>
      </c>
      <c r="Y12" s="2"/>
      <c r="Z12" s="2">
        <f t="shared" si="8"/>
        <v>4.0193878134688284E-2</v>
      </c>
      <c r="AA12" s="2">
        <f t="shared" si="9"/>
        <v>5.6202826584161959E-2</v>
      </c>
      <c r="AB12" s="2">
        <f t="shared" si="10"/>
        <v>4.0492721491981305E-2</v>
      </c>
      <c r="AC12" s="12">
        <f t="shared" si="12"/>
        <v>0</v>
      </c>
      <c r="AD12" s="2"/>
      <c r="AE12" s="2"/>
      <c r="AF12" s="2"/>
    </row>
    <row r="13" spans="1:32" ht="11.25" customHeight="1">
      <c r="A13" s="7">
        <v>9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6"/>
      <c r="O13" s="6"/>
      <c r="P13" s="6"/>
      <c r="Q13" s="6"/>
      <c r="R13" s="6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</row>
    <row r="14" spans="1:32" ht="11.25" customHeight="1">
      <c r="A14" s="7">
        <v>10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6"/>
      <c r="O14" s="6"/>
      <c r="P14" s="6"/>
      <c r="Q14" s="6"/>
      <c r="R14" s="6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</row>
    <row r="15" spans="1:32" ht="11.2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</row>
    <row r="16" spans="1:32" ht="11.25" customHeight="1">
      <c r="A16" s="5" t="s">
        <v>13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1:32" ht="11.25" customHeight="1">
      <c r="A17" s="6"/>
      <c r="B17" s="26" t="s">
        <v>15</v>
      </c>
      <c r="C17" s="27"/>
      <c r="D17" s="28"/>
      <c r="E17" s="29" t="s">
        <v>9</v>
      </c>
      <c r="F17" s="30"/>
      <c r="G17" s="31"/>
      <c r="H17" s="42" t="s">
        <v>15</v>
      </c>
      <c r="I17" s="33"/>
      <c r="J17" s="34"/>
      <c r="K17" s="43" t="s">
        <v>9</v>
      </c>
      <c r="L17" s="36"/>
      <c r="M17" s="37"/>
      <c r="N17" s="6"/>
      <c r="O17" s="6"/>
      <c r="P17" s="6"/>
      <c r="Q17" s="7" t="s">
        <v>4</v>
      </c>
      <c r="R17" s="8" t="s">
        <v>0</v>
      </c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spans="1:32" ht="11.25" customHeight="1">
      <c r="A18" s="9" t="s">
        <v>5</v>
      </c>
      <c r="B18" s="7" t="s">
        <v>1</v>
      </c>
      <c r="C18" s="7" t="s">
        <v>2</v>
      </c>
      <c r="D18" s="7" t="s">
        <v>3</v>
      </c>
      <c r="E18" s="7" t="s">
        <v>1</v>
      </c>
      <c r="F18" s="7" t="s">
        <v>2</v>
      </c>
      <c r="G18" s="7" t="s">
        <v>3</v>
      </c>
      <c r="H18" s="7" t="s">
        <v>1</v>
      </c>
      <c r="I18" s="7" t="s">
        <v>2</v>
      </c>
      <c r="J18" s="7" t="s">
        <v>3</v>
      </c>
      <c r="K18" s="7" t="s">
        <v>1</v>
      </c>
      <c r="L18" s="7" t="s">
        <v>2</v>
      </c>
      <c r="M18" s="7" t="s">
        <v>3</v>
      </c>
      <c r="N18" s="6"/>
      <c r="O18" s="38" t="s">
        <v>14</v>
      </c>
      <c r="P18" s="39"/>
      <c r="Q18" s="7">
        <f>AVERAGE(D19:D28)</f>
        <v>0.15625</v>
      </c>
      <c r="R18" s="7">
        <f>STDEV(D19:D28)/SQRT(6)</f>
        <v>4.6842838761222381E-2</v>
      </c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spans="1:32" ht="11.25" customHeight="1">
      <c r="A19" s="7">
        <v>1</v>
      </c>
      <c r="B19" s="7">
        <v>1</v>
      </c>
      <c r="C19" s="7">
        <v>24</v>
      </c>
      <c r="D19" s="7">
        <f t="shared" ref="D19:D22" si="13">B19/C19</f>
        <v>4.1666666666666664E-2</v>
      </c>
      <c r="E19" s="7">
        <v>2</v>
      </c>
      <c r="F19" s="7">
        <v>24</v>
      </c>
      <c r="G19" s="7">
        <f t="shared" ref="G19:G22" si="14">E19/F19</f>
        <v>8.3333333333333329E-2</v>
      </c>
      <c r="H19" s="18">
        <v>4</v>
      </c>
      <c r="I19" s="7">
        <v>24</v>
      </c>
      <c r="J19" s="7">
        <f t="shared" ref="J19:J22" si="15">H19/I19</f>
        <v>0.16666666666666666</v>
      </c>
      <c r="K19" s="18">
        <v>5</v>
      </c>
      <c r="L19" s="7">
        <v>24</v>
      </c>
      <c r="M19" s="7">
        <f t="shared" ref="M19:M22" si="16">K19/L19</f>
        <v>0.20833333333333334</v>
      </c>
      <c r="N19" s="6"/>
      <c r="O19" s="44" t="s">
        <v>7</v>
      </c>
      <c r="P19" s="25"/>
      <c r="Q19" s="7">
        <f>AVERAGE(G19:G28)</f>
        <v>0.13541666666666666</v>
      </c>
      <c r="R19" s="7">
        <f>STDEV(D20:D29)/SQRT(6)</f>
        <v>4.2808430576173451E-2</v>
      </c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spans="1:32" ht="11.25" customHeight="1">
      <c r="A20" s="7">
        <v>2</v>
      </c>
      <c r="B20" s="7">
        <v>5</v>
      </c>
      <c r="C20" s="7">
        <v>24</v>
      </c>
      <c r="D20" s="7">
        <f t="shared" si="13"/>
        <v>0.20833333333333334</v>
      </c>
      <c r="E20" s="7">
        <v>3</v>
      </c>
      <c r="F20" s="7">
        <v>24</v>
      </c>
      <c r="G20" s="7">
        <f t="shared" si="14"/>
        <v>0.125</v>
      </c>
      <c r="H20" s="18">
        <v>8</v>
      </c>
      <c r="I20" s="7">
        <v>24</v>
      </c>
      <c r="J20" s="7">
        <f t="shared" si="15"/>
        <v>0.33333333333333331</v>
      </c>
      <c r="K20" s="18">
        <v>6</v>
      </c>
      <c r="L20" s="7">
        <v>24</v>
      </c>
      <c r="M20" s="7">
        <f t="shared" si="16"/>
        <v>0.25</v>
      </c>
      <c r="N20" s="6"/>
      <c r="O20" s="40" t="s">
        <v>18</v>
      </c>
      <c r="P20" s="40"/>
      <c r="Q20" s="7">
        <f>AVERAGE(J19:J28)</f>
        <v>0.27083333333333337</v>
      </c>
      <c r="R20" s="7">
        <f>STDEV(J19:J28)/SQRT(6)</f>
        <v>2.946278254943948E-2</v>
      </c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spans="1:32" ht="11.25" customHeight="1">
      <c r="A21" s="7">
        <v>3</v>
      </c>
      <c r="B21" s="7">
        <v>2</v>
      </c>
      <c r="C21" s="7">
        <v>24</v>
      </c>
      <c r="D21" s="7">
        <f t="shared" si="13"/>
        <v>8.3333333333333329E-2</v>
      </c>
      <c r="E21" s="7">
        <v>2</v>
      </c>
      <c r="F21" s="7">
        <v>24</v>
      </c>
      <c r="G21" s="7">
        <f t="shared" si="14"/>
        <v>8.3333333333333329E-2</v>
      </c>
      <c r="H21" s="18">
        <v>7</v>
      </c>
      <c r="I21" s="7">
        <v>24</v>
      </c>
      <c r="J21" s="7">
        <f t="shared" si="15"/>
        <v>0.29166666666666669</v>
      </c>
      <c r="K21" s="18">
        <v>2</v>
      </c>
      <c r="L21" s="7">
        <v>24</v>
      </c>
      <c r="M21" s="7">
        <f t="shared" si="16"/>
        <v>8.3333333333333329E-2</v>
      </c>
      <c r="N21" s="6"/>
      <c r="O21" s="45" t="s">
        <v>19</v>
      </c>
      <c r="P21" s="45"/>
      <c r="Q21" s="7">
        <f>AVERAGE(M19:M28)</f>
        <v>0.23958333333333337</v>
      </c>
      <c r="R21" s="7">
        <f>STDEV(M19:M28)/SQRT(6)</f>
        <v>5.6202826584161959E-2</v>
      </c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spans="1:32" ht="11.25" customHeight="1">
      <c r="A22" s="7">
        <v>4</v>
      </c>
      <c r="B22" s="7">
        <v>7</v>
      </c>
      <c r="C22" s="7">
        <v>24</v>
      </c>
      <c r="D22" s="7">
        <f t="shared" si="13"/>
        <v>0.29166666666666669</v>
      </c>
      <c r="E22" s="7">
        <v>6</v>
      </c>
      <c r="F22" s="7">
        <v>24</v>
      </c>
      <c r="G22" s="7">
        <f t="shared" si="14"/>
        <v>0.25</v>
      </c>
      <c r="H22" s="18">
        <v>7</v>
      </c>
      <c r="I22" s="7">
        <v>24</v>
      </c>
      <c r="J22" s="7">
        <f t="shared" si="15"/>
        <v>0.29166666666666669</v>
      </c>
      <c r="K22" s="18">
        <v>10</v>
      </c>
      <c r="L22" s="7">
        <v>24</v>
      </c>
      <c r="M22" s="7">
        <f t="shared" si="16"/>
        <v>0.41666666666666669</v>
      </c>
      <c r="N22" s="6"/>
      <c r="O22" s="6"/>
      <c r="P22" s="6"/>
      <c r="Q22" s="6"/>
      <c r="R22" s="6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spans="1:32" ht="11.25" customHeight="1">
      <c r="A23" s="7">
        <v>5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6"/>
      <c r="O23" s="6"/>
      <c r="P23" s="6"/>
      <c r="Q23" s="6"/>
      <c r="R23" s="6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spans="1:32" ht="11.25" customHeight="1">
      <c r="A24" s="7">
        <v>6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6"/>
      <c r="O24" s="6"/>
      <c r="P24" s="6"/>
      <c r="Q24" s="6"/>
      <c r="R24" s="6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spans="1:32" ht="11.25" customHeight="1">
      <c r="A25" s="7">
        <v>7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6"/>
      <c r="O25" s="6"/>
      <c r="P25" s="6"/>
      <c r="Q25" s="6"/>
      <c r="R25" s="6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 spans="1:32" ht="11.25" customHeight="1">
      <c r="A26" s="7">
        <v>8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6"/>
      <c r="O26" s="6"/>
      <c r="P26" s="6"/>
      <c r="Q26" s="6"/>
      <c r="R26" s="6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spans="1:32" ht="11.25" customHeight="1">
      <c r="A27" s="7">
        <v>9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6"/>
      <c r="O27" s="6"/>
      <c r="P27" s="6"/>
      <c r="Q27" s="6"/>
      <c r="R27" s="6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spans="1:32" ht="11.25" customHeight="1">
      <c r="A28" s="7">
        <v>10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6"/>
      <c r="O28" s="6"/>
      <c r="P28" s="6"/>
      <c r="Q28" s="6"/>
      <c r="R28" s="6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spans="1:32" ht="11.2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spans="1:32" ht="11.25" customHeight="1">
      <c r="A30" s="5" t="s">
        <v>13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</row>
    <row r="31" spans="1:32" ht="11.25" customHeight="1">
      <c r="A31" s="6"/>
      <c r="B31" s="26" t="s">
        <v>16</v>
      </c>
      <c r="C31" s="27"/>
      <c r="D31" s="28"/>
      <c r="E31" s="29" t="s">
        <v>10</v>
      </c>
      <c r="F31" s="30"/>
      <c r="G31" s="31"/>
      <c r="H31" s="42" t="s">
        <v>16</v>
      </c>
      <c r="I31" s="33"/>
      <c r="J31" s="34"/>
      <c r="K31" s="43" t="s">
        <v>10</v>
      </c>
      <c r="L31" s="36"/>
      <c r="M31" s="37"/>
      <c r="N31" s="6"/>
      <c r="O31" s="6"/>
      <c r="P31" s="6"/>
      <c r="Q31" s="7" t="s">
        <v>4</v>
      </c>
      <c r="R31" s="8" t="s">
        <v>0</v>
      </c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2" ht="11.25" customHeight="1">
      <c r="A32" s="9" t="s">
        <v>5</v>
      </c>
      <c r="B32" s="7" t="s">
        <v>1</v>
      </c>
      <c r="C32" s="7" t="s">
        <v>2</v>
      </c>
      <c r="D32" s="7" t="s">
        <v>3</v>
      </c>
      <c r="E32" s="7" t="s">
        <v>1</v>
      </c>
      <c r="F32" s="7" t="s">
        <v>2</v>
      </c>
      <c r="G32" s="7" t="s">
        <v>3</v>
      </c>
      <c r="H32" s="7" t="s">
        <v>1</v>
      </c>
      <c r="I32" s="7" t="s">
        <v>2</v>
      </c>
      <c r="J32" s="7" t="s">
        <v>3</v>
      </c>
      <c r="K32" s="7" t="s">
        <v>1</v>
      </c>
      <c r="L32" s="7" t="s">
        <v>2</v>
      </c>
      <c r="M32" s="7" t="s">
        <v>3</v>
      </c>
      <c r="N32" s="6"/>
      <c r="O32" s="46" t="s">
        <v>14</v>
      </c>
      <c r="P32" s="39"/>
      <c r="Q32" s="7">
        <f>AVERAGE(D33:D42)</f>
        <v>0.28125</v>
      </c>
      <c r="R32" s="7">
        <f>STDEV(D33:D42)/SQRT(6)</f>
        <v>4.4736453912240036E-2</v>
      </c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ht="11.25" customHeight="1">
      <c r="A33" s="7">
        <v>1</v>
      </c>
      <c r="B33" s="7">
        <v>5</v>
      </c>
      <c r="C33" s="7">
        <v>24</v>
      </c>
      <c r="D33" s="7">
        <f t="shared" ref="D33:D36" si="17">B33/C33</f>
        <v>0.20833333333333334</v>
      </c>
      <c r="E33" s="7">
        <v>4</v>
      </c>
      <c r="F33" s="7">
        <v>24</v>
      </c>
      <c r="G33" s="7">
        <f t="shared" ref="G33:G36" si="18">E33/F33</f>
        <v>0.16666666666666666</v>
      </c>
      <c r="H33" s="19">
        <v>13</v>
      </c>
      <c r="I33" s="7">
        <v>24</v>
      </c>
      <c r="J33" s="7">
        <f t="shared" ref="J33:J36" si="19">H33/I33</f>
        <v>0.54166666666666663</v>
      </c>
      <c r="K33" s="19">
        <v>13</v>
      </c>
      <c r="L33" s="7">
        <v>24</v>
      </c>
      <c r="M33" s="7">
        <f t="shared" ref="M33:M36" si="20">K33/L33</f>
        <v>0.54166666666666663</v>
      </c>
      <c r="N33" s="6"/>
      <c r="O33" s="44" t="s">
        <v>7</v>
      </c>
      <c r="P33" s="25"/>
      <c r="Q33" s="7">
        <f>AVERAGE(G33:G42)</f>
        <v>0.28125</v>
      </c>
      <c r="R33" s="7">
        <f>STDEV(D34:D43)/SQRT(6)</f>
        <v>4.9104637582399177E-2</v>
      </c>
      <c r="S33" s="2"/>
      <c r="T33" s="2"/>
      <c r="U33" s="2" t="s">
        <v>17</v>
      </c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ht="11.25" customHeight="1">
      <c r="A34" s="7">
        <v>2</v>
      </c>
      <c r="B34" s="7">
        <v>9</v>
      </c>
      <c r="C34" s="7">
        <v>24</v>
      </c>
      <c r="D34" s="7">
        <f t="shared" si="17"/>
        <v>0.375</v>
      </c>
      <c r="E34" s="7">
        <v>9</v>
      </c>
      <c r="F34" s="7">
        <v>24</v>
      </c>
      <c r="G34" s="7">
        <f t="shared" si="18"/>
        <v>0.375</v>
      </c>
      <c r="H34" s="19">
        <v>8</v>
      </c>
      <c r="I34" s="7">
        <v>24</v>
      </c>
      <c r="J34" s="7">
        <f t="shared" si="19"/>
        <v>0.33333333333333331</v>
      </c>
      <c r="K34" s="19">
        <v>8</v>
      </c>
      <c r="L34" s="7">
        <v>24</v>
      </c>
      <c r="M34" s="7">
        <f t="shared" si="20"/>
        <v>0.33333333333333331</v>
      </c>
      <c r="N34" s="6"/>
      <c r="O34" s="40" t="s">
        <v>18</v>
      </c>
      <c r="P34" s="40"/>
      <c r="Q34" s="7">
        <f>AVERAGE(J33:J42)</f>
        <v>0.40625</v>
      </c>
      <c r="R34" s="7">
        <f>STDEV(J33:J42)/SQRT(6)</f>
        <v>4.0193878134688318E-2</v>
      </c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ht="11.25" customHeight="1">
      <c r="A35" s="7">
        <v>3</v>
      </c>
      <c r="B35" s="7">
        <v>4</v>
      </c>
      <c r="C35" s="7">
        <v>24</v>
      </c>
      <c r="D35" s="7">
        <f t="shared" si="17"/>
        <v>0.16666666666666666</v>
      </c>
      <c r="E35" s="7">
        <v>4</v>
      </c>
      <c r="F35" s="7">
        <v>24</v>
      </c>
      <c r="G35" s="7">
        <f t="shared" si="18"/>
        <v>0.16666666666666666</v>
      </c>
      <c r="H35" s="19">
        <v>8</v>
      </c>
      <c r="I35" s="7">
        <v>24</v>
      </c>
      <c r="J35" s="7">
        <f t="shared" si="19"/>
        <v>0.33333333333333331</v>
      </c>
      <c r="K35" s="19">
        <v>8</v>
      </c>
      <c r="L35" s="7">
        <v>24</v>
      </c>
      <c r="M35" s="7">
        <f t="shared" si="20"/>
        <v>0.33333333333333331</v>
      </c>
      <c r="N35" s="6"/>
      <c r="O35" s="45" t="s">
        <v>19</v>
      </c>
      <c r="P35" s="45"/>
      <c r="Q35" s="7">
        <f>AVERAGE(M33:M42)</f>
        <v>0.39583333333333331</v>
      </c>
      <c r="R35" s="7">
        <f>STDEV(M33:M42)/SQRT(6)</f>
        <v>4.0492721491981305E-2</v>
      </c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1.25" customHeight="1">
      <c r="A36" s="7">
        <v>4</v>
      </c>
      <c r="B36" s="7">
        <v>9</v>
      </c>
      <c r="C36" s="7">
        <v>24</v>
      </c>
      <c r="D36" s="7">
        <f t="shared" si="17"/>
        <v>0.375</v>
      </c>
      <c r="E36" s="7">
        <v>10</v>
      </c>
      <c r="F36" s="7">
        <v>24</v>
      </c>
      <c r="G36" s="7">
        <f t="shared" si="18"/>
        <v>0.41666666666666669</v>
      </c>
      <c r="H36" s="19">
        <v>10</v>
      </c>
      <c r="I36" s="7">
        <v>24</v>
      </c>
      <c r="J36" s="7">
        <f t="shared" si="19"/>
        <v>0.41666666666666669</v>
      </c>
      <c r="K36" s="19">
        <v>9</v>
      </c>
      <c r="L36" s="7">
        <v>24</v>
      </c>
      <c r="M36" s="7">
        <f t="shared" si="20"/>
        <v>0.375</v>
      </c>
      <c r="N36" s="6"/>
      <c r="O36" s="6"/>
      <c r="P36" s="6"/>
      <c r="Q36" s="6"/>
      <c r="R36" s="6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ht="11.25" customHeight="1">
      <c r="A37" s="7">
        <v>5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6"/>
      <c r="O37" s="6"/>
      <c r="P37" s="6"/>
      <c r="Q37" s="6"/>
      <c r="R37" s="6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</row>
    <row r="38" spans="1:32" ht="11.25" customHeight="1">
      <c r="A38" s="7">
        <v>6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6"/>
      <c r="O38" s="6"/>
      <c r="P38" s="6"/>
      <c r="Q38" s="6"/>
      <c r="R38" s="6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</row>
    <row r="39" spans="1:32" ht="11.25" customHeight="1">
      <c r="A39" s="7">
        <v>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6"/>
      <c r="O39" s="6"/>
      <c r="P39" s="6"/>
      <c r="Q39" s="6"/>
      <c r="R39" s="6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</row>
    <row r="40" spans="1:32" ht="11.25" customHeight="1">
      <c r="A40" s="7">
        <v>8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6"/>
      <c r="O40" s="6"/>
      <c r="P40" s="6"/>
      <c r="Q40" s="6"/>
      <c r="R40" s="6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</row>
    <row r="41" spans="1:32" ht="11.25" customHeight="1">
      <c r="A41" s="7">
        <v>9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6"/>
      <c r="O41" s="6"/>
      <c r="P41" s="6"/>
      <c r="Q41" s="6"/>
      <c r="R41" s="6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</row>
    <row r="42" spans="1:32" ht="11.25" customHeight="1">
      <c r="A42" s="7">
        <v>10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6"/>
      <c r="O42" s="6"/>
      <c r="P42" s="6"/>
      <c r="Q42" s="6"/>
      <c r="R42" s="6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 spans="1:32" ht="11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ht="11.25" customHeight="1">
      <c r="A44" s="10" t="s">
        <v>13</v>
      </c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2"/>
      <c r="O44" s="12"/>
      <c r="P44" s="12"/>
      <c r="Q44" s="12"/>
      <c r="R44" s="1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ht="11.25" customHeight="1">
      <c r="A45" s="11"/>
      <c r="B45" s="43" t="s">
        <v>6</v>
      </c>
      <c r="C45" s="36"/>
      <c r="D45" s="37"/>
      <c r="E45" s="43" t="s">
        <v>11</v>
      </c>
      <c r="F45" s="36"/>
      <c r="G45" s="37"/>
      <c r="H45" s="43" t="s">
        <v>6</v>
      </c>
      <c r="I45" s="36"/>
      <c r="J45" s="37"/>
      <c r="K45" s="43" t="s">
        <v>11</v>
      </c>
      <c r="L45" s="36"/>
      <c r="M45" s="37"/>
      <c r="N45" s="12"/>
      <c r="O45" s="11"/>
      <c r="P45" s="11"/>
      <c r="Q45" s="13" t="s">
        <v>4</v>
      </c>
      <c r="R45" s="14" t="s">
        <v>0</v>
      </c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ht="11.25" customHeight="1">
      <c r="A46" s="15" t="s">
        <v>5</v>
      </c>
      <c r="B46" s="13" t="s">
        <v>1</v>
      </c>
      <c r="C46" s="13" t="s">
        <v>2</v>
      </c>
      <c r="D46" s="13" t="s">
        <v>3</v>
      </c>
      <c r="E46" s="13" t="s">
        <v>1</v>
      </c>
      <c r="F46" s="13" t="s">
        <v>2</v>
      </c>
      <c r="G46" s="13" t="s">
        <v>3</v>
      </c>
      <c r="H46" s="13" t="s">
        <v>1</v>
      </c>
      <c r="I46" s="13" t="s">
        <v>2</v>
      </c>
      <c r="J46" s="13" t="s">
        <v>3</v>
      </c>
      <c r="K46" s="13" t="s">
        <v>1</v>
      </c>
      <c r="L46" s="13" t="s">
        <v>2</v>
      </c>
      <c r="M46" s="13" t="s">
        <v>3</v>
      </c>
      <c r="N46" s="12"/>
      <c r="O46" s="43" t="s">
        <v>6</v>
      </c>
      <c r="P46" s="37"/>
      <c r="Q46" s="13">
        <f>AVERAGE(D47:D56)</f>
        <v>0</v>
      </c>
      <c r="R46" s="13">
        <f>STDEV(D47:D56)/SQRT(6)</f>
        <v>0</v>
      </c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ht="11.25" customHeight="1">
      <c r="A47" s="13">
        <v>1</v>
      </c>
      <c r="B47" s="13"/>
      <c r="C47" s="13">
        <v>24</v>
      </c>
      <c r="D47" s="13">
        <f t="shared" ref="D47:D52" si="21">B47/C47</f>
        <v>0</v>
      </c>
      <c r="E47" s="13"/>
      <c r="F47" s="13">
        <v>24</v>
      </c>
      <c r="G47" s="13">
        <f t="shared" ref="G47:G52" si="22">E47/F47</f>
        <v>0</v>
      </c>
      <c r="H47" s="13"/>
      <c r="I47" s="13">
        <v>24</v>
      </c>
      <c r="J47" s="13">
        <f t="shared" ref="J47:J52" si="23">H47/I47</f>
        <v>0</v>
      </c>
      <c r="K47" s="13"/>
      <c r="L47" s="13">
        <v>24</v>
      </c>
      <c r="M47" s="13">
        <f t="shared" ref="M47:M52" si="24">K47/L47</f>
        <v>0</v>
      </c>
      <c r="N47" s="12"/>
      <c r="O47" s="43" t="s">
        <v>12</v>
      </c>
      <c r="P47" s="37"/>
      <c r="Q47" s="13">
        <f>AVERAGE(G47:G56)</f>
        <v>0</v>
      </c>
      <c r="R47" s="13">
        <f>STDEV(D48:D57)/SQRT(6)</f>
        <v>0</v>
      </c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ht="11.25" customHeight="1">
      <c r="A48" s="13">
        <v>2</v>
      </c>
      <c r="B48" s="13"/>
      <c r="C48" s="13">
        <v>24</v>
      </c>
      <c r="D48" s="13">
        <f t="shared" si="21"/>
        <v>0</v>
      </c>
      <c r="E48" s="13"/>
      <c r="F48" s="13">
        <v>24</v>
      </c>
      <c r="G48" s="13">
        <f t="shared" si="22"/>
        <v>0</v>
      </c>
      <c r="H48" s="13"/>
      <c r="I48" s="13">
        <v>24</v>
      </c>
      <c r="J48" s="13">
        <f t="shared" si="23"/>
        <v>0</v>
      </c>
      <c r="K48" s="13"/>
      <c r="L48" s="13">
        <v>24</v>
      </c>
      <c r="M48" s="13">
        <f t="shared" si="24"/>
        <v>0</v>
      </c>
      <c r="N48" s="12"/>
      <c r="O48" s="12"/>
      <c r="P48" s="12"/>
      <c r="Q48" s="13">
        <f>AVERAGE(J47:J56)</f>
        <v>0</v>
      </c>
      <c r="R48" s="13">
        <f>STDEV(J47:J56)/SQRT(6)</f>
        <v>0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ht="11.25" customHeight="1">
      <c r="A49" s="13">
        <v>3</v>
      </c>
      <c r="B49" s="13"/>
      <c r="C49" s="13">
        <v>24</v>
      </c>
      <c r="D49" s="13">
        <f t="shared" si="21"/>
        <v>0</v>
      </c>
      <c r="E49" s="13"/>
      <c r="F49" s="13">
        <v>24</v>
      </c>
      <c r="G49" s="13">
        <f t="shared" si="22"/>
        <v>0</v>
      </c>
      <c r="H49" s="13"/>
      <c r="I49" s="13">
        <v>24</v>
      </c>
      <c r="J49" s="13">
        <f t="shared" si="23"/>
        <v>0</v>
      </c>
      <c r="K49" s="13"/>
      <c r="L49" s="13">
        <v>24</v>
      </c>
      <c r="M49" s="13">
        <f t="shared" si="24"/>
        <v>0</v>
      </c>
      <c r="N49" s="12"/>
      <c r="O49" s="11"/>
      <c r="P49" s="12"/>
      <c r="Q49" s="13">
        <f>AVERAGE(M47:M56)</f>
        <v>0</v>
      </c>
      <c r="R49" s="13">
        <f>STDEV(M47:M56)/SQRT(6)</f>
        <v>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spans="1:32" ht="11.25" customHeight="1">
      <c r="A50" s="13">
        <v>4</v>
      </c>
      <c r="B50" s="13"/>
      <c r="C50" s="13">
        <v>24</v>
      </c>
      <c r="D50" s="13">
        <f t="shared" si="21"/>
        <v>0</v>
      </c>
      <c r="E50" s="13"/>
      <c r="F50" s="13">
        <v>24</v>
      </c>
      <c r="G50" s="13">
        <f t="shared" si="22"/>
        <v>0</v>
      </c>
      <c r="H50" s="13"/>
      <c r="I50" s="13">
        <v>24</v>
      </c>
      <c r="J50" s="13">
        <f t="shared" si="23"/>
        <v>0</v>
      </c>
      <c r="K50" s="13"/>
      <c r="L50" s="13">
        <v>24</v>
      </c>
      <c r="M50" s="13">
        <f t="shared" si="24"/>
        <v>0</v>
      </c>
      <c r="N50" s="12"/>
      <c r="O50" s="12"/>
      <c r="P50" s="12"/>
      <c r="Q50" s="12"/>
      <c r="R50" s="1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</row>
    <row r="51" spans="1:32" ht="11.25" customHeight="1">
      <c r="A51" s="13">
        <v>5</v>
      </c>
      <c r="B51" s="13"/>
      <c r="C51" s="13">
        <v>24</v>
      </c>
      <c r="D51" s="13">
        <f t="shared" si="21"/>
        <v>0</v>
      </c>
      <c r="E51" s="13"/>
      <c r="F51" s="13">
        <v>24</v>
      </c>
      <c r="G51" s="13">
        <f t="shared" si="22"/>
        <v>0</v>
      </c>
      <c r="H51" s="13"/>
      <c r="I51" s="13">
        <v>24</v>
      </c>
      <c r="J51" s="13">
        <f t="shared" si="23"/>
        <v>0</v>
      </c>
      <c r="K51" s="13"/>
      <c r="L51" s="13">
        <v>24</v>
      </c>
      <c r="M51" s="13">
        <f t="shared" si="24"/>
        <v>0</v>
      </c>
      <c r="N51" s="12"/>
      <c r="O51" s="12"/>
      <c r="P51" s="12"/>
      <c r="Q51" s="12"/>
      <c r="R51" s="1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</row>
    <row r="52" spans="1:32" ht="11.25" customHeight="1">
      <c r="A52" s="13">
        <v>6</v>
      </c>
      <c r="B52" s="13"/>
      <c r="C52" s="13">
        <v>24</v>
      </c>
      <c r="D52" s="13">
        <f t="shared" si="21"/>
        <v>0</v>
      </c>
      <c r="E52" s="13"/>
      <c r="F52" s="13">
        <v>24</v>
      </c>
      <c r="G52" s="13">
        <f t="shared" si="22"/>
        <v>0</v>
      </c>
      <c r="H52" s="13"/>
      <c r="I52" s="13">
        <v>24</v>
      </c>
      <c r="J52" s="13">
        <f t="shared" si="23"/>
        <v>0</v>
      </c>
      <c r="K52" s="13"/>
      <c r="L52" s="13">
        <v>24</v>
      </c>
      <c r="M52" s="13">
        <f t="shared" si="24"/>
        <v>0</v>
      </c>
      <c r="N52" s="12"/>
      <c r="O52" s="12"/>
      <c r="P52" s="12"/>
      <c r="Q52" s="12"/>
      <c r="R52" s="1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</row>
    <row r="53" spans="1:32" ht="11.25" customHeight="1">
      <c r="A53" s="13">
        <v>7</v>
      </c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2"/>
      <c r="O53" s="12"/>
      <c r="P53" s="12"/>
      <c r="Q53" s="12"/>
      <c r="R53" s="1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</row>
    <row r="54" spans="1:32" ht="11.25" customHeight="1">
      <c r="A54" s="13">
        <v>8</v>
      </c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2"/>
      <c r="O54" s="12"/>
      <c r="P54" s="12"/>
      <c r="Q54" s="12"/>
      <c r="R54" s="1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</row>
    <row r="55" spans="1:32" ht="11.25" customHeight="1">
      <c r="A55" s="13">
        <v>9</v>
      </c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2"/>
      <c r="O55" s="12"/>
      <c r="P55" s="12"/>
      <c r="Q55" s="12"/>
      <c r="R55" s="1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</row>
    <row r="56" spans="1:32" ht="11.25" customHeight="1">
      <c r="A56" s="13">
        <v>10</v>
      </c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2"/>
      <c r="O56" s="12"/>
      <c r="P56" s="12"/>
      <c r="Q56" s="12"/>
      <c r="R56" s="1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</row>
    <row r="57" spans="1:32" ht="11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</row>
    <row r="58" spans="1:32" ht="11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</row>
    <row r="59" spans="1:32" ht="11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</row>
    <row r="60" spans="1:32" ht="11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</row>
    <row r="61" spans="1:32" ht="11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</row>
    <row r="62" spans="1:32" ht="11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</row>
    <row r="63" spans="1:32" ht="11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</row>
    <row r="64" spans="1:32" ht="11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</row>
    <row r="65" spans="1:32" ht="11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</row>
    <row r="66" spans="1:32" ht="11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</row>
    <row r="67" spans="1:32" ht="11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</row>
    <row r="68" spans="1:32" ht="11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</row>
    <row r="69" spans="1:32" ht="11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</row>
    <row r="70" spans="1:32" ht="11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</row>
    <row r="71" spans="1:32" ht="11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</row>
    <row r="72" spans="1:32" ht="11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</row>
    <row r="73" spans="1:32" ht="11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</row>
    <row r="74" spans="1:32" ht="11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</row>
    <row r="75" spans="1:32" ht="11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</row>
    <row r="76" spans="1:32" ht="11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</row>
    <row r="77" spans="1:32" ht="11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</row>
    <row r="78" spans="1:32" ht="11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</row>
    <row r="79" spans="1:32" ht="11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</row>
    <row r="80" spans="1:32" ht="11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</row>
    <row r="81" spans="1:32" ht="11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</row>
    <row r="82" spans="1:32" ht="11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</row>
    <row r="83" spans="1:32" ht="11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</row>
    <row r="84" spans="1:32" ht="11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</row>
    <row r="85" spans="1:32" ht="11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</row>
    <row r="86" spans="1:32" ht="11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</row>
    <row r="87" spans="1:32" ht="11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</row>
    <row r="88" spans="1:32" ht="11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</row>
    <row r="89" spans="1:32" ht="11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</row>
    <row r="90" spans="1:32" ht="11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</row>
    <row r="91" spans="1:32" ht="11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</row>
    <row r="92" spans="1:32" ht="11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</row>
    <row r="93" spans="1:32" ht="11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</row>
    <row r="94" spans="1:32" ht="11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</row>
    <row r="95" spans="1:32" ht="11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</row>
    <row r="96" spans="1:32" ht="11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</row>
    <row r="97" spans="1:32" ht="11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</row>
    <row r="98" spans="1:32" ht="11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</row>
    <row r="99" spans="1:32" ht="11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</row>
    <row r="100" spans="1:32" ht="11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</row>
    <row r="101" spans="1:32" ht="11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</row>
    <row r="102" spans="1:32" ht="11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</row>
    <row r="103" spans="1:32" ht="11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</row>
    <row r="104" spans="1:32" ht="11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</row>
    <row r="105" spans="1:32" ht="11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</row>
    <row r="106" spans="1:32" ht="11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</row>
    <row r="107" spans="1:32" ht="11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</row>
    <row r="108" spans="1:32" ht="11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</row>
    <row r="109" spans="1:32" ht="11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</row>
    <row r="110" spans="1:32" ht="11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</row>
    <row r="111" spans="1:32" ht="11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</row>
    <row r="112" spans="1:32" ht="11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</row>
    <row r="113" spans="1:32" ht="11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</row>
    <row r="114" spans="1:32" ht="11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</row>
    <row r="115" spans="1:32" ht="11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</row>
    <row r="116" spans="1:32" ht="11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</row>
    <row r="117" spans="1:32" ht="11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</row>
    <row r="118" spans="1:32" ht="11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</row>
    <row r="119" spans="1:32" ht="11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</row>
    <row r="120" spans="1:32" ht="11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</row>
    <row r="121" spans="1:32" ht="11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</row>
    <row r="122" spans="1:32" ht="11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</row>
    <row r="123" spans="1:32" ht="11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</row>
    <row r="124" spans="1:32" ht="11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</row>
    <row r="125" spans="1:32" ht="11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</row>
    <row r="126" spans="1:32" ht="11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</row>
    <row r="127" spans="1:32" ht="11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</row>
    <row r="128" spans="1:32" ht="11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</row>
    <row r="129" spans="1:32" ht="11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</row>
    <row r="130" spans="1:32" ht="11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</row>
    <row r="131" spans="1:32" ht="11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</row>
    <row r="132" spans="1:32" ht="11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</row>
    <row r="133" spans="1:32" ht="11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</row>
    <row r="134" spans="1:32" ht="11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</row>
    <row r="135" spans="1:32" ht="11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</row>
    <row r="136" spans="1:32" ht="11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</row>
    <row r="137" spans="1:32" ht="11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</row>
    <row r="138" spans="1:32" ht="11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</row>
    <row r="139" spans="1:32" ht="11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</row>
    <row r="140" spans="1:32" ht="11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</row>
    <row r="141" spans="1:32" ht="11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</row>
    <row r="142" spans="1:32" ht="11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</row>
    <row r="143" spans="1:32" ht="11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</row>
    <row r="144" spans="1:32" ht="11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</row>
    <row r="145" spans="1:32" ht="11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</row>
    <row r="146" spans="1:32" ht="11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</row>
    <row r="147" spans="1:32" ht="11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</row>
    <row r="148" spans="1:32" ht="11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</row>
    <row r="149" spans="1:32" ht="11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</row>
    <row r="150" spans="1:32" ht="11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</row>
    <row r="151" spans="1:32" ht="11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</row>
    <row r="152" spans="1:32" ht="11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</row>
    <row r="153" spans="1:32" ht="11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</row>
    <row r="154" spans="1:32" ht="11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</row>
    <row r="155" spans="1:32" ht="11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</row>
    <row r="156" spans="1:32" ht="11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</row>
    <row r="157" spans="1:32" ht="11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</row>
    <row r="158" spans="1:32" ht="11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</row>
    <row r="159" spans="1:32" ht="11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</row>
    <row r="160" spans="1:32" ht="11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</row>
    <row r="161" spans="1:32" ht="11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</row>
    <row r="162" spans="1:32" ht="11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</row>
    <row r="163" spans="1:32" ht="11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</row>
    <row r="164" spans="1:32" ht="11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</row>
    <row r="165" spans="1:32" ht="11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</row>
    <row r="166" spans="1:32" ht="11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</row>
    <row r="167" spans="1:32" ht="11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</row>
    <row r="168" spans="1:32" ht="11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</row>
    <row r="169" spans="1:32" ht="11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</row>
    <row r="170" spans="1:32" ht="11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</row>
    <row r="171" spans="1:32" ht="11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</row>
    <row r="172" spans="1:32" ht="11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</row>
    <row r="173" spans="1:32" ht="11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</row>
    <row r="174" spans="1:32" ht="11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</row>
    <row r="175" spans="1:32" ht="11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</row>
    <row r="176" spans="1:32" ht="11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</row>
    <row r="177" spans="1:32" ht="11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</row>
    <row r="178" spans="1:32" ht="11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</row>
    <row r="179" spans="1:32" ht="11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</row>
    <row r="180" spans="1:32" ht="11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</row>
    <row r="181" spans="1:32" ht="11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</row>
    <row r="182" spans="1:32" ht="11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</row>
    <row r="183" spans="1:32" ht="11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</row>
    <row r="184" spans="1:32" ht="11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</row>
    <row r="185" spans="1:32" ht="11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</row>
    <row r="186" spans="1:32" ht="11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</row>
    <row r="187" spans="1:32" ht="11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</row>
    <row r="188" spans="1:32" ht="11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</row>
    <row r="189" spans="1:32" ht="11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</row>
    <row r="190" spans="1:32" ht="11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</row>
    <row r="191" spans="1:32" ht="11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</row>
    <row r="192" spans="1:32" ht="11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</row>
    <row r="193" spans="1:32" ht="11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</row>
    <row r="194" spans="1:32" ht="11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</row>
    <row r="195" spans="1:32" ht="11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</row>
    <row r="196" spans="1:32" ht="11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</row>
    <row r="197" spans="1:32" ht="11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</row>
    <row r="198" spans="1:32" ht="11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</row>
    <row r="199" spans="1:32" ht="11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</row>
    <row r="200" spans="1:32" ht="11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</row>
    <row r="201" spans="1:32" ht="11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</row>
    <row r="202" spans="1:32" ht="11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</row>
    <row r="203" spans="1:32" ht="11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</row>
    <row r="204" spans="1:32" ht="11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</row>
    <row r="205" spans="1:32" ht="11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</row>
    <row r="206" spans="1:32" ht="11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</row>
    <row r="207" spans="1:32" ht="11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</row>
    <row r="208" spans="1:32" ht="11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</row>
    <row r="209" spans="1:32" ht="11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</row>
    <row r="210" spans="1:32" ht="11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</row>
    <row r="211" spans="1:32" ht="11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</row>
    <row r="212" spans="1:32" ht="11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</row>
    <row r="213" spans="1:32" ht="11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</row>
    <row r="214" spans="1:32" ht="11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</row>
    <row r="215" spans="1:32" ht="11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</row>
    <row r="216" spans="1:32" ht="11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</row>
    <row r="217" spans="1:32" ht="11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</row>
    <row r="218" spans="1:32" ht="11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</row>
    <row r="219" spans="1:32" ht="11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</row>
    <row r="220" spans="1:32" ht="11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</row>
    <row r="221" spans="1:32" ht="11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</row>
    <row r="222" spans="1:32" ht="11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</row>
    <row r="223" spans="1:32" ht="11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</row>
    <row r="224" spans="1:32" ht="11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</row>
    <row r="225" spans="1:32" ht="11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</row>
    <row r="226" spans="1:32" ht="11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</row>
    <row r="227" spans="1:32" ht="11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</row>
    <row r="228" spans="1:32" ht="11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</row>
    <row r="229" spans="1:32" ht="11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</row>
    <row r="230" spans="1:32" ht="11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</row>
    <row r="231" spans="1:32" ht="11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</row>
    <row r="232" spans="1:32" ht="11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</row>
    <row r="233" spans="1:32" ht="11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</row>
    <row r="234" spans="1:32" ht="11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</row>
    <row r="235" spans="1:32" ht="11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</row>
    <row r="236" spans="1:32" ht="11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</row>
    <row r="237" spans="1:32" ht="11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</row>
    <row r="238" spans="1:32" ht="11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</row>
    <row r="239" spans="1:32" ht="11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</row>
    <row r="240" spans="1:32" ht="11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</row>
    <row r="241" spans="1:32" ht="11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</row>
    <row r="242" spans="1:32" ht="11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</row>
    <row r="243" spans="1:32" ht="11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</row>
    <row r="244" spans="1:32" ht="11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</row>
    <row r="245" spans="1:32" ht="11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</row>
    <row r="246" spans="1:32" ht="11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</row>
    <row r="247" spans="1:32" ht="11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</row>
    <row r="248" spans="1:32" ht="11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</row>
    <row r="249" spans="1:32" ht="11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</row>
    <row r="250" spans="1:32" ht="11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</row>
    <row r="251" spans="1:32" ht="11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</row>
    <row r="252" spans="1:32" ht="11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</row>
    <row r="253" spans="1:32" ht="11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</row>
    <row r="254" spans="1:32" ht="11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</row>
    <row r="255" spans="1:32" ht="11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</row>
    <row r="256" spans="1:32" ht="11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</row>
    <row r="257" spans="1:32" ht="11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</row>
    <row r="258" spans="1:32" ht="11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</row>
    <row r="259" spans="1:32" ht="11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</row>
    <row r="260" spans="1:32" ht="11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</row>
    <row r="261" spans="1:32" ht="11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</row>
    <row r="262" spans="1:32" ht="11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</row>
    <row r="263" spans="1:32" ht="11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</row>
    <row r="264" spans="1:32" ht="11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</row>
    <row r="265" spans="1:32" ht="11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</row>
    <row r="266" spans="1:32" ht="11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</row>
    <row r="267" spans="1:32" ht="11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</row>
    <row r="268" spans="1:32" ht="11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</row>
    <row r="269" spans="1:32" ht="11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</row>
    <row r="270" spans="1:32" ht="11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</row>
    <row r="271" spans="1:32" ht="11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</row>
    <row r="272" spans="1:32" ht="11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</row>
    <row r="273" spans="1:32" ht="11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</row>
    <row r="274" spans="1:32" ht="11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</row>
    <row r="275" spans="1:32" ht="11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</row>
    <row r="276" spans="1:32" ht="11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</row>
    <row r="277" spans="1:32" ht="11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</row>
    <row r="278" spans="1:32" ht="11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</row>
    <row r="279" spans="1:32" ht="11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</row>
    <row r="280" spans="1:32" ht="11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</row>
    <row r="281" spans="1:32" ht="11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</row>
    <row r="282" spans="1:32" ht="11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</row>
    <row r="283" spans="1:32" ht="11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</row>
    <row r="284" spans="1:32" ht="11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</row>
    <row r="285" spans="1:32" ht="11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</row>
    <row r="286" spans="1:32" ht="11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</row>
    <row r="287" spans="1:32" ht="11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</row>
    <row r="288" spans="1:32" ht="11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</row>
    <row r="289" spans="1:32" ht="11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</row>
    <row r="290" spans="1:32" ht="11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</row>
    <row r="291" spans="1:32" ht="11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</row>
    <row r="292" spans="1:32" ht="11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</row>
    <row r="293" spans="1:32" ht="11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</row>
    <row r="294" spans="1:32" ht="11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  <row r="295" spans="1:32" ht="11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</row>
    <row r="296" spans="1:32" ht="11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</row>
    <row r="297" spans="1:32" ht="11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</row>
    <row r="298" spans="1:32" ht="11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</row>
    <row r="299" spans="1:32" ht="11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</row>
    <row r="300" spans="1:32" ht="11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</row>
    <row r="301" spans="1:32" ht="11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</row>
    <row r="302" spans="1:32" ht="11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</row>
    <row r="303" spans="1:32" ht="11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</row>
    <row r="304" spans="1:32" ht="11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</row>
    <row r="305" spans="1:32" ht="11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</row>
    <row r="306" spans="1:32" ht="11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</row>
    <row r="307" spans="1:32" ht="11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</row>
    <row r="308" spans="1:32" ht="11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</row>
    <row r="309" spans="1:32" ht="11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</row>
    <row r="310" spans="1:32" ht="11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</row>
    <row r="311" spans="1:32" ht="11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</row>
    <row r="312" spans="1:32" ht="11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</row>
    <row r="313" spans="1:32" ht="11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</row>
    <row r="314" spans="1:32" ht="11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</row>
    <row r="315" spans="1:32" ht="11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</row>
    <row r="316" spans="1:32" ht="11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</row>
    <row r="317" spans="1:32" ht="11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</row>
    <row r="318" spans="1:32" ht="11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</row>
    <row r="319" spans="1:32" ht="11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</row>
    <row r="320" spans="1:32" ht="11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</row>
    <row r="321" spans="1:32" ht="11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</row>
    <row r="322" spans="1:32" ht="11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</row>
    <row r="323" spans="1:32" ht="11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</row>
    <row r="324" spans="1:32" ht="11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</row>
    <row r="325" spans="1:32" ht="11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</row>
    <row r="326" spans="1:32" ht="11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</row>
    <row r="327" spans="1:32" ht="11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</row>
    <row r="328" spans="1:32" ht="11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</row>
    <row r="329" spans="1:32" ht="11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</row>
    <row r="330" spans="1:32" ht="11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</row>
    <row r="331" spans="1:32" ht="11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</row>
    <row r="332" spans="1:32" ht="11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</row>
    <row r="333" spans="1:32" ht="11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</row>
    <row r="334" spans="1:32" ht="11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</row>
    <row r="335" spans="1:32" ht="11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</row>
    <row r="336" spans="1:32" ht="11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</row>
    <row r="337" spans="1:32" ht="11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</row>
    <row r="338" spans="1:32" ht="11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</row>
    <row r="339" spans="1:32" ht="11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</row>
    <row r="340" spans="1:32" ht="11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</row>
    <row r="341" spans="1:32" ht="11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</row>
    <row r="342" spans="1:32" ht="11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</row>
    <row r="343" spans="1:32" ht="11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</row>
    <row r="344" spans="1:32" ht="11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</row>
    <row r="345" spans="1:32" ht="11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</row>
    <row r="346" spans="1:32" ht="11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</row>
    <row r="347" spans="1:32" ht="11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</row>
    <row r="348" spans="1:32" ht="11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</row>
    <row r="349" spans="1:32" ht="11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</row>
    <row r="350" spans="1:32" ht="11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</row>
    <row r="351" spans="1:32" ht="11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</row>
    <row r="352" spans="1:32" ht="11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</row>
    <row r="353" spans="1:32" ht="11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</row>
    <row r="354" spans="1:32" ht="11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</row>
    <row r="355" spans="1:32" ht="11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</row>
    <row r="356" spans="1:32" ht="11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</row>
    <row r="357" spans="1:32" ht="11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</row>
    <row r="358" spans="1:32" ht="11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</row>
    <row r="359" spans="1:32" ht="11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</row>
    <row r="360" spans="1:32" ht="11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</row>
    <row r="361" spans="1:32" ht="11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</row>
    <row r="362" spans="1:32" ht="11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</row>
    <row r="363" spans="1:32" ht="11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</row>
    <row r="364" spans="1:32" ht="11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</row>
    <row r="365" spans="1:32" ht="11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</row>
    <row r="366" spans="1:32" ht="11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</row>
    <row r="367" spans="1:32" ht="11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</row>
    <row r="368" spans="1:32" ht="11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</row>
    <row r="369" spans="1:32" ht="11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</row>
    <row r="370" spans="1:32" ht="11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</row>
    <row r="371" spans="1:32" ht="11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</row>
    <row r="372" spans="1:32" ht="11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</row>
    <row r="373" spans="1:32" ht="11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</row>
    <row r="374" spans="1:32" ht="11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</row>
    <row r="375" spans="1:32" ht="11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</row>
    <row r="376" spans="1:32" ht="11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</row>
    <row r="377" spans="1:32" ht="11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</row>
    <row r="378" spans="1:32" ht="11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</row>
    <row r="379" spans="1:32" ht="11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</row>
    <row r="380" spans="1:32" ht="11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</row>
    <row r="381" spans="1:32" ht="11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</row>
    <row r="382" spans="1:32" ht="11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</row>
    <row r="383" spans="1:32" ht="11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</row>
    <row r="384" spans="1:32" ht="11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</row>
    <row r="385" spans="1:32" ht="11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</row>
    <row r="386" spans="1:32" ht="11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</row>
    <row r="387" spans="1:32" ht="11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</row>
    <row r="388" spans="1:32" ht="11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</row>
    <row r="389" spans="1:32" ht="11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</row>
    <row r="390" spans="1:32" ht="11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</row>
    <row r="391" spans="1:32" ht="11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</row>
    <row r="392" spans="1:32" ht="11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</row>
    <row r="393" spans="1:32" ht="11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</row>
    <row r="394" spans="1:32" ht="11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</row>
    <row r="395" spans="1:32" ht="11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</row>
    <row r="396" spans="1:32" ht="11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</row>
    <row r="397" spans="1:32" ht="11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</row>
    <row r="398" spans="1:32" ht="11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</row>
    <row r="399" spans="1:32" ht="11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</row>
    <row r="400" spans="1:32" ht="11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</row>
    <row r="401" spans="1:32" ht="11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</row>
    <row r="402" spans="1:32" ht="11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</row>
    <row r="403" spans="1:32" ht="11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</row>
    <row r="404" spans="1:32" ht="11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</row>
    <row r="405" spans="1:32" ht="11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</row>
    <row r="406" spans="1:32" ht="11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</row>
    <row r="407" spans="1:32" ht="11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</row>
    <row r="408" spans="1:32" ht="11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</row>
    <row r="409" spans="1:32" ht="11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</row>
    <row r="410" spans="1:32" ht="11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</row>
    <row r="411" spans="1:32" ht="11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</row>
    <row r="412" spans="1:32" ht="11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</row>
    <row r="413" spans="1:32" ht="11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</row>
    <row r="414" spans="1:32" ht="11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</row>
    <row r="415" spans="1:32" ht="11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</row>
    <row r="416" spans="1:32" ht="11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</row>
    <row r="417" spans="1:32" ht="11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</row>
    <row r="418" spans="1:32" ht="11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</row>
    <row r="419" spans="1:32" ht="11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</row>
    <row r="420" spans="1:32" ht="11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</row>
    <row r="421" spans="1:32" ht="11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</row>
    <row r="422" spans="1:32" ht="11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</row>
    <row r="423" spans="1:32" ht="11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</row>
    <row r="424" spans="1:32" ht="11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</row>
    <row r="425" spans="1:32" ht="11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</row>
    <row r="426" spans="1:32" ht="11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</row>
    <row r="427" spans="1:32" ht="11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</row>
    <row r="428" spans="1:32" ht="11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</row>
    <row r="429" spans="1:32" ht="11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</row>
    <row r="430" spans="1:32" ht="11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</row>
    <row r="431" spans="1:32" ht="11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</row>
    <row r="432" spans="1:32" ht="11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</row>
    <row r="433" spans="1:32" ht="11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</row>
    <row r="434" spans="1:32" ht="11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</row>
    <row r="435" spans="1:32" ht="11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</row>
    <row r="436" spans="1:32" ht="11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</row>
    <row r="437" spans="1:32" ht="11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</row>
    <row r="438" spans="1:32" ht="11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</row>
    <row r="439" spans="1:32" ht="11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</row>
    <row r="440" spans="1:32" ht="11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</row>
    <row r="441" spans="1:32" ht="11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</row>
    <row r="442" spans="1:32" ht="11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</row>
    <row r="443" spans="1:32" ht="11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</row>
    <row r="444" spans="1:32" ht="11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</row>
    <row r="445" spans="1:32" ht="11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</row>
    <row r="446" spans="1:32" ht="11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</row>
    <row r="447" spans="1:32" ht="11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</row>
    <row r="448" spans="1:32" ht="11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</row>
    <row r="449" spans="1:32" ht="11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</row>
    <row r="450" spans="1:32" ht="11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</row>
    <row r="451" spans="1:32" ht="11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</row>
    <row r="452" spans="1:32" ht="11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</row>
    <row r="453" spans="1:32" ht="11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</row>
    <row r="454" spans="1:32" ht="11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</row>
    <row r="455" spans="1:32" ht="11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</row>
    <row r="456" spans="1:32" ht="11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</row>
    <row r="457" spans="1:32" ht="11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</row>
    <row r="458" spans="1:32" ht="11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</row>
    <row r="459" spans="1:32" ht="11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</row>
    <row r="460" spans="1:32" ht="11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</row>
    <row r="461" spans="1:32" ht="11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</row>
    <row r="462" spans="1:32" ht="11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</row>
    <row r="463" spans="1:32" ht="11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</row>
    <row r="464" spans="1:32" ht="11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</row>
    <row r="465" spans="1:32" ht="11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</row>
    <row r="466" spans="1:32" ht="11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</row>
    <row r="467" spans="1:32" ht="11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</row>
    <row r="468" spans="1:32" ht="11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</row>
    <row r="469" spans="1:32" ht="11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</row>
    <row r="470" spans="1:32" ht="11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</row>
    <row r="471" spans="1:32" ht="11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</row>
    <row r="472" spans="1:32" ht="11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</row>
    <row r="473" spans="1:32" ht="11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</row>
    <row r="474" spans="1:32" ht="11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</row>
    <row r="475" spans="1:32" ht="11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</row>
    <row r="476" spans="1:32" ht="11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</row>
    <row r="477" spans="1:32" ht="11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</row>
    <row r="478" spans="1:32" ht="11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</row>
    <row r="479" spans="1:32" ht="11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</row>
    <row r="480" spans="1:32" ht="11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</row>
    <row r="481" spans="1:32" ht="11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</row>
    <row r="482" spans="1:32" ht="11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</row>
    <row r="483" spans="1:32" ht="11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</row>
    <row r="484" spans="1:32" ht="11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</row>
    <row r="485" spans="1:32" ht="11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</row>
    <row r="486" spans="1:32" ht="11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</row>
    <row r="487" spans="1:32" ht="11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</row>
    <row r="488" spans="1:32" ht="11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</row>
    <row r="489" spans="1:32" ht="11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</row>
    <row r="490" spans="1:32" ht="11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</row>
    <row r="491" spans="1:32" ht="11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</row>
    <row r="492" spans="1:32" ht="11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</row>
    <row r="493" spans="1:32" ht="11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</row>
    <row r="494" spans="1:32" ht="11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</row>
    <row r="495" spans="1:32" ht="11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</row>
    <row r="496" spans="1:32" ht="11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</row>
    <row r="497" spans="1:32" ht="11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</row>
    <row r="498" spans="1:32" ht="11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</row>
    <row r="499" spans="1:32" ht="11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</row>
    <row r="500" spans="1:32" ht="11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</row>
    <row r="501" spans="1:32" ht="11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</row>
    <row r="502" spans="1:32" ht="11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</row>
    <row r="503" spans="1:32" ht="11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</row>
    <row r="504" spans="1:32" ht="11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</row>
    <row r="505" spans="1:32" ht="11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</row>
    <row r="506" spans="1:32" ht="11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</row>
    <row r="507" spans="1:32" ht="11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</row>
    <row r="508" spans="1:32" ht="11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</row>
    <row r="509" spans="1:32" ht="11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</row>
    <row r="510" spans="1:32" ht="11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</row>
    <row r="511" spans="1:32" ht="11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</row>
    <row r="512" spans="1:32" ht="11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</row>
    <row r="513" spans="1:32" ht="11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</row>
    <row r="514" spans="1:32" ht="11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</row>
    <row r="515" spans="1:32" ht="11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</row>
    <row r="516" spans="1:32" ht="11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</row>
    <row r="517" spans="1:32" ht="11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</row>
    <row r="518" spans="1:32" ht="11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</row>
    <row r="519" spans="1:32" ht="11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</row>
    <row r="520" spans="1:32" ht="11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</row>
    <row r="521" spans="1:32" ht="11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</row>
    <row r="522" spans="1:32" ht="11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</row>
    <row r="523" spans="1:32" ht="11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</row>
    <row r="524" spans="1:32" ht="11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</row>
    <row r="525" spans="1:32" ht="11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</row>
    <row r="526" spans="1:32" ht="11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</row>
    <row r="527" spans="1:32" ht="11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</row>
    <row r="528" spans="1:32" ht="11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</row>
    <row r="529" spans="1:32" ht="11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</row>
    <row r="530" spans="1:32" ht="11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</row>
    <row r="531" spans="1:32" ht="11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</row>
    <row r="532" spans="1:32" ht="11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</row>
    <row r="533" spans="1:32" ht="11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</row>
    <row r="534" spans="1:32" ht="11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</row>
    <row r="535" spans="1:32" ht="11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</row>
    <row r="536" spans="1:32" ht="11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</row>
    <row r="537" spans="1:32" ht="11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</row>
    <row r="538" spans="1:32" ht="11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</row>
    <row r="539" spans="1:32" ht="11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</row>
    <row r="540" spans="1:32" ht="11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</row>
    <row r="541" spans="1:32" ht="11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</row>
    <row r="542" spans="1:32" ht="11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</row>
    <row r="543" spans="1:32" ht="11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</row>
    <row r="544" spans="1:32" ht="11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</row>
    <row r="545" spans="1:32" ht="11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</row>
    <row r="546" spans="1:32" ht="11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</row>
    <row r="547" spans="1:32" ht="11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</row>
    <row r="548" spans="1:32" ht="11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</row>
    <row r="549" spans="1:32" ht="11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</row>
    <row r="550" spans="1:32" ht="11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</row>
    <row r="551" spans="1:32" ht="11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</row>
    <row r="552" spans="1:32" ht="11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</row>
    <row r="553" spans="1:32" ht="11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</row>
    <row r="554" spans="1:32" ht="11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</row>
    <row r="555" spans="1:32" ht="11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</row>
    <row r="556" spans="1:32" ht="11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</row>
    <row r="557" spans="1:32" ht="11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</row>
    <row r="558" spans="1:32" ht="11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</row>
    <row r="559" spans="1:32" ht="11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</row>
    <row r="560" spans="1:32" ht="11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</row>
    <row r="561" spans="1:32" ht="11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</row>
    <row r="562" spans="1:32" ht="11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</row>
    <row r="563" spans="1:32" ht="11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</row>
    <row r="564" spans="1:32" ht="11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</row>
    <row r="565" spans="1:32" ht="11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</row>
    <row r="566" spans="1:32" ht="11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</row>
    <row r="567" spans="1:32" ht="11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</row>
    <row r="568" spans="1:32" ht="11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</row>
    <row r="569" spans="1:32" ht="11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</row>
    <row r="570" spans="1:32" ht="11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</row>
    <row r="571" spans="1:32" ht="11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</row>
    <row r="572" spans="1:32" ht="11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</row>
    <row r="573" spans="1:32" ht="11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</row>
    <row r="574" spans="1:32" ht="11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</row>
    <row r="575" spans="1:32" ht="11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</row>
    <row r="576" spans="1:32" ht="11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</row>
    <row r="577" spans="1:32" ht="11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</row>
    <row r="578" spans="1:32" ht="11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</row>
    <row r="579" spans="1:32" ht="11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</row>
    <row r="580" spans="1:32" ht="11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</row>
    <row r="581" spans="1:32" ht="11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</row>
    <row r="582" spans="1:32" ht="11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</row>
    <row r="583" spans="1:32" ht="11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</row>
    <row r="584" spans="1:32" ht="11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</row>
    <row r="585" spans="1:32" ht="11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</row>
    <row r="586" spans="1:32" ht="11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</row>
    <row r="587" spans="1:32" ht="11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</row>
    <row r="588" spans="1:32" ht="11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</row>
    <row r="589" spans="1:32" ht="11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</row>
    <row r="590" spans="1:32" ht="11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</row>
    <row r="591" spans="1:32" ht="11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</row>
    <row r="592" spans="1:32" ht="11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</row>
    <row r="593" spans="1:32" ht="11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</row>
    <row r="594" spans="1:32" ht="11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</row>
    <row r="595" spans="1:32" ht="11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</row>
    <row r="596" spans="1:32" ht="11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</row>
    <row r="597" spans="1:32" ht="11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</row>
    <row r="598" spans="1:32" ht="11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</row>
    <row r="599" spans="1:32" ht="11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</row>
    <row r="600" spans="1:32" ht="11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</row>
    <row r="601" spans="1:32" ht="11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</row>
    <row r="602" spans="1:32" ht="11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</row>
    <row r="603" spans="1:32" ht="11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</row>
    <row r="604" spans="1:32" ht="11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</row>
    <row r="605" spans="1:32" ht="11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</row>
    <row r="606" spans="1:32" ht="11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</row>
    <row r="607" spans="1:32" ht="11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</row>
    <row r="608" spans="1:32" ht="11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</row>
    <row r="609" spans="1:32" ht="11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</row>
    <row r="610" spans="1:32" ht="11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</row>
    <row r="611" spans="1:32" ht="11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</row>
    <row r="612" spans="1:32" ht="11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</row>
    <row r="613" spans="1:32" ht="11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</row>
    <row r="614" spans="1:32" ht="11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</row>
    <row r="615" spans="1:32" ht="11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</row>
    <row r="616" spans="1:32" ht="11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</row>
    <row r="617" spans="1:32" ht="11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</row>
    <row r="618" spans="1:32" ht="11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</row>
    <row r="619" spans="1:32" ht="11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</row>
    <row r="620" spans="1:32" ht="11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</row>
    <row r="621" spans="1:32" ht="11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</row>
    <row r="622" spans="1:32" ht="11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</row>
    <row r="623" spans="1:32" ht="11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</row>
    <row r="624" spans="1:32" ht="11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</row>
    <row r="625" spans="1:32" ht="11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</row>
    <row r="626" spans="1:32" ht="11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</row>
    <row r="627" spans="1:32" ht="11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</row>
    <row r="628" spans="1:32" ht="11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</row>
    <row r="629" spans="1:32" ht="11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</row>
    <row r="630" spans="1:32" ht="11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</row>
    <row r="631" spans="1:32" ht="11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</row>
    <row r="632" spans="1:32" ht="11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</row>
    <row r="633" spans="1:32" ht="11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</row>
    <row r="634" spans="1:32" ht="11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</row>
    <row r="635" spans="1:32" ht="11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</row>
    <row r="636" spans="1:32" ht="11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</row>
    <row r="637" spans="1:32" ht="11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</row>
    <row r="638" spans="1:32" ht="11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</row>
    <row r="639" spans="1:32" ht="11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</row>
    <row r="640" spans="1:32" ht="11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</row>
    <row r="641" spans="1:32" ht="11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</row>
    <row r="642" spans="1:32" ht="11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</row>
    <row r="643" spans="1:32" ht="11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</row>
    <row r="644" spans="1:32" ht="11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</row>
    <row r="645" spans="1:32" ht="11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</row>
    <row r="646" spans="1:32" ht="11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</row>
    <row r="647" spans="1:32" ht="11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</row>
    <row r="648" spans="1:32" ht="11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</row>
    <row r="649" spans="1:32" ht="11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</row>
    <row r="650" spans="1:32" ht="11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</row>
    <row r="651" spans="1:32" ht="11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</row>
    <row r="652" spans="1:32" ht="11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</row>
    <row r="653" spans="1:32" ht="11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</row>
    <row r="654" spans="1:32" ht="11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</row>
    <row r="655" spans="1:32" ht="11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</row>
    <row r="656" spans="1:32" ht="11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</row>
    <row r="657" spans="1:32" ht="11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</row>
    <row r="658" spans="1:32" ht="11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</row>
    <row r="659" spans="1:32" ht="11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</row>
    <row r="660" spans="1:32" ht="11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</row>
    <row r="661" spans="1:32" ht="11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</row>
    <row r="662" spans="1:32" ht="11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</row>
    <row r="663" spans="1:32" ht="11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</row>
    <row r="664" spans="1:32" ht="11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</row>
    <row r="665" spans="1:32" ht="11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</row>
    <row r="666" spans="1:32" ht="11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</row>
    <row r="667" spans="1:32" ht="11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</row>
    <row r="668" spans="1:32" ht="11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</row>
    <row r="669" spans="1:32" ht="11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</row>
    <row r="670" spans="1:32" ht="11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</row>
    <row r="671" spans="1:32" ht="11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</row>
    <row r="672" spans="1:32" ht="11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</row>
    <row r="673" spans="1:32" ht="11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</row>
    <row r="674" spans="1:32" ht="11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</row>
    <row r="675" spans="1:32" ht="11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</row>
    <row r="676" spans="1:32" ht="11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</row>
    <row r="677" spans="1:32" ht="11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</row>
    <row r="678" spans="1:32" ht="11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</row>
    <row r="679" spans="1:32" ht="11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</row>
    <row r="680" spans="1:32" ht="11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</row>
    <row r="681" spans="1:32" ht="11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</row>
    <row r="682" spans="1:32" ht="11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</row>
    <row r="683" spans="1:32" ht="11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</row>
    <row r="684" spans="1:32" ht="11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</row>
    <row r="685" spans="1:32" ht="11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</row>
    <row r="686" spans="1:32" ht="11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</row>
    <row r="687" spans="1:32" ht="11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</row>
    <row r="688" spans="1:32" ht="11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</row>
    <row r="689" spans="1:32" ht="11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</row>
    <row r="690" spans="1:32" ht="11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</row>
    <row r="691" spans="1:32" ht="11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</row>
    <row r="692" spans="1:32" ht="11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</row>
    <row r="693" spans="1:32" ht="11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</row>
    <row r="694" spans="1:32" ht="11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</row>
    <row r="695" spans="1:32" ht="11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</row>
    <row r="696" spans="1:32" ht="11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</row>
    <row r="697" spans="1:32" ht="11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</row>
    <row r="698" spans="1:32" ht="11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</row>
    <row r="699" spans="1:32" ht="11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</row>
    <row r="700" spans="1:32" ht="11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</row>
    <row r="701" spans="1:32" ht="11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</row>
    <row r="702" spans="1:32" ht="11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</row>
    <row r="703" spans="1:32" ht="11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</row>
    <row r="704" spans="1:32" ht="11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</row>
    <row r="705" spans="1:32" ht="11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</row>
    <row r="706" spans="1:32" ht="11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</row>
    <row r="707" spans="1:32" ht="11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</row>
    <row r="708" spans="1:32" ht="11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</row>
    <row r="709" spans="1:32" ht="11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</row>
    <row r="710" spans="1:32" ht="11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</row>
    <row r="711" spans="1:32" ht="11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</row>
    <row r="712" spans="1:32" ht="11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</row>
    <row r="713" spans="1:32" ht="11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</row>
    <row r="714" spans="1:32" ht="11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</row>
    <row r="715" spans="1:32" ht="11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</row>
    <row r="716" spans="1:32" ht="11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</row>
    <row r="717" spans="1:32" ht="11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</row>
    <row r="718" spans="1:32" ht="11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</row>
    <row r="719" spans="1:32" ht="11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</row>
    <row r="720" spans="1:32" ht="11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</row>
    <row r="721" spans="1:32" ht="11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</row>
    <row r="722" spans="1:32" ht="11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</row>
    <row r="723" spans="1:32" ht="11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</row>
    <row r="724" spans="1:32" ht="11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</row>
    <row r="725" spans="1:32" ht="11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</row>
    <row r="726" spans="1:32" ht="11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</row>
    <row r="727" spans="1:32" ht="11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</row>
    <row r="728" spans="1:32" ht="11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</row>
    <row r="729" spans="1:32" ht="11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</row>
    <row r="730" spans="1:32" ht="11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</row>
    <row r="731" spans="1:32" ht="11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</row>
    <row r="732" spans="1:32" ht="11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</row>
    <row r="733" spans="1:32" ht="11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</row>
    <row r="734" spans="1:32" ht="11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</row>
    <row r="735" spans="1:32" ht="11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</row>
    <row r="736" spans="1:32" ht="11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</row>
    <row r="737" spans="1:32" ht="11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</row>
    <row r="738" spans="1:32" ht="11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</row>
    <row r="739" spans="1:32" ht="11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</row>
    <row r="740" spans="1:32" ht="11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</row>
    <row r="741" spans="1:32" ht="11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</row>
    <row r="742" spans="1:32" ht="11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</row>
    <row r="743" spans="1:32" ht="11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</row>
    <row r="744" spans="1:32" ht="11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</row>
    <row r="745" spans="1:32" ht="11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</row>
    <row r="746" spans="1:32" ht="11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</row>
    <row r="747" spans="1:32" ht="11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</row>
    <row r="748" spans="1:32" ht="11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</row>
    <row r="749" spans="1:32" ht="11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</row>
    <row r="750" spans="1:32" ht="11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</row>
    <row r="751" spans="1:32" ht="11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</row>
    <row r="752" spans="1:32" ht="11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</row>
    <row r="753" spans="1:32" ht="11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</row>
    <row r="754" spans="1:32" ht="11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</row>
    <row r="755" spans="1:32" ht="11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</row>
    <row r="756" spans="1:32" ht="11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</row>
    <row r="757" spans="1:32" ht="11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</row>
    <row r="758" spans="1:32" ht="11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</row>
    <row r="759" spans="1:32" ht="11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</row>
    <row r="760" spans="1:32" ht="11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</row>
    <row r="761" spans="1:32" ht="11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</row>
    <row r="762" spans="1:32" ht="11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</row>
    <row r="763" spans="1:32" ht="11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</row>
    <row r="764" spans="1:32" ht="11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</row>
    <row r="765" spans="1:32" ht="11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</row>
    <row r="766" spans="1:32" ht="11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</row>
    <row r="767" spans="1:32" ht="11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</row>
    <row r="768" spans="1:32" ht="11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</row>
    <row r="769" spans="1:32" ht="11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</row>
    <row r="770" spans="1:32" ht="11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</row>
    <row r="771" spans="1:32" ht="11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</row>
    <row r="772" spans="1:32" ht="11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</row>
    <row r="773" spans="1:32" ht="11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</row>
    <row r="774" spans="1:32" ht="11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</row>
    <row r="775" spans="1:32" ht="11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</row>
    <row r="776" spans="1:32" ht="11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</row>
    <row r="777" spans="1:32" ht="11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</row>
    <row r="778" spans="1:32" ht="11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</row>
    <row r="779" spans="1:32" ht="11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</row>
    <row r="780" spans="1:32" ht="11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</row>
    <row r="781" spans="1:32" ht="11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</row>
    <row r="782" spans="1:32" ht="11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</row>
    <row r="783" spans="1:32" ht="11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</row>
    <row r="784" spans="1:32" ht="11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</row>
    <row r="785" spans="1:32" ht="11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</row>
    <row r="786" spans="1:32" ht="11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</row>
    <row r="787" spans="1:32" ht="11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</row>
    <row r="788" spans="1:32" ht="11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</row>
    <row r="789" spans="1:32" ht="11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</row>
    <row r="790" spans="1:32" ht="11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</row>
    <row r="791" spans="1:32" ht="11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</row>
    <row r="792" spans="1:32" ht="11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</row>
    <row r="793" spans="1:32" ht="11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</row>
    <row r="794" spans="1:32" ht="11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</row>
    <row r="795" spans="1:32" ht="11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</row>
    <row r="796" spans="1:32" ht="11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</row>
    <row r="797" spans="1:32" ht="11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</row>
    <row r="798" spans="1:32" ht="11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</row>
    <row r="799" spans="1:32" ht="11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</row>
    <row r="800" spans="1:32" ht="11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</row>
    <row r="801" spans="1:32" ht="11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</row>
    <row r="802" spans="1:32" ht="11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</row>
    <row r="803" spans="1:32" ht="11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</row>
    <row r="804" spans="1:32" ht="11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</row>
    <row r="805" spans="1:32" ht="11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</row>
    <row r="806" spans="1:32" ht="11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</row>
    <row r="807" spans="1:32" ht="11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</row>
    <row r="808" spans="1:32" ht="11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</row>
    <row r="809" spans="1:32" ht="11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</row>
    <row r="810" spans="1:32" ht="11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</row>
    <row r="811" spans="1:32" ht="11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</row>
    <row r="812" spans="1:32" ht="11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</row>
    <row r="813" spans="1:32" ht="11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</row>
    <row r="814" spans="1:32" ht="11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</row>
    <row r="815" spans="1:32" ht="11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</row>
    <row r="816" spans="1:32" ht="11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</row>
    <row r="817" spans="1:32" ht="11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</row>
    <row r="818" spans="1:32" ht="11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</row>
    <row r="819" spans="1:32" ht="11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</row>
    <row r="820" spans="1:32" ht="11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</row>
    <row r="821" spans="1:32" ht="11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</row>
    <row r="822" spans="1:32" ht="11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</row>
    <row r="823" spans="1:32" ht="11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</row>
    <row r="824" spans="1:32" ht="11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</row>
    <row r="825" spans="1:32" ht="11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</row>
    <row r="826" spans="1:32" ht="11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</row>
    <row r="827" spans="1:32" ht="11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</row>
    <row r="828" spans="1:32" ht="11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</row>
    <row r="829" spans="1:32" ht="11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</row>
    <row r="830" spans="1:32" ht="11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</row>
    <row r="831" spans="1:32" ht="11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</row>
    <row r="832" spans="1:32" ht="11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</row>
    <row r="833" spans="1:32" ht="11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</row>
    <row r="834" spans="1:32" ht="11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</row>
    <row r="835" spans="1:32" ht="11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</row>
    <row r="836" spans="1:32" ht="11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</row>
    <row r="837" spans="1:32" ht="11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</row>
    <row r="838" spans="1:32" ht="11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</row>
    <row r="839" spans="1:32" ht="11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</row>
    <row r="840" spans="1:32" ht="11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</row>
    <row r="841" spans="1:32" ht="11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</row>
    <row r="842" spans="1:32" ht="11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</row>
    <row r="843" spans="1:32" ht="11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</row>
    <row r="844" spans="1:32" ht="11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</row>
    <row r="845" spans="1:32" ht="11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</row>
    <row r="846" spans="1:32" ht="11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</row>
    <row r="847" spans="1:32" ht="11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</row>
    <row r="848" spans="1:32" ht="11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</row>
    <row r="849" spans="1:32" ht="11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</row>
    <row r="850" spans="1:32" ht="11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</row>
    <row r="851" spans="1:32" ht="11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</row>
    <row r="852" spans="1:32" ht="11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</row>
    <row r="853" spans="1:32" ht="11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</row>
    <row r="854" spans="1:32" ht="11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</row>
    <row r="855" spans="1:32" ht="11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</row>
    <row r="856" spans="1:32" ht="11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</row>
    <row r="857" spans="1:32" ht="11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</row>
    <row r="858" spans="1:32" ht="11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</row>
    <row r="859" spans="1:32" ht="11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</row>
    <row r="860" spans="1:32" ht="11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</row>
    <row r="861" spans="1:32" ht="11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</row>
    <row r="862" spans="1:32" ht="11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</row>
    <row r="863" spans="1:32" ht="11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</row>
    <row r="864" spans="1:32" ht="11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</row>
    <row r="865" spans="1:32" ht="11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</row>
    <row r="866" spans="1:32" ht="11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</row>
    <row r="867" spans="1:32" ht="11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</row>
    <row r="868" spans="1:32" ht="11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</row>
    <row r="869" spans="1:32" ht="11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</row>
    <row r="870" spans="1:32" ht="11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</row>
    <row r="871" spans="1:32" ht="11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</row>
    <row r="872" spans="1:32" ht="11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</row>
    <row r="873" spans="1:32" ht="11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</row>
    <row r="874" spans="1:32" ht="11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</row>
    <row r="875" spans="1:32" ht="11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</row>
    <row r="876" spans="1:32" ht="11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</row>
    <row r="877" spans="1:32" ht="11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</row>
    <row r="878" spans="1:32" ht="11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</row>
    <row r="879" spans="1:32" ht="11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</row>
    <row r="880" spans="1:32" ht="11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</row>
    <row r="881" spans="1:32" ht="11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</row>
    <row r="882" spans="1:32" ht="11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</row>
    <row r="883" spans="1:32" ht="11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</row>
    <row r="884" spans="1:32" ht="11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</row>
    <row r="885" spans="1:32" ht="11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</row>
    <row r="886" spans="1:32" ht="11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</row>
    <row r="887" spans="1:32" ht="11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</row>
    <row r="888" spans="1:32" ht="11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</row>
    <row r="889" spans="1:32" ht="11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</row>
    <row r="890" spans="1:32" ht="11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</row>
    <row r="891" spans="1:32" ht="11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</row>
    <row r="892" spans="1:32" ht="11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</row>
    <row r="893" spans="1:32" ht="11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</row>
    <row r="894" spans="1:32" ht="11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</row>
    <row r="895" spans="1:32" ht="11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</row>
    <row r="896" spans="1:32" ht="11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</row>
    <row r="897" spans="1:32" ht="11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</row>
    <row r="898" spans="1:32" ht="11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</row>
    <row r="899" spans="1:32" ht="11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</row>
    <row r="900" spans="1:32" ht="11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</row>
    <row r="901" spans="1:32" ht="11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</row>
    <row r="902" spans="1:32" ht="11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</row>
    <row r="903" spans="1:32" ht="11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</row>
    <row r="904" spans="1:32" ht="11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</row>
    <row r="905" spans="1:32" ht="11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</row>
    <row r="906" spans="1:32" ht="11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</row>
    <row r="907" spans="1:32" ht="11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</row>
    <row r="908" spans="1:32" ht="11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</row>
    <row r="909" spans="1:32" ht="11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</row>
    <row r="910" spans="1:32" ht="11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</row>
    <row r="911" spans="1:32" ht="11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</row>
    <row r="912" spans="1:32" ht="11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</row>
    <row r="913" spans="1:32" ht="11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</row>
    <row r="914" spans="1:32" ht="11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</row>
    <row r="915" spans="1:32" ht="11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</row>
    <row r="916" spans="1:32" ht="11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</row>
    <row r="917" spans="1:32" ht="11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</row>
    <row r="918" spans="1:32" ht="11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</row>
    <row r="919" spans="1:32" ht="11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</row>
    <row r="920" spans="1:32" ht="11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</row>
    <row r="921" spans="1:32" ht="11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</row>
    <row r="922" spans="1:32" ht="11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</row>
    <row r="923" spans="1:32" ht="11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</row>
    <row r="924" spans="1:32" ht="11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</row>
    <row r="925" spans="1:32" ht="11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</row>
    <row r="926" spans="1:32" ht="11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</row>
    <row r="927" spans="1:32" ht="11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</row>
    <row r="928" spans="1:32" ht="11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</row>
    <row r="929" spans="1:32" ht="11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</row>
    <row r="930" spans="1:32" ht="11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</row>
    <row r="931" spans="1:32" ht="11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</row>
    <row r="932" spans="1:32" ht="11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</row>
    <row r="933" spans="1:32" ht="11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</row>
    <row r="934" spans="1:32" ht="11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</row>
    <row r="935" spans="1:32" ht="11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</row>
    <row r="936" spans="1:32" ht="11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</row>
    <row r="937" spans="1:32" ht="11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</row>
    <row r="938" spans="1:32" ht="11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</row>
    <row r="939" spans="1:32" ht="11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</row>
    <row r="940" spans="1:32" ht="11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</row>
    <row r="941" spans="1:32" ht="11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</row>
    <row r="942" spans="1:32" ht="11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</row>
    <row r="943" spans="1:32" ht="11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</row>
    <row r="944" spans="1:32" ht="11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</row>
    <row r="945" spans="1:32" ht="11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</row>
    <row r="946" spans="1:32" ht="11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</row>
    <row r="947" spans="1:32" ht="11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</row>
    <row r="948" spans="1:32" ht="11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</row>
    <row r="949" spans="1:32" ht="11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</row>
    <row r="950" spans="1:32" ht="11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</row>
    <row r="951" spans="1:32" ht="11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</row>
    <row r="952" spans="1:32" ht="11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</row>
    <row r="953" spans="1:32" ht="11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</row>
    <row r="954" spans="1:32" ht="11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</row>
    <row r="955" spans="1:32" ht="11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</row>
    <row r="956" spans="1:32" ht="11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</row>
    <row r="957" spans="1:32" ht="11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</row>
    <row r="958" spans="1:32" ht="11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</row>
    <row r="959" spans="1:32" ht="11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</row>
    <row r="960" spans="1:32" ht="11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</row>
    <row r="961" spans="1:32" ht="11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</row>
    <row r="962" spans="1:32" ht="11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</row>
    <row r="963" spans="1:32" ht="11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</row>
    <row r="964" spans="1:32" ht="11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</row>
    <row r="965" spans="1:32" ht="11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</row>
    <row r="966" spans="1:32" ht="11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</row>
    <row r="967" spans="1:32" ht="11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</row>
    <row r="968" spans="1:32" ht="11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</row>
    <row r="969" spans="1:32" ht="11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</row>
    <row r="970" spans="1:32" ht="11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</row>
    <row r="971" spans="1:32" ht="11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</row>
    <row r="972" spans="1:32" ht="11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</row>
    <row r="973" spans="1:32" ht="11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</row>
    <row r="974" spans="1:32" ht="11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</row>
    <row r="975" spans="1:32" ht="11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</row>
    <row r="976" spans="1:32" ht="11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</row>
    <row r="977" spans="1:32" ht="11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</row>
    <row r="978" spans="1:32" ht="11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</row>
    <row r="979" spans="1:32" ht="11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</row>
    <row r="980" spans="1:32" ht="11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</row>
    <row r="981" spans="1:32" ht="11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</row>
    <row r="982" spans="1:32" ht="11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</row>
    <row r="983" spans="1:32" ht="11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</row>
    <row r="984" spans="1:32" ht="11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</row>
    <row r="985" spans="1:32" ht="11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</row>
    <row r="986" spans="1:32" ht="11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</row>
    <row r="987" spans="1:32" ht="11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</row>
    <row r="988" spans="1:32" ht="11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</row>
    <row r="989" spans="1:32" ht="11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</row>
    <row r="990" spans="1:32" ht="11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</row>
    <row r="991" spans="1:32" ht="11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</row>
    <row r="992" spans="1:32" ht="11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</row>
    <row r="993" spans="1:32" ht="11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</row>
    <row r="994" spans="1:32" ht="11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</row>
    <row r="995" spans="1:32" ht="11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</row>
    <row r="996" spans="1:32" ht="11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</row>
    <row r="997" spans="1:32" ht="11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</row>
  </sheetData>
  <mergeCells count="30">
    <mergeCell ref="O46:P46"/>
    <mergeCell ref="O47:P47"/>
    <mergeCell ref="O32:P32"/>
    <mergeCell ref="O33:P33"/>
    <mergeCell ref="O34:P34"/>
    <mergeCell ref="O35:P35"/>
    <mergeCell ref="B45:D45"/>
    <mergeCell ref="E45:G45"/>
    <mergeCell ref="H45:J45"/>
    <mergeCell ref="K45:M45"/>
    <mergeCell ref="O18:P18"/>
    <mergeCell ref="O19:P19"/>
    <mergeCell ref="O20:P20"/>
    <mergeCell ref="O21:P21"/>
    <mergeCell ref="B31:D31"/>
    <mergeCell ref="E31:G31"/>
    <mergeCell ref="H31:J31"/>
    <mergeCell ref="K31:M31"/>
    <mergeCell ref="O6:P6"/>
    <mergeCell ref="O7:P7"/>
    <mergeCell ref="B17:D17"/>
    <mergeCell ref="E17:G17"/>
    <mergeCell ref="H17:J17"/>
    <mergeCell ref="K17:M17"/>
    <mergeCell ref="B3:D3"/>
    <mergeCell ref="E3:G3"/>
    <mergeCell ref="H3:J3"/>
    <mergeCell ref="K3:M3"/>
    <mergeCell ref="O4:P4"/>
    <mergeCell ref="O5:P5"/>
  </mergeCells>
  <pageMargins left="0.7" right="0.7" top="0.75" bottom="0.75" header="0" footer="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39DF4-5521-401C-BBE7-65D1A430C96D}">
  <dimension ref="A1:AF997"/>
  <sheetViews>
    <sheetView zoomScale="80" zoomScaleNormal="80" workbookViewId="0"/>
  </sheetViews>
  <sheetFormatPr defaultColWidth="14.44140625" defaultRowHeight="15" customHeight="1"/>
  <cols>
    <col min="1" max="32" width="9" style="4" customWidth="1"/>
    <col min="33" max="16384" width="14.44140625" style="4"/>
  </cols>
  <sheetData>
    <row r="1" spans="1:32" ht="14.2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3"/>
      <c r="AE1" s="3"/>
      <c r="AF1" s="3"/>
    </row>
    <row r="2" spans="1:32" ht="11.25" customHeight="1">
      <c r="A2" s="17" t="s">
        <v>31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2"/>
      <c r="T2" s="3"/>
      <c r="U2" s="3"/>
      <c r="V2" s="3"/>
      <c r="W2" s="2"/>
      <c r="X2" s="2"/>
      <c r="Y2" s="2"/>
      <c r="Z2" s="2"/>
      <c r="AA2" s="2"/>
      <c r="AB2" s="2"/>
      <c r="AC2" s="2"/>
      <c r="AD2" s="2"/>
      <c r="AE2" s="2"/>
      <c r="AF2" s="2"/>
    </row>
    <row r="3" spans="1:32" ht="11.25" customHeight="1">
      <c r="A3" s="6"/>
      <c r="B3" s="26" t="s">
        <v>14</v>
      </c>
      <c r="C3" s="27"/>
      <c r="D3" s="28"/>
      <c r="E3" s="29" t="s">
        <v>8</v>
      </c>
      <c r="F3" s="30"/>
      <c r="G3" s="31"/>
      <c r="H3" s="32" t="s">
        <v>18</v>
      </c>
      <c r="I3" s="33"/>
      <c r="J3" s="34"/>
      <c r="K3" s="35" t="s">
        <v>19</v>
      </c>
      <c r="L3" s="36"/>
      <c r="M3" s="37"/>
      <c r="N3" s="6"/>
      <c r="O3" s="6"/>
      <c r="P3" s="6"/>
      <c r="Q3" s="7" t="s">
        <v>4</v>
      </c>
      <c r="R3" s="8" t="s">
        <v>0</v>
      </c>
      <c r="S3" s="2"/>
      <c r="T3" s="3"/>
      <c r="U3" s="3"/>
      <c r="V3" s="3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ht="11.25" customHeight="1">
      <c r="A4" s="9" t="s">
        <v>5</v>
      </c>
      <c r="B4" s="7" t="s">
        <v>1</v>
      </c>
      <c r="C4" s="7" t="s">
        <v>2</v>
      </c>
      <c r="D4" s="7" t="s">
        <v>3</v>
      </c>
      <c r="E4" s="7" t="s">
        <v>1</v>
      </c>
      <c r="F4" s="7" t="s">
        <v>2</v>
      </c>
      <c r="G4" s="7" t="s">
        <v>3</v>
      </c>
      <c r="H4" s="7" t="s">
        <v>1</v>
      </c>
      <c r="I4" s="7" t="s">
        <v>2</v>
      </c>
      <c r="J4" s="7" t="s">
        <v>3</v>
      </c>
      <c r="K4" s="7" t="s">
        <v>1</v>
      </c>
      <c r="L4" s="7" t="s">
        <v>2</v>
      </c>
      <c r="M4" s="7" t="s">
        <v>3</v>
      </c>
      <c r="N4" s="6"/>
      <c r="O4" s="38" t="s">
        <v>14</v>
      </c>
      <c r="P4" s="39"/>
      <c r="Q4" s="7">
        <f>AVERAGE(D5:D14)</f>
        <v>7.2916666666666671E-2</v>
      </c>
      <c r="R4" s="7">
        <f>STDEV(D5:D14)/SQRT(6)</f>
        <v>2.9050695365766512E-2</v>
      </c>
      <c r="S4" s="2"/>
      <c r="T4" s="3"/>
      <c r="U4" s="3"/>
      <c r="V4" s="3"/>
      <c r="W4" s="2"/>
      <c r="X4" s="2"/>
      <c r="Y4" s="2"/>
      <c r="Z4" s="2"/>
      <c r="AA4" s="2"/>
      <c r="AB4" s="2"/>
      <c r="AC4" s="2"/>
      <c r="AD4" s="2"/>
      <c r="AE4" s="2"/>
      <c r="AF4" s="2"/>
    </row>
    <row r="5" spans="1:32" ht="11.25" customHeight="1">
      <c r="A5" s="7">
        <v>1</v>
      </c>
      <c r="B5" s="7">
        <v>0</v>
      </c>
      <c r="C5" s="7">
        <v>24</v>
      </c>
      <c r="D5" s="7">
        <f t="shared" ref="D5:D8" si="0">B5/C5</f>
        <v>0</v>
      </c>
      <c r="E5" s="7">
        <v>0</v>
      </c>
      <c r="F5" s="7">
        <v>24</v>
      </c>
      <c r="G5" s="7">
        <f t="shared" ref="G5:G8" si="1">E5/F5</f>
        <v>0</v>
      </c>
      <c r="H5" s="18">
        <v>1</v>
      </c>
      <c r="I5" s="7">
        <v>24</v>
      </c>
      <c r="J5" s="7">
        <f t="shared" ref="J5:J8" si="2">H5/I5</f>
        <v>4.1666666666666664E-2</v>
      </c>
      <c r="K5" s="18">
        <v>1</v>
      </c>
      <c r="L5" s="7">
        <v>24</v>
      </c>
      <c r="M5" s="7">
        <f t="shared" ref="M5:M8" si="3">K5/L5</f>
        <v>4.1666666666666664E-2</v>
      </c>
      <c r="N5" s="6"/>
      <c r="O5" s="24" t="s">
        <v>7</v>
      </c>
      <c r="P5" s="25"/>
      <c r="Q5" s="7">
        <f>AVERAGE(G5:G14)</f>
        <v>2.0833333333333332E-2</v>
      </c>
      <c r="R5" s="7">
        <f>STDEV(D6:D15)/SQRT(6)</f>
        <v>2.5983731852596812E-2</v>
      </c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2" ht="11.25" customHeight="1">
      <c r="A6" s="7">
        <v>2</v>
      </c>
      <c r="B6" s="7">
        <v>2</v>
      </c>
      <c r="C6" s="7">
        <v>24</v>
      </c>
      <c r="D6" s="7">
        <f t="shared" si="0"/>
        <v>8.3333333333333329E-2</v>
      </c>
      <c r="E6" s="7">
        <v>0</v>
      </c>
      <c r="F6" s="7">
        <v>24</v>
      </c>
      <c r="G6" s="7">
        <f t="shared" si="1"/>
        <v>0</v>
      </c>
      <c r="H6" s="18">
        <v>0</v>
      </c>
      <c r="I6" s="7">
        <v>24</v>
      </c>
      <c r="J6" s="7">
        <f t="shared" si="2"/>
        <v>0</v>
      </c>
      <c r="K6" s="18">
        <v>0</v>
      </c>
      <c r="L6" s="7">
        <v>24</v>
      </c>
      <c r="M6" s="7">
        <f t="shared" si="3"/>
        <v>0</v>
      </c>
      <c r="N6" s="6"/>
      <c r="O6" s="40" t="s">
        <v>18</v>
      </c>
      <c r="P6" s="40"/>
      <c r="Q6" s="7">
        <f>AVERAGE(J5:J14)</f>
        <v>5.2083333333333329E-2</v>
      </c>
      <c r="R6" s="7">
        <f>STDEV(J5:J14)/SQRT(6)</f>
        <v>1.6286165832720245E-2</v>
      </c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</row>
    <row r="7" spans="1:32" ht="11.25" customHeight="1">
      <c r="A7" s="7">
        <v>3</v>
      </c>
      <c r="B7" s="7">
        <v>4</v>
      </c>
      <c r="C7" s="7">
        <v>24</v>
      </c>
      <c r="D7" s="7">
        <f t="shared" si="0"/>
        <v>0.16666666666666666</v>
      </c>
      <c r="E7" s="7">
        <v>1</v>
      </c>
      <c r="F7" s="7">
        <v>24</v>
      </c>
      <c r="G7" s="7">
        <f t="shared" si="1"/>
        <v>4.1666666666666664E-2</v>
      </c>
      <c r="H7" s="18">
        <v>2</v>
      </c>
      <c r="I7" s="7">
        <v>24</v>
      </c>
      <c r="J7" s="7">
        <f t="shared" si="2"/>
        <v>8.3333333333333329E-2</v>
      </c>
      <c r="K7" s="18">
        <v>3</v>
      </c>
      <c r="L7" s="7">
        <v>24</v>
      </c>
      <c r="M7" s="7">
        <f t="shared" si="3"/>
        <v>0.125</v>
      </c>
      <c r="N7" s="6"/>
      <c r="O7" s="41" t="s">
        <v>19</v>
      </c>
      <c r="P7" s="41"/>
      <c r="Q7" s="7">
        <f>AVERAGE(M5:M14)</f>
        <v>4.1666666666666664E-2</v>
      </c>
      <c r="R7" s="7">
        <f>STDEV(M5:M14)/SQRT(6)</f>
        <v>2.4056261216234408E-2</v>
      </c>
      <c r="S7" s="2"/>
      <c r="T7" s="2"/>
      <c r="U7" s="5" t="s">
        <v>4</v>
      </c>
      <c r="V7" s="2"/>
      <c r="W7" s="2"/>
      <c r="X7" s="2"/>
      <c r="Y7" s="2"/>
      <c r="Z7" s="1" t="s">
        <v>0</v>
      </c>
      <c r="AA7" s="2"/>
      <c r="AB7" s="2"/>
      <c r="AC7" s="2"/>
      <c r="AD7" s="2"/>
      <c r="AE7" s="2"/>
      <c r="AF7" s="2"/>
    </row>
    <row r="8" spans="1:32" ht="11.25" customHeight="1">
      <c r="A8" s="7">
        <v>4</v>
      </c>
      <c r="B8" s="7">
        <v>1</v>
      </c>
      <c r="C8" s="7">
        <v>24</v>
      </c>
      <c r="D8" s="7">
        <f t="shared" si="0"/>
        <v>4.1666666666666664E-2</v>
      </c>
      <c r="E8" s="7">
        <v>1</v>
      </c>
      <c r="F8" s="7">
        <v>24</v>
      </c>
      <c r="G8" s="7">
        <f t="shared" si="1"/>
        <v>4.1666666666666664E-2</v>
      </c>
      <c r="H8" s="18">
        <v>2</v>
      </c>
      <c r="I8" s="7">
        <v>24</v>
      </c>
      <c r="J8" s="7">
        <f t="shared" si="2"/>
        <v>8.3333333333333329E-2</v>
      </c>
      <c r="K8" s="18">
        <v>0</v>
      </c>
      <c r="L8" s="7">
        <v>24</v>
      </c>
      <c r="M8" s="7">
        <f t="shared" si="3"/>
        <v>0</v>
      </c>
      <c r="N8" s="6"/>
      <c r="O8" s="6"/>
      <c r="P8" s="6"/>
      <c r="Q8" s="6"/>
      <c r="R8" s="6"/>
      <c r="S8" s="2"/>
      <c r="T8" s="1"/>
      <c r="U8" s="1">
        <v>10</v>
      </c>
      <c r="V8" s="1">
        <v>50</v>
      </c>
      <c r="W8" s="1">
        <v>100</v>
      </c>
      <c r="X8" s="16">
        <v>500</v>
      </c>
      <c r="Y8" s="1"/>
      <c r="Z8" s="1">
        <v>10</v>
      </c>
      <c r="AA8" s="1">
        <v>50</v>
      </c>
      <c r="AB8" s="1">
        <v>100</v>
      </c>
      <c r="AC8" s="16">
        <v>500</v>
      </c>
      <c r="AD8" s="2"/>
      <c r="AE8" s="2"/>
      <c r="AF8" s="2"/>
    </row>
    <row r="9" spans="1:32" ht="11.25" customHeight="1">
      <c r="A9" s="7">
        <v>5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6"/>
      <c r="O9" s="6"/>
      <c r="P9" s="6"/>
      <c r="Q9" s="6"/>
      <c r="R9" s="6"/>
      <c r="S9" s="2"/>
      <c r="T9" s="21" t="s">
        <v>20</v>
      </c>
      <c r="U9" s="2">
        <f t="shared" ref="U9:U10" si="4">Q4</f>
        <v>7.2916666666666671E-2</v>
      </c>
      <c r="V9" s="2">
        <f t="shared" ref="V9:V12" si="5">Q18</f>
        <v>0.125</v>
      </c>
      <c r="W9" s="2">
        <f t="shared" ref="W9:W12" si="6">Q32</f>
        <v>0.22916666666666666</v>
      </c>
      <c r="X9" s="12">
        <f t="shared" ref="X9:X12" si="7">Q46</f>
        <v>0</v>
      </c>
      <c r="Y9" s="2"/>
      <c r="Z9" s="2">
        <f t="shared" ref="Z9:Z12" si="8">R4</f>
        <v>2.9050695365766512E-2</v>
      </c>
      <c r="AA9" s="2">
        <f t="shared" ref="AA9:AA12" si="9">R18</f>
        <v>3.9283710065919318E-2</v>
      </c>
      <c r="AB9" s="2">
        <f t="shared" ref="AB9:AB12" si="10">R32</f>
        <v>4.5005143738943501E-2</v>
      </c>
      <c r="AC9" s="12">
        <f t="shared" ref="AC9" si="11">R46</f>
        <v>0</v>
      </c>
      <c r="AD9" s="2"/>
      <c r="AE9" s="2"/>
      <c r="AF9" s="2"/>
    </row>
    <row r="10" spans="1:32" ht="11.25" customHeight="1">
      <c r="A10" s="7">
        <v>6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6"/>
      <c r="O10" s="6"/>
      <c r="P10" s="6"/>
      <c r="Q10" s="6"/>
      <c r="R10" s="6"/>
      <c r="S10" s="2"/>
      <c r="T10" s="22" t="s">
        <v>21</v>
      </c>
      <c r="U10" s="2">
        <f t="shared" si="4"/>
        <v>2.0833333333333332E-2</v>
      </c>
      <c r="V10" s="2">
        <f t="shared" si="5"/>
        <v>7.2916666666666657E-2</v>
      </c>
      <c r="W10" s="2">
        <f t="shared" si="6"/>
        <v>0.20833333333333331</v>
      </c>
      <c r="X10" s="12">
        <f t="shared" si="7"/>
        <v>0</v>
      </c>
      <c r="Y10" s="2"/>
      <c r="Z10" s="2">
        <f t="shared" si="8"/>
        <v>2.5983731852596812E-2</v>
      </c>
      <c r="AA10" s="2">
        <f t="shared" si="9"/>
        <v>3.9283710065919311E-2</v>
      </c>
      <c r="AB10" s="2">
        <f t="shared" si="10"/>
        <v>5.468061023619316E-2</v>
      </c>
      <c r="AC10" s="12">
        <f>R47</f>
        <v>0</v>
      </c>
      <c r="AD10" s="2"/>
      <c r="AE10" s="2"/>
      <c r="AF10" s="2"/>
    </row>
    <row r="11" spans="1:32" ht="11.25" customHeight="1">
      <c r="A11" s="7">
        <v>7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6"/>
      <c r="O11" s="6"/>
      <c r="P11" s="6"/>
      <c r="Q11" s="6"/>
      <c r="R11" s="6"/>
      <c r="S11" s="2"/>
      <c r="T11" s="20" t="s">
        <v>22</v>
      </c>
      <c r="U11" s="2">
        <f>Q6</f>
        <v>5.2083333333333329E-2</v>
      </c>
      <c r="V11" s="2">
        <f t="shared" si="5"/>
        <v>0.17708333333333334</v>
      </c>
      <c r="W11" s="2">
        <f t="shared" si="6"/>
        <v>0.33333333333333331</v>
      </c>
      <c r="X11" s="12">
        <f t="shared" si="7"/>
        <v>0</v>
      </c>
      <c r="Y11" s="2"/>
      <c r="Z11" s="2">
        <f t="shared" si="8"/>
        <v>1.6286165832720245E-2</v>
      </c>
      <c r="AA11" s="2">
        <f t="shared" si="9"/>
        <v>4.4736453912240022E-2</v>
      </c>
      <c r="AB11" s="2">
        <f t="shared" si="10"/>
        <v>4.1666666666666671E-2</v>
      </c>
      <c r="AC11" s="12">
        <f t="shared" ref="AC11:AC12" si="12">R48</f>
        <v>0</v>
      </c>
      <c r="AD11" s="2"/>
      <c r="AE11" s="2"/>
      <c r="AF11" s="2"/>
    </row>
    <row r="12" spans="1:32" ht="11.25" customHeight="1">
      <c r="A12" s="7">
        <v>8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6"/>
      <c r="O12" s="6"/>
      <c r="P12" s="6"/>
      <c r="Q12" s="6"/>
      <c r="R12" s="6"/>
      <c r="S12" s="2"/>
      <c r="T12" s="23" t="s">
        <v>23</v>
      </c>
      <c r="U12" s="2">
        <f>Q7</f>
        <v>4.1666666666666664E-2</v>
      </c>
      <c r="V12" s="2">
        <f t="shared" si="5"/>
        <v>0.16666666666666666</v>
      </c>
      <c r="W12" s="2">
        <f t="shared" si="6"/>
        <v>0.3125</v>
      </c>
      <c r="X12" s="12">
        <f t="shared" si="7"/>
        <v>0</v>
      </c>
      <c r="Y12" s="2"/>
      <c r="Z12" s="2">
        <f t="shared" si="8"/>
        <v>2.4056261216234408E-2</v>
      </c>
      <c r="AA12" s="2">
        <f t="shared" si="9"/>
        <v>2.4056261216234415E-2</v>
      </c>
      <c r="AB12" s="2">
        <f t="shared" si="10"/>
        <v>3.5409857733283256E-2</v>
      </c>
      <c r="AC12" s="12">
        <f t="shared" si="12"/>
        <v>0</v>
      </c>
      <c r="AD12" s="2"/>
      <c r="AE12" s="2"/>
      <c r="AF12" s="2"/>
    </row>
    <row r="13" spans="1:32" ht="11.25" customHeight="1">
      <c r="A13" s="7">
        <v>9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6"/>
      <c r="O13" s="6"/>
      <c r="P13" s="6"/>
      <c r="Q13" s="6"/>
      <c r="R13" s="6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</row>
    <row r="14" spans="1:32" ht="11.25" customHeight="1">
      <c r="A14" s="7">
        <v>10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6"/>
      <c r="O14" s="6"/>
      <c r="P14" s="6"/>
      <c r="Q14" s="6"/>
      <c r="R14" s="6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</row>
    <row r="15" spans="1:32" ht="11.2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</row>
    <row r="16" spans="1:32" ht="11.25" customHeight="1">
      <c r="A16" s="5" t="s">
        <v>13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1:32" ht="11.25" customHeight="1">
      <c r="A17" s="6"/>
      <c r="B17" s="26" t="s">
        <v>15</v>
      </c>
      <c r="C17" s="27"/>
      <c r="D17" s="28"/>
      <c r="E17" s="29" t="s">
        <v>9</v>
      </c>
      <c r="F17" s="30"/>
      <c r="G17" s="31"/>
      <c r="H17" s="42" t="s">
        <v>15</v>
      </c>
      <c r="I17" s="33"/>
      <c r="J17" s="34"/>
      <c r="K17" s="43" t="s">
        <v>9</v>
      </c>
      <c r="L17" s="36"/>
      <c r="M17" s="37"/>
      <c r="N17" s="6"/>
      <c r="O17" s="6"/>
      <c r="P17" s="6"/>
      <c r="Q17" s="7" t="s">
        <v>4</v>
      </c>
      <c r="R17" s="8" t="s">
        <v>0</v>
      </c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spans="1:32" ht="11.25" customHeight="1">
      <c r="A18" s="9" t="s">
        <v>5</v>
      </c>
      <c r="B18" s="7" t="s">
        <v>1</v>
      </c>
      <c r="C18" s="7" t="s">
        <v>2</v>
      </c>
      <c r="D18" s="7" t="s">
        <v>3</v>
      </c>
      <c r="E18" s="7" t="s">
        <v>1</v>
      </c>
      <c r="F18" s="7" t="s">
        <v>2</v>
      </c>
      <c r="G18" s="7" t="s">
        <v>3</v>
      </c>
      <c r="H18" s="7" t="s">
        <v>1</v>
      </c>
      <c r="I18" s="7" t="s">
        <v>2</v>
      </c>
      <c r="J18" s="7" t="s">
        <v>3</v>
      </c>
      <c r="K18" s="7" t="s">
        <v>1</v>
      </c>
      <c r="L18" s="7" t="s">
        <v>2</v>
      </c>
      <c r="M18" s="7" t="s">
        <v>3</v>
      </c>
      <c r="N18" s="6"/>
      <c r="O18" s="38" t="s">
        <v>14</v>
      </c>
      <c r="P18" s="39"/>
      <c r="Q18" s="7">
        <f>AVERAGE(D19:D28)</f>
        <v>0.125</v>
      </c>
      <c r="R18" s="7">
        <f>STDEV(D19:D28)/SQRT(6)</f>
        <v>3.9283710065919318E-2</v>
      </c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spans="1:32" ht="11.25" customHeight="1">
      <c r="A19" s="7">
        <v>1</v>
      </c>
      <c r="B19" s="7">
        <v>1</v>
      </c>
      <c r="C19" s="7">
        <v>24</v>
      </c>
      <c r="D19" s="7">
        <f t="shared" ref="D19:D22" si="13">B19/C19</f>
        <v>4.1666666666666664E-2</v>
      </c>
      <c r="E19" s="7">
        <v>2</v>
      </c>
      <c r="F19" s="7">
        <v>24</v>
      </c>
      <c r="G19" s="7">
        <f t="shared" ref="G19:G22" si="14">E19/F19</f>
        <v>8.3333333333333329E-2</v>
      </c>
      <c r="H19" s="18">
        <v>3</v>
      </c>
      <c r="I19" s="7">
        <v>24</v>
      </c>
      <c r="J19" s="7">
        <f t="shared" ref="J19:J22" si="15">H19/I19</f>
        <v>0.125</v>
      </c>
      <c r="K19" s="18">
        <v>3</v>
      </c>
      <c r="L19" s="7">
        <v>24</v>
      </c>
      <c r="M19" s="7">
        <f t="shared" ref="M19:M22" si="16">K19/L19</f>
        <v>0.125</v>
      </c>
      <c r="N19" s="6"/>
      <c r="O19" s="44" t="s">
        <v>7</v>
      </c>
      <c r="P19" s="25"/>
      <c r="Q19" s="7">
        <f>AVERAGE(G19:G28)</f>
        <v>7.2916666666666657E-2</v>
      </c>
      <c r="R19" s="7">
        <f>STDEV(D20:D29)/SQRT(6)</f>
        <v>3.9283710065919311E-2</v>
      </c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spans="1:32" ht="11.25" customHeight="1">
      <c r="A20" s="7">
        <v>2</v>
      </c>
      <c r="B20" s="7">
        <v>5</v>
      </c>
      <c r="C20" s="7">
        <v>24</v>
      </c>
      <c r="D20" s="7">
        <f t="shared" si="13"/>
        <v>0.20833333333333334</v>
      </c>
      <c r="E20" s="7">
        <v>3</v>
      </c>
      <c r="F20" s="7">
        <v>24</v>
      </c>
      <c r="G20" s="7">
        <f t="shared" si="14"/>
        <v>0.125</v>
      </c>
      <c r="H20" s="18">
        <v>8</v>
      </c>
      <c r="I20" s="7">
        <v>24</v>
      </c>
      <c r="J20" s="7">
        <f t="shared" si="15"/>
        <v>0.33333333333333331</v>
      </c>
      <c r="K20" s="18">
        <v>6</v>
      </c>
      <c r="L20" s="7">
        <v>24</v>
      </c>
      <c r="M20" s="7">
        <f t="shared" si="16"/>
        <v>0.25</v>
      </c>
      <c r="N20" s="6"/>
      <c r="O20" s="40" t="s">
        <v>18</v>
      </c>
      <c r="P20" s="40"/>
      <c r="Q20" s="7">
        <f>AVERAGE(J19:J28)</f>
        <v>0.17708333333333334</v>
      </c>
      <c r="R20" s="7">
        <f>STDEV(J19:J28)/SQRT(6)</f>
        <v>4.4736453912240022E-2</v>
      </c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spans="1:32" ht="11.25" customHeight="1">
      <c r="A21" s="7">
        <v>3</v>
      </c>
      <c r="B21" s="7">
        <v>5</v>
      </c>
      <c r="C21" s="7">
        <v>24</v>
      </c>
      <c r="D21" s="7">
        <f t="shared" si="13"/>
        <v>0.20833333333333334</v>
      </c>
      <c r="E21" s="7">
        <v>2</v>
      </c>
      <c r="F21" s="7">
        <v>24</v>
      </c>
      <c r="G21" s="7">
        <f t="shared" si="14"/>
        <v>8.3333333333333329E-2</v>
      </c>
      <c r="H21" s="18">
        <v>4</v>
      </c>
      <c r="I21" s="7">
        <v>24</v>
      </c>
      <c r="J21" s="7">
        <f t="shared" si="15"/>
        <v>0.16666666666666666</v>
      </c>
      <c r="K21" s="18">
        <v>3</v>
      </c>
      <c r="L21" s="7">
        <v>24</v>
      </c>
      <c r="M21" s="7">
        <f t="shared" si="16"/>
        <v>0.125</v>
      </c>
      <c r="N21" s="6"/>
      <c r="O21" s="45" t="s">
        <v>19</v>
      </c>
      <c r="P21" s="45"/>
      <c r="Q21" s="7">
        <f>AVERAGE(M19:M28)</f>
        <v>0.16666666666666666</v>
      </c>
      <c r="R21" s="7">
        <f>STDEV(M19:M28)/SQRT(6)</f>
        <v>2.4056261216234415E-2</v>
      </c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spans="1:32" ht="11.25" customHeight="1">
      <c r="A22" s="7">
        <v>4</v>
      </c>
      <c r="B22" s="7">
        <v>1</v>
      </c>
      <c r="C22" s="7">
        <v>24</v>
      </c>
      <c r="D22" s="7">
        <f t="shared" si="13"/>
        <v>4.1666666666666664E-2</v>
      </c>
      <c r="E22" s="7">
        <v>0</v>
      </c>
      <c r="F22" s="7">
        <v>24</v>
      </c>
      <c r="G22" s="7">
        <f t="shared" si="14"/>
        <v>0</v>
      </c>
      <c r="H22" s="18">
        <v>2</v>
      </c>
      <c r="I22" s="7">
        <v>24</v>
      </c>
      <c r="J22" s="7">
        <f t="shared" si="15"/>
        <v>8.3333333333333329E-2</v>
      </c>
      <c r="K22" s="18">
        <v>4</v>
      </c>
      <c r="L22" s="7">
        <v>24</v>
      </c>
      <c r="M22" s="7">
        <f t="shared" si="16"/>
        <v>0.16666666666666666</v>
      </c>
      <c r="N22" s="6"/>
      <c r="O22" s="6"/>
      <c r="P22" s="6"/>
      <c r="Q22" s="6"/>
      <c r="R22" s="6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spans="1:32" ht="11.25" customHeight="1">
      <c r="A23" s="7">
        <v>5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6"/>
      <c r="O23" s="6"/>
      <c r="P23" s="6"/>
      <c r="Q23" s="6"/>
      <c r="R23" s="6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spans="1:32" ht="11.25" customHeight="1">
      <c r="A24" s="7">
        <v>6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6"/>
      <c r="O24" s="6"/>
      <c r="P24" s="6"/>
      <c r="Q24" s="6"/>
      <c r="R24" s="6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spans="1:32" ht="11.25" customHeight="1">
      <c r="A25" s="7">
        <v>7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6"/>
      <c r="O25" s="6"/>
      <c r="P25" s="6"/>
      <c r="Q25" s="6"/>
      <c r="R25" s="6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 spans="1:32" ht="11.25" customHeight="1">
      <c r="A26" s="7">
        <v>8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6"/>
      <c r="O26" s="6"/>
      <c r="P26" s="6"/>
      <c r="Q26" s="6"/>
      <c r="R26" s="6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spans="1:32" ht="11.25" customHeight="1">
      <c r="A27" s="7">
        <v>9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6"/>
      <c r="O27" s="6"/>
      <c r="P27" s="6"/>
      <c r="Q27" s="6"/>
      <c r="R27" s="6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spans="1:32" ht="11.25" customHeight="1">
      <c r="A28" s="7">
        <v>10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6"/>
      <c r="O28" s="6"/>
      <c r="P28" s="6"/>
      <c r="Q28" s="6"/>
      <c r="R28" s="6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spans="1:32" ht="11.2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spans="1:32" ht="11.25" customHeight="1">
      <c r="A30" s="5" t="s">
        <v>13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</row>
    <row r="31" spans="1:32" ht="11.25" customHeight="1">
      <c r="A31" s="6"/>
      <c r="B31" s="26" t="s">
        <v>16</v>
      </c>
      <c r="C31" s="27"/>
      <c r="D31" s="28"/>
      <c r="E31" s="29" t="s">
        <v>10</v>
      </c>
      <c r="F31" s="30"/>
      <c r="G31" s="31"/>
      <c r="H31" s="42" t="s">
        <v>16</v>
      </c>
      <c r="I31" s="33"/>
      <c r="J31" s="34"/>
      <c r="K31" s="43" t="s">
        <v>10</v>
      </c>
      <c r="L31" s="36"/>
      <c r="M31" s="37"/>
      <c r="N31" s="6"/>
      <c r="O31" s="6"/>
      <c r="P31" s="6"/>
      <c r="Q31" s="7" t="s">
        <v>4</v>
      </c>
      <c r="R31" s="8" t="s">
        <v>0</v>
      </c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2" ht="11.25" customHeight="1">
      <c r="A32" s="9" t="s">
        <v>5</v>
      </c>
      <c r="B32" s="7" t="s">
        <v>1</v>
      </c>
      <c r="C32" s="7" t="s">
        <v>2</v>
      </c>
      <c r="D32" s="7" t="s">
        <v>3</v>
      </c>
      <c r="E32" s="7" t="s">
        <v>1</v>
      </c>
      <c r="F32" s="7" t="s">
        <v>2</v>
      </c>
      <c r="G32" s="7" t="s">
        <v>3</v>
      </c>
      <c r="H32" s="7" t="s">
        <v>1</v>
      </c>
      <c r="I32" s="7" t="s">
        <v>2</v>
      </c>
      <c r="J32" s="7" t="s">
        <v>3</v>
      </c>
      <c r="K32" s="7" t="s">
        <v>1</v>
      </c>
      <c r="L32" s="7" t="s">
        <v>2</v>
      </c>
      <c r="M32" s="7" t="s">
        <v>3</v>
      </c>
      <c r="N32" s="6"/>
      <c r="O32" s="46" t="s">
        <v>14</v>
      </c>
      <c r="P32" s="39"/>
      <c r="Q32" s="7">
        <f>AVERAGE(D33:D42)</f>
        <v>0.22916666666666666</v>
      </c>
      <c r="R32" s="7">
        <f>STDEV(D33:D42)/SQRT(6)</f>
        <v>4.5005143738943501E-2</v>
      </c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ht="11.25" customHeight="1">
      <c r="A33" s="7">
        <v>1</v>
      </c>
      <c r="B33" s="7">
        <v>5</v>
      </c>
      <c r="C33" s="7">
        <v>24</v>
      </c>
      <c r="D33" s="7">
        <f t="shared" ref="D33:D36" si="17">B33/C33</f>
        <v>0.20833333333333334</v>
      </c>
      <c r="E33" s="7">
        <v>4</v>
      </c>
      <c r="F33" s="7">
        <v>24</v>
      </c>
      <c r="G33" s="7">
        <f t="shared" ref="G33:G36" si="18">E33/F33</f>
        <v>0.16666666666666666</v>
      </c>
      <c r="H33" s="19">
        <v>11</v>
      </c>
      <c r="I33" s="7">
        <v>24</v>
      </c>
      <c r="J33" s="7">
        <f t="shared" ref="J33:J36" si="19">H33/I33</f>
        <v>0.45833333333333331</v>
      </c>
      <c r="K33" s="19">
        <v>10</v>
      </c>
      <c r="L33" s="7">
        <v>24</v>
      </c>
      <c r="M33" s="7">
        <f t="shared" ref="M33:M36" si="20">K33/L33</f>
        <v>0.41666666666666669</v>
      </c>
      <c r="N33" s="6"/>
      <c r="O33" s="44" t="s">
        <v>7</v>
      </c>
      <c r="P33" s="25"/>
      <c r="Q33" s="7">
        <f>AVERAGE(G33:G42)</f>
        <v>0.20833333333333331</v>
      </c>
      <c r="R33" s="7">
        <f>STDEV(D34:D43)/SQRT(6)</f>
        <v>5.468061023619316E-2</v>
      </c>
      <c r="S33" s="2"/>
      <c r="T33" s="2"/>
      <c r="U33" s="2" t="s">
        <v>17</v>
      </c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ht="11.25" customHeight="1">
      <c r="A34" s="7">
        <v>2</v>
      </c>
      <c r="B34" s="7">
        <v>7</v>
      </c>
      <c r="C34" s="7">
        <v>24</v>
      </c>
      <c r="D34" s="7">
        <f t="shared" si="17"/>
        <v>0.29166666666666669</v>
      </c>
      <c r="E34" s="7">
        <v>5</v>
      </c>
      <c r="F34" s="7">
        <v>24</v>
      </c>
      <c r="G34" s="7">
        <f t="shared" si="18"/>
        <v>0.20833333333333334</v>
      </c>
      <c r="H34" s="19">
        <v>5</v>
      </c>
      <c r="I34" s="7">
        <v>24</v>
      </c>
      <c r="J34" s="7">
        <f t="shared" si="19"/>
        <v>0.20833333333333334</v>
      </c>
      <c r="K34" s="19">
        <v>5</v>
      </c>
      <c r="L34" s="7">
        <v>24</v>
      </c>
      <c r="M34" s="7">
        <f t="shared" si="20"/>
        <v>0.20833333333333334</v>
      </c>
      <c r="N34" s="6"/>
      <c r="O34" s="40" t="s">
        <v>18</v>
      </c>
      <c r="P34" s="40"/>
      <c r="Q34" s="7">
        <f>AVERAGE(J33:J42)</f>
        <v>0.33333333333333331</v>
      </c>
      <c r="R34" s="7">
        <f>STDEV(J33:J42)/SQRT(6)</f>
        <v>4.1666666666666671E-2</v>
      </c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ht="11.25" customHeight="1">
      <c r="A35" s="7">
        <v>3</v>
      </c>
      <c r="B35" s="7">
        <v>8</v>
      </c>
      <c r="C35" s="7">
        <v>24</v>
      </c>
      <c r="D35" s="7">
        <f t="shared" si="17"/>
        <v>0.33333333333333331</v>
      </c>
      <c r="E35" s="7">
        <v>8</v>
      </c>
      <c r="F35" s="7">
        <v>24</v>
      </c>
      <c r="G35" s="7">
        <f t="shared" si="18"/>
        <v>0.33333333333333331</v>
      </c>
      <c r="H35" s="19">
        <v>8</v>
      </c>
      <c r="I35" s="7">
        <v>24</v>
      </c>
      <c r="J35" s="7">
        <f t="shared" si="19"/>
        <v>0.33333333333333331</v>
      </c>
      <c r="K35" s="19">
        <v>8</v>
      </c>
      <c r="L35" s="7">
        <v>24</v>
      </c>
      <c r="M35" s="7">
        <f t="shared" si="20"/>
        <v>0.33333333333333331</v>
      </c>
      <c r="N35" s="6"/>
      <c r="O35" s="45" t="s">
        <v>19</v>
      </c>
      <c r="P35" s="45"/>
      <c r="Q35" s="7">
        <f>AVERAGE(M33:M42)</f>
        <v>0.3125</v>
      </c>
      <c r="R35" s="7">
        <f>STDEV(M33:M42)/SQRT(6)</f>
        <v>3.5409857733283256E-2</v>
      </c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1.25" customHeight="1">
      <c r="A36" s="7">
        <v>4</v>
      </c>
      <c r="B36" s="7">
        <v>2</v>
      </c>
      <c r="C36" s="7">
        <v>24</v>
      </c>
      <c r="D36" s="7">
        <f t="shared" si="17"/>
        <v>8.3333333333333329E-2</v>
      </c>
      <c r="E36" s="7">
        <v>3</v>
      </c>
      <c r="F36" s="7">
        <v>24</v>
      </c>
      <c r="G36" s="7">
        <f t="shared" si="18"/>
        <v>0.125</v>
      </c>
      <c r="H36" s="19">
        <v>8</v>
      </c>
      <c r="I36" s="7">
        <v>24</v>
      </c>
      <c r="J36" s="7">
        <f t="shared" si="19"/>
        <v>0.33333333333333331</v>
      </c>
      <c r="K36" s="19">
        <v>7</v>
      </c>
      <c r="L36" s="7">
        <v>24</v>
      </c>
      <c r="M36" s="7">
        <f t="shared" si="20"/>
        <v>0.29166666666666669</v>
      </c>
      <c r="N36" s="6"/>
      <c r="O36" s="6"/>
      <c r="P36" s="6"/>
      <c r="Q36" s="6"/>
      <c r="R36" s="6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ht="11.25" customHeight="1">
      <c r="A37" s="7">
        <v>5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6"/>
      <c r="O37" s="6"/>
      <c r="P37" s="6"/>
      <c r="Q37" s="6"/>
      <c r="R37" s="6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</row>
    <row r="38" spans="1:32" ht="11.25" customHeight="1">
      <c r="A38" s="7">
        <v>6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6"/>
      <c r="O38" s="6"/>
      <c r="P38" s="6"/>
      <c r="Q38" s="6"/>
      <c r="R38" s="6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</row>
    <row r="39" spans="1:32" ht="11.25" customHeight="1">
      <c r="A39" s="7">
        <v>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6"/>
      <c r="O39" s="6"/>
      <c r="P39" s="6"/>
      <c r="Q39" s="6"/>
      <c r="R39" s="6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</row>
    <row r="40" spans="1:32" ht="11.25" customHeight="1">
      <c r="A40" s="7">
        <v>8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6"/>
      <c r="O40" s="6"/>
      <c r="P40" s="6"/>
      <c r="Q40" s="6"/>
      <c r="R40" s="6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</row>
    <row r="41" spans="1:32" ht="11.25" customHeight="1">
      <c r="A41" s="7">
        <v>9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6"/>
      <c r="O41" s="6"/>
      <c r="P41" s="6"/>
      <c r="Q41" s="6"/>
      <c r="R41" s="6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</row>
    <row r="42" spans="1:32" ht="11.25" customHeight="1">
      <c r="A42" s="7">
        <v>10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6"/>
      <c r="O42" s="6"/>
      <c r="P42" s="6"/>
      <c r="Q42" s="6"/>
      <c r="R42" s="6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 spans="1:32" ht="11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ht="11.25" customHeight="1">
      <c r="A44" s="10" t="s">
        <v>13</v>
      </c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2"/>
      <c r="O44" s="12"/>
      <c r="P44" s="12"/>
      <c r="Q44" s="12"/>
      <c r="R44" s="1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ht="11.25" customHeight="1">
      <c r="A45" s="11"/>
      <c r="B45" s="43" t="s">
        <v>6</v>
      </c>
      <c r="C45" s="36"/>
      <c r="D45" s="37"/>
      <c r="E45" s="43" t="s">
        <v>11</v>
      </c>
      <c r="F45" s="36"/>
      <c r="G45" s="37"/>
      <c r="H45" s="43" t="s">
        <v>6</v>
      </c>
      <c r="I45" s="36"/>
      <c r="J45" s="37"/>
      <c r="K45" s="43" t="s">
        <v>11</v>
      </c>
      <c r="L45" s="36"/>
      <c r="M45" s="37"/>
      <c r="N45" s="12"/>
      <c r="O45" s="11"/>
      <c r="P45" s="11"/>
      <c r="Q45" s="13" t="s">
        <v>4</v>
      </c>
      <c r="R45" s="14" t="s">
        <v>0</v>
      </c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ht="11.25" customHeight="1">
      <c r="A46" s="15" t="s">
        <v>5</v>
      </c>
      <c r="B46" s="13" t="s">
        <v>1</v>
      </c>
      <c r="C46" s="13" t="s">
        <v>2</v>
      </c>
      <c r="D46" s="13" t="s">
        <v>3</v>
      </c>
      <c r="E46" s="13" t="s">
        <v>1</v>
      </c>
      <c r="F46" s="13" t="s">
        <v>2</v>
      </c>
      <c r="G46" s="13" t="s">
        <v>3</v>
      </c>
      <c r="H46" s="13" t="s">
        <v>1</v>
      </c>
      <c r="I46" s="13" t="s">
        <v>2</v>
      </c>
      <c r="J46" s="13" t="s">
        <v>3</v>
      </c>
      <c r="K46" s="13" t="s">
        <v>1</v>
      </c>
      <c r="L46" s="13" t="s">
        <v>2</v>
      </c>
      <c r="M46" s="13" t="s">
        <v>3</v>
      </c>
      <c r="N46" s="12"/>
      <c r="O46" s="43" t="s">
        <v>6</v>
      </c>
      <c r="P46" s="37"/>
      <c r="Q46" s="13">
        <f>AVERAGE(D47:D56)</f>
        <v>0</v>
      </c>
      <c r="R46" s="13">
        <f>STDEV(D47:D56)/SQRT(6)</f>
        <v>0</v>
      </c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ht="11.25" customHeight="1">
      <c r="A47" s="13">
        <v>1</v>
      </c>
      <c r="B47" s="13"/>
      <c r="C47" s="13">
        <v>24</v>
      </c>
      <c r="D47" s="13">
        <f t="shared" ref="D47:D52" si="21">B47/C47</f>
        <v>0</v>
      </c>
      <c r="E47" s="13"/>
      <c r="F47" s="13">
        <v>24</v>
      </c>
      <c r="G47" s="13">
        <f t="shared" ref="G47:G52" si="22">E47/F47</f>
        <v>0</v>
      </c>
      <c r="H47" s="13"/>
      <c r="I47" s="13">
        <v>24</v>
      </c>
      <c r="J47" s="13">
        <f t="shared" ref="J47:J52" si="23">H47/I47</f>
        <v>0</v>
      </c>
      <c r="K47" s="13"/>
      <c r="L47" s="13">
        <v>24</v>
      </c>
      <c r="M47" s="13">
        <f t="shared" ref="M47:M52" si="24">K47/L47</f>
        <v>0</v>
      </c>
      <c r="N47" s="12"/>
      <c r="O47" s="43" t="s">
        <v>12</v>
      </c>
      <c r="P47" s="37"/>
      <c r="Q47" s="13">
        <f>AVERAGE(G47:G56)</f>
        <v>0</v>
      </c>
      <c r="R47" s="13">
        <f>STDEV(D48:D57)/SQRT(6)</f>
        <v>0</v>
      </c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ht="11.25" customHeight="1">
      <c r="A48" s="13">
        <v>2</v>
      </c>
      <c r="B48" s="13"/>
      <c r="C48" s="13">
        <v>24</v>
      </c>
      <c r="D48" s="13">
        <f t="shared" si="21"/>
        <v>0</v>
      </c>
      <c r="E48" s="13"/>
      <c r="F48" s="13">
        <v>24</v>
      </c>
      <c r="G48" s="13">
        <f t="shared" si="22"/>
        <v>0</v>
      </c>
      <c r="H48" s="13"/>
      <c r="I48" s="13">
        <v>24</v>
      </c>
      <c r="J48" s="13">
        <f t="shared" si="23"/>
        <v>0</v>
      </c>
      <c r="K48" s="13"/>
      <c r="L48" s="13">
        <v>24</v>
      </c>
      <c r="M48" s="13">
        <f t="shared" si="24"/>
        <v>0</v>
      </c>
      <c r="N48" s="12"/>
      <c r="O48" s="12"/>
      <c r="P48" s="12"/>
      <c r="Q48" s="13">
        <f>AVERAGE(J47:J56)</f>
        <v>0</v>
      </c>
      <c r="R48" s="13">
        <f>STDEV(J47:J56)/SQRT(6)</f>
        <v>0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ht="11.25" customHeight="1">
      <c r="A49" s="13">
        <v>3</v>
      </c>
      <c r="B49" s="13"/>
      <c r="C49" s="13">
        <v>24</v>
      </c>
      <c r="D49" s="13">
        <f t="shared" si="21"/>
        <v>0</v>
      </c>
      <c r="E49" s="13"/>
      <c r="F49" s="13">
        <v>24</v>
      </c>
      <c r="G49" s="13">
        <f t="shared" si="22"/>
        <v>0</v>
      </c>
      <c r="H49" s="13"/>
      <c r="I49" s="13">
        <v>24</v>
      </c>
      <c r="J49" s="13">
        <f t="shared" si="23"/>
        <v>0</v>
      </c>
      <c r="K49" s="13"/>
      <c r="L49" s="13">
        <v>24</v>
      </c>
      <c r="M49" s="13">
        <f t="shared" si="24"/>
        <v>0</v>
      </c>
      <c r="N49" s="12"/>
      <c r="O49" s="11"/>
      <c r="P49" s="12"/>
      <c r="Q49" s="13">
        <f>AVERAGE(M47:M56)</f>
        <v>0</v>
      </c>
      <c r="R49" s="13">
        <f>STDEV(M47:M56)/SQRT(6)</f>
        <v>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spans="1:32" ht="11.25" customHeight="1">
      <c r="A50" s="13">
        <v>4</v>
      </c>
      <c r="B50" s="13"/>
      <c r="C50" s="13">
        <v>24</v>
      </c>
      <c r="D50" s="13">
        <f t="shared" si="21"/>
        <v>0</v>
      </c>
      <c r="E50" s="13"/>
      <c r="F50" s="13">
        <v>24</v>
      </c>
      <c r="G50" s="13">
        <f t="shared" si="22"/>
        <v>0</v>
      </c>
      <c r="H50" s="13"/>
      <c r="I50" s="13">
        <v>24</v>
      </c>
      <c r="J50" s="13">
        <f t="shared" si="23"/>
        <v>0</v>
      </c>
      <c r="K50" s="13"/>
      <c r="L50" s="13">
        <v>24</v>
      </c>
      <c r="M50" s="13">
        <f t="shared" si="24"/>
        <v>0</v>
      </c>
      <c r="N50" s="12"/>
      <c r="O50" s="12"/>
      <c r="P50" s="12"/>
      <c r="Q50" s="12"/>
      <c r="R50" s="1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</row>
    <row r="51" spans="1:32" ht="11.25" customHeight="1">
      <c r="A51" s="13">
        <v>5</v>
      </c>
      <c r="B51" s="13"/>
      <c r="C51" s="13">
        <v>24</v>
      </c>
      <c r="D51" s="13">
        <f t="shared" si="21"/>
        <v>0</v>
      </c>
      <c r="E51" s="13"/>
      <c r="F51" s="13">
        <v>24</v>
      </c>
      <c r="G51" s="13">
        <f t="shared" si="22"/>
        <v>0</v>
      </c>
      <c r="H51" s="13"/>
      <c r="I51" s="13">
        <v>24</v>
      </c>
      <c r="J51" s="13">
        <f t="shared" si="23"/>
        <v>0</v>
      </c>
      <c r="K51" s="13"/>
      <c r="L51" s="13">
        <v>24</v>
      </c>
      <c r="M51" s="13">
        <f t="shared" si="24"/>
        <v>0</v>
      </c>
      <c r="N51" s="12"/>
      <c r="O51" s="12"/>
      <c r="P51" s="12"/>
      <c r="Q51" s="12"/>
      <c r="R51" s="1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</row>
    <row r="52" spans="1:32" ht="11.25" customHeight="1">
      <c r="A52" s="13">
        <v>6</v>
      </c>
      <c r="B52" s="13"/>
      <c r="C52" s="13">
        <v>24</v>
      </c>
      <c r="D52" s="13">
        <f t="shared" si="21"/>
        <v>0</v>
      </c>
      <c r="E52" s="13"/>
      <c r="F52" s="13">
        <v>24</v>
      </c>
      <c r="G52" s="13">
        <f t="shared" si="22"/>
        <v>0</v>
      </c>
      <c r="H52" s="13"/>
      <c r="I52" s="13">
        <v>24</v>
      </c>
      <c r="J52" s="13">
        <f t="shared" si="23"/>
        <v>0</v>
      </c>
      <c r="K52" s="13"/>
      <c r="L52" s="13">
        <v>24</v>
      </c>
      <c r="M52" s="13">
        <f t="shared" si="24"/>
        <v>0</v>
      </c>
      <c r="N52" s="12"/>
      <c r="O52" s="12"/>
      <c r="P52" s="12"/>
      <c r="Q52" s="12"/>
      <c r="R52" s="1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</row>
    <row r="53" spans="1:32" ht="11.25" customHeight="1">
      <c r="A53" s="13">
        <v>7</v>
      </c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2"/>
      <c r="O53" s="12"/>
      <c r="P53" s="12"/>
      <c r="Q53" s="12"/>
      <c r="R53" s="1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</row>
    <row r="54" spans="1:32" ht="11.25" customHeight="1">
      <c r="A54" s="13">
        <v>8</v>
      </c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2"/>
      <c r="O54" s="12"/>
      <c r="P54" s="12"/>
      <c r="Q54" s="12"/>
      <c r="R54" s="1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</row>
    <row r="55" spans="1:32" ht="11.25" customHeight="1">
      <c r="A55" s="13">
        <v>9</v>
      </c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2"/>
      <c r="O55" s="12"/>
      <c r="P55" s="12"/>
      <c r="Q55" s="12"/>
      <c r="R55" s="1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</row>
    <row r="56" spans="1:32" ht="11.25" customHeight="1">
      <c r="A56" s="13">
        <v>10</v>
      </c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2"/>
      <c r="O56" s="12"/>
      <c r="P56" s="12"/>
      <c r="Q56" s="12"/>
      <c r="R56" s="1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</row>
    <row r="57" spans="1:32" ht="11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</row>
    <row r="58" spans="1:32" ht="11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</row>
    <row r="59" spans="1:32" ht="11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</row>
    <row r="60" spans="1:32" ht="11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</row>
    <row r="61" spans="1:32" ht="11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</row>
    <row r="62" spans="1:32" ht="11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</row>
    <row r="63" spans="1:32" ht="11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</row>
    <row r="64" spans="1:32" ht="11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</row>
    <row r="65" spans="1:32" ht="11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</row>
    <row r="66" spans="1:32" ht="11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</row>
    <row r="67" spans="1:32" ht="11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</row>
    <row r="68" spans="1:32" ht="11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</row>
    <row r="69" spans="1:32" ht="11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</row>
    <row r="70" spans="1:32" ht="11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</row>
    <row r="71" spans="1:32" ht="11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</row>
    <row r="72" spans="1:32" ht="11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</row>
    <row r="73" spans="1:32" ht="11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</row>
    <row r="74" spans="1:32" ht="11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</row>
    <row r="75" spans="1:32" ht="11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</row>
    <row r="76" spans="1:32" ht="11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</row>
    <row r="77" spans="1:32" ht="11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</row>
    <row r="78" spans="1:32" ht="11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</row>
    <row r="79" spans="1:32" ht="11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</row>
    <row r="80" spans="1:32" ht="11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</row>
    <row r="81" spans="1:32" ht="11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</row>
    <row r="82" spans="1:32" ht="11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</row>
    <row r="83" spans="1:32" ht="11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</row>
    <row r="84" spans="1:32" ht="11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</row>
    <row r="85" spans="1:32" ht="11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</row>
    <row r="86" spans="1:32" ht="11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</row>
    <row r="87" spans="1:32" ht="11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</row>
    <row r="88" spans="1:32" ht="11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</row>
    <row r="89" spans="1:32" ht="11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</row>
    <row r="90" spans="1:32" ht="11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</row>
    <row r="91" spans="1:32" ht="11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</row>
    <row r="92" spans="1:32" ht="11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</row>
    <row r="93" spans="1:32" ht="11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</row>
    <row r="94" spans="1:32" ht="11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</row>
    <row r="95" spans="1:32" ht="11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</row>
    <row r="96" spans="1:32" ht="11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</row>
    <row r="97" spans="1:32" ht="11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</row>
    <row r="98" spans="1:32" ht="11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</row>
    <row r="99" spans="1:32" ht="11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</row>
    <row r="100" spans="1:32" ht="11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</row>
    <row r="101" spans="1:32" ht="11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</row>
    <row r="102" spans="1:32" ht="11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</row>
    <row r="103" spans="1:32" ht="11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</row>
    <row r="104" spans="1:32" ht="11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</row>
    <row r="105" spans="1:32" ht="11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</row>
    <row r="106" spans="1:32" ht="11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</row>
    <row r="107" spans="1:32" ht="11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</row>
    <row r="108" spans="1:32" ht="11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</row>
    <row r="109" spans="1:32" ht="11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</row>
    <row r="110" spans="1:32" ht="11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</row>
    <row r="111" spans="1:32" ht="11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</row>
    <row r="112" spans="1:32" ht="11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</row>
    <row r="113" spans="1:32" ht="11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</row>
    <row r="114" spans="1:32" ht="11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</row>
    <row r="115" spans="1:32" ht="11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</row>
    <row r="116" spans="1:32" ht="11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</row>
    <row r="117" spans="1:32" ht="11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</row>
    <row r="118" spans="1:32" ht="11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</row>
    <row r="119" spans="1:32" ht="11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</row>
    <row r="120" spans="1:32" ht="11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</row>
    <row r="121" spans="1:32" ht="11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</row>
    <row r="122" spans="1:32" ht="11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</row>
    <row r="123" spans="1:32" ht="11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</row>
    <row r="124" spans="1:32" ht="11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</row>
    <row r="125" spans="1:32" ht="11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</row>
    <row r="126" spans="1:32" ht="11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</row>
    <row r="127" spans="1:32" ht="11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</row>
    <row r="128" spans="1:32" ht="11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</row>
    <row r="129" spans="1:32" ht="11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</row>
    <row r="130" spans="1:32" ht="11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</row>
    <row r="131" spans="1:32" ht="11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</row>
    <row r="132" spans="1:32" ht="11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</row>
    <row r="133" spans="1:32" ht="11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</row>
    <row r="134" spans="1:32" ht="11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</row>
    <row r="135" spans="1:32" ht="11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</row>
    <row r="136" spans="1:32" ht="11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</row>
    <row r="137" spans="1:32" ht="11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</row>
    <row r="138" spans="1:32" ht="11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</row>
    <row r="139" spans="1:32" ht="11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</row>
    <row r="140" spans="1:32" ht="11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</row>
    <row r="141" spans="1:32" ht="11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</row>
    <row r="142" spans="1:32" ht="11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</row>
    <row r="143" spans="1:32" ht="11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</row>
    <row r="144" spans="1:32" ht="11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</row>
    <row r="145" spans="1:32" ht="11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</row>
    <row r="146" spans="1:32" ht="11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</row>
    <row r="147" spans="1:32" ht="11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</row>
    <row r="148" spans="1:32" ht="11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</row>
    <row r="149" spans="1:32" ht="11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</row>
    <row r="150" spans="1:32" ht="11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</row>
    <row r="151" spans="1:32" ht="11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</row>
    <row r="152" spans="1:32" ht="11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</row>
    <row r="153" spans="1:32" ht="11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</row>
    <row r="154" spans="1:32" ht="11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</row>
    <row r="155" spans="1:32" ht="11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</row>
    <row r="156" spans="1:32" ht="11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</row>
    <row r="157" spans="1:32" ht="11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</row>
    <row r="158" spans="1:32" ht="11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</row>
    <row r="159" spans="1:32" ht="11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</row>
    <row r="160" spans="1:32" ht="11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</row>
    <row r="161" spans="1:32" ht="11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</row>
    <row r="162" spans="1:32" ht="11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</row>
    <row r="163" spans="1:32" ht="11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</row>
    <row r="164" spans="1:32" ht="11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</row>
    <row r="165" spans="1:32" ht="11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</row>
    <row r="166" spans="1:32" ht="11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</row>
    <row r="167" spans="1:32" ht="11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</row>
    <row r="168" spans="1:32" ht="11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</row>
    <row r="169" spans="1:32" ht="11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</row>
    <row r="170" spans="1:32" ht="11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</row>
    <row r="171" spans="1:32" ht="11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</row>
    <row r="172" spans="1:32" ht="11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</row>
    <row r="173" spans="1:32" ht="11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</row>
    <row r="174" spans="1:32" ht="11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</row>
    <row r="175" spans="1:32" ht="11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</row>
    <row r="176" spans="1:32" ht="11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</row>
    <row r="177" spans="1:32" ht="11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</row>
    <row r="178" spans="1:32" ht="11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</row>
    <row r="179" spans="1:32" ht="11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</row>
    <row r="180" spans="1:32" ht="11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</row>
    <row r="181" spans="1:32" ht="11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</row>
    <row r="182" spans="1:32" ht="11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</row>
    <row r="183" spans="1:32" ht="11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</row>
    <row r="184" spans="1:32" ht="11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</row>
    <row r="185" spans="1:32" ht="11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</row>
    <row r="186" spans="1:32" ht="11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</row>
    <row r="187" spans="1:32" ht="11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</row>
    <row r="188" spans="1:32" ht="11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</row>
    <row r="189" spans="1:32" ht="11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</row>
    <row r="190" spans="1:32" ht="11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</row>
    <row r="191" spans="1:32" ht="11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</row>
    <row r="192" spans="1:32" ht="11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</row>
    <row r="193" spans="1:32" ht="11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</row>
    <row r="194" spans="1:32" ht="11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</row>
    <row r="195" spans="1:32" ht="11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</row>
    <row r="196" spans="1:32" ht="11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</row>
    <row r="197" spans="1:32" ht="11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</row>
    <row r="198" spans="1:32" ht="11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</row>
    <row r="199" spans="1:32" ht="11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</row>
    <row r="200" spans="1:32" ht="11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</row>
    <row r="201" spans="1:32" ht="11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</row>
    <row r="202" spans="1:32" ht="11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</row>
    <row r="203" spans="1:32" ht="11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</row>
    <row r="204" spans="1:32" ht="11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</row>
    <row r="205" spans="1:32" ht="11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</row>
    <row r="206" spans="1:32" ht="11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</row>
    <row r="207" spans="1:32" ht="11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</row>
    <row r="208" spans="1:32" ht="11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</row>
    <row r="209" spans="1:32" ht="11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</row>
    <row r="210" spans="1:32" ht="11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</row>
    <row r="211" spans="1:32" ht="11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</row>
    <row r="212" spans="1:32" ht="11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</row>
    <row r="213" spans="1:32" ht="11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</row>
    <row r="214" spans="1:32" ht="11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</row>
    <row r="215" spans="1:32" ht="11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</row>
    <row r="216" spans="1:32" ht="11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</row>
    <row r="217" spans="1:32" ht="11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</row>
    <row r="218" spans="1:32" ht="11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</row>
    <row r="219" spans="1:32" ht="11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</row>
    <row r="220" spans="1:32" ht="11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</row>
    <row r="221" spans="1:32" ht="11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</row>
    <row r="222" spans="1:32" ht="11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</row>
    <row r="223" spans="1:32" ht="11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</row>
    <row r="224" spans="1:32" ht="11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</row>
    <row r="225" spans="1:32" ht="11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</row>
    <row r="226" spans="1:32" ht="11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</row>
    <row r="227" spans="1:32" ht="11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</row>
    <row r="228" spans="1:32" ht="11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</row>
    <row r="229" spans="1:32" ht="11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</row>
    <row r="230" spans="1:32" ht="11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</row>
    <row r="231" spans="1:32" ht="11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</row>
    <row r="232" spans="1:32" ht="11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</row>
    <row r="233" spans="1:32" ht="11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</row>
    <row r="234" spans="1:32" ht="11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</row>
    <row r="235" spans="1:32" ht="11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</row>
    <row r="236" spans="1:32" ht="11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</row>
    <row r="237" spans="1:32" ht="11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</row>
    <row r="238" spans="1:32" ht="11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</row>
    <row r="239" spans="1:32" ht="11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</row>
    <row r="240" spans="1:32" ht="11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</row>
    <row r="241" spans="1:32" ht="11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</row>
    <row r="242" spans="1:32" ht="11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</row>
    <row r="243" spans="1:32" ht="11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</row>
    <row r="244" spans="1:32" ht="11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</row>
    <row r="245" spans="1:32" ht="11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</row>
    <row r="246" spans="1:32" ht="11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</row>
    <row r="247" spans="1:32" ht="11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</row>
    <row r="248" spans="1:32" ht="11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</row>
    <row r="249" spans="1:32" ht="11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</row>
    <row r="250" spans="1:32" ht="11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</row>
    <row r="251" spans="1:32" ht="11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</row>
    <row r="252" spans="1:32" ht="11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</row>
    <row r="253" spans="1:32" ht="11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</row>
    <row r="254" spans="1:32" ht="11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</row>
    <row r="255" spans="1:32" ht="11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</row>
    <row r="256" spans="1:32" ht="11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</row>
    <row r="257" spans="1:32" ht="11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</row>
    <row r="258" spans="1:32" ht="11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</row>
    <row r="259" spans="1:32" ht="11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</row>
    <row r="260" spans="1:32" ht="11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</row>
    <row r="261" spans="1:32" ht="11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</row>
    <row r="262" spans="1:32" ht="11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</row>
    <row r="263" spans="1:32" ht="11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</row>
    <row r="264" spans="1:32" ht="11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</row>
    <row r="265" spans="1:32" ht="11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</row>
    <row r="266" spans="1:32" ht="11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</row>
    <row r="267" spans="1:32" ht="11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</row>
    <row r="268" spans="1:32" ht="11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</row>
    <row r="269" spans="1:32" ht="11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</row>
    <row r="270" spans="1:32" ht="11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</row>
    <row r="271" spans="1:32" ht="11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</row>
    <row r="272" spans="1:32" ht="11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</row>
    <row r="273" spans="1:32" ht="11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</row>
    <row r="274" spans="1:32" ht="11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</row>
    <row r="275" spans="1:32" ht="11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</row>
    <row r="276" spans="1:32" ht="11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</row>
    <row r="277" spans="1:32" ht="11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</row>
    <row r="278" spans="1:32" ht="11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</row>
    <row r="279" spans="1:32" ht="11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</row>
    <row r="280" spans="1:32" ht="11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</row>
    <row r="281" spans="1:32" ht="11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</row>
    <row r="282" spans="1:32" ht="11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</row>
    <row r="283" spans="1:32" ht="11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</row>
    <row r="284" spans="1:32" ht="11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</row>
    <row r="285" spans="1:32" ht="11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</row>
    <row r="286" spans="1:32" ht="11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</row>
    <row r="287" spans="1:32" ht="11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</row>
    <row r="288" spans="1:32" ht="11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</row>
    <row r="289" spans="1:32" ht="11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</row>
    <row r="290" spans="1:32" ht="11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</row>
    <row r="291" spans="1:32" ht="11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</row>
    <row r="292" spans="1:32" ht="11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</row>
    <row r="293" spans="1:32" ht="11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</row>
    <row r="294" spans="1:32" ht="11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  <row r="295" spans="1:32" ht="11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</row>
    <row r="296" spans="1:32" ht="11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</row>
    <row r="297" spans="1:32" ht="11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</row>
    <row r="298" spans="1:32" ht="11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</row>
    <row r="299" spans="1:32" ht="11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</row>
    <row r="300" spans="1:32" ht="11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</row>
    <row r="301" spans="1:32" ht="11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</row>
    <row r="302" spans="1:32" ht="11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</row>
    <row r="303" spans="1:32" ht="11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</row>
    <row r="304" spans="1:32" ht="11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</row>
    <row r="305" spans="1:32" ht="11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</row>
    <row r="306" spans="1:32" ht="11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</row>
    <row r="307" spans="1:32" ht="11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</row>
    <row r="308" spans="1:32" ht="11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</row>
    <row r="309" spans="1:32" ht="11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</row>
    <row r="310" spans="1:32" ht="11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</row>
    <row r="311" spans="1:32" ht="11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</row>
    <row r="312" spans="1:32" ht="11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</row>
    <row r="313" spans="1:32" ht="11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</row>
    <row r="314" spans="1:32" ht="11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</row>
    <row r="315" spans="1:32" ht="11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</row>
    <row r="316" spans="1:32" ht="11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</row>
    <row r="317" spans="1:32" ht="11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</row>
    <row r="318" spans="1:32" ht="11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</row>
    <row r="319" spans="1:32" ht="11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</row>
    <row r="320" spans="1:32" ht="11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</row>
    <row r="321" spans="1:32" ht="11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</row>
    <row r="322" spans="1:32" ht="11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</row>
    <row r="323" spans="1:32" ht="11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</row>
    <row r="324" spans="1:32" ht="11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</row>
    <row r="325" spans="1:32" ht="11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</row>
    <row r="326" spans="1:32" ht="11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</row>
    <row r="327" spans="1:32" ht="11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</row>
    <row r="328" spans="1:32" ht="11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</row>
    <row r="329" spans="1:32" ht="11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</row>
    <row r="330" spans="1:32" ht="11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</row>
    <row r="331" spans="1:32" ht="11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</row>
    <row r="332" spans="1:32" ht="11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</row>
    <row r="333" spans="1:32" ht="11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</row>
    <row r="334" spans="1:32" ht="11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</row>
    <row r="335" spans="1:32" ht="11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</row>
    <row r="336" spans="1:32" ht="11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</row>
    <row r="337" spans="1:32" ht="11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</row>
    <row r="338" spans="1:32" ht="11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</row>
    <row r="339" spans="1:32" ht="11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</row>
    <row r="340" spans="1:32" ht="11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</row>
    <row r="341" spans="1:32" ht="11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</row>
    <row r="342" spans="1:32" ht="11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</row>
    <row r="343" spans="1:32" ht="11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</row>
    <row r="344" spans="1:32" ht="11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</row>
    <row r="345" spans="1:32" ht="11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</row>
    <row r="346" spans="1:32" ht="11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</row>
    <row r="347" spans="1:32" ht="11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</row>
    <row r="348" spans="1:32" ht="11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</row>
    <row r="349" spans="1:32" ht="11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</row>
    <row r="350" spans="1:32" ht="11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</row>
    <row r="351" spans="1:32" ht="11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</row>
    <row r="352" spans="1:32" ht="11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</row>
    <row r="353" spans="1:32" ht="11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</row>
    <row r="354" spans="1:32" ht="11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</row>
    <row r="355" spans="1:32" ht="11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</row>
    <row r="356" spans="1:32" ht="11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</row>
    <row r="357" spans="1:32" ht="11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</row>
    <row r="358" spans="1:32" ht="11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</row>
    <row r="359" spans="1:32" ht="11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</row>
    <row r="360" spans="1:32" ht="11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</row>
    <row r="361" spans="1:32" ht="11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</row>
    <row r="362" spans="1:32" ht="11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</row>
    <row r="363" spans="1:32" ht="11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</row>
    <row r="364" spans="1:32" ht="11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</row>
    <row r="365" spans="1:32" ht="11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</row>
    <row r="366" spans="1:32" ht="11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</row>
    <row r="367" spans="1:32" ht="11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</row>
    <row r="368" spans="1:32" ht="11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</row>
    <row r="369" spans="1:32" ht="11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</row>
    <row r="370" spans="1:32" ht="11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</row>
    <row r="371" spans="1:32" ht="11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</row>
    <row r="372" spans="1:32" ht="11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</row>
    <row r="373" spans="1:32" ht="11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</row>
    <row r="374" spans="1:32" ht="11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</row>
    <row r="375" spans="1:32" ht="11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</row>
    <row r="376" spans="1:32" ht="11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</row>
    <row r="377" spans="1:32" ht="11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</row>
    <row r="378" spans="1:32" ht="11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</row>
    <row r="379" spans="1:32" ht="11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</row>
    <row r="380" spans="1:32" ht="11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</row>
    <row r="381" spans="1:32" ht="11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</row>
    <row r="382" spans="1:32" ht="11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</row>
    <row r="383" spans="1:32" ht="11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</row>
    <row r="384" spans="1:32" ht="11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</row>
    <row r="385" spans="1:32" ht="11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</row>
    <row r="386" spans="1:32" ht="11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</row>
    <row r="387" spans="1:32" ht="11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</row>
    <row r="388" spans="1:32" ht="11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</row>
    <row r="389" spans="1:32" ht="11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</row>
    <row r="390" spans="1:32" ht="11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</row>
    <row r="391" spans="1:32" ht="11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</row>
    <row r="392" spans="1:32" ht="11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</row>
    <row r="393" spans="1:32" ht="11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</row>
    <row r="394" spans="1:32" ht="11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</row>
    <row r="395" spans="1:32" ht="11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</row>
    <row r="396" spans="1:32" ht="11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</row>
    <row r="397" spans="1:32" ht="11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</row>
    <row r="398" spans="1:32" ht="11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</row>
    <row r="399" spans="1:32" ht="11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</row>
    <row r="400" spans="1:32" ht="11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</row>
    <row r="401" spans="1:32" ht="11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</row>
    <row r="402" spans="1:32" ht="11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</row>
    <row r="403" spans="1:32" ht="11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</row>
    <row r="404" spans="1:32" ht="11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</row>
    <row r="405" spans="1:32" ht="11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</row>
    <row r="406" spans="1:32" ht="11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</row>
    <row r="407" spans="1:32" ht="11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</row>
    <row r="408" spans="1:32" ht="11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</row>
    <row r="409" spans="1:32" ht="11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</row>
    <row r="410" spans="1:32" ht="11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</row>
    <row r="411" spans="1:32" ht="11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</row>
    <row r="412" spans="1:32" ht="11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</row>
    <row r="413" spans="1:32" ht="11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</row>
    <row r="414" spans="1:32" ht="11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</row>
    <row r="415" spans="1:32" ht="11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</row>
    <row r="416" spans="1:32" ht="11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</row>
    <row r="417" spans="1:32" ht="11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</row>
    <row r="418" spans="1:32" ht="11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</row>
    <row r="419" spans="1:32" ht="11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</row>
    <row r="420" spans="1:32" ht="11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</row>
    <row r="421" spans="1:32" ht="11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</row>
    <row r="422" spans="1:32" ht="11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</row>
    <row r="423" spans="1:32" ht="11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</row>
    <row r="424" spans="1:32" ht="11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</row>
    <row r="425" spans="1:32" ht="11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</row>
    <row r="426" spans="1:32" ht="11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</row>
    <row r="427" spans="1:32" ht="11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</row>
    <row r="428" spans="1:32" ht="11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</row>
    <row r="429" spans="1:32" ht="11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</row>
    <row r="430" spans="1:32" ht="11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</row>
    <row r="431" spans="1:32" ht="11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</row>
    <row r="432" spans="1:32" ht="11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</row>
    <row r="433" spans="1:32" ht="11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</row>
    <row r="434" spans="1:32" ht="11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</row>
    <row r="435" spans="1:32" ht="11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</row>
    <row r="436" spans="1:32" ht="11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</row>
    <row r="437" spans="1:32" ht="11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</row>
    <row r="438" spans="1:32" ht="11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</row>
    <row r="439" spans="1:32" ht="11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</row>
    <row r="440" spans="1:32" ht="11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</row>
    <row r="441" spans="1:32" ht="11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</row>
    <row r="442" spans="1:32" ht="11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</row>
    <row r="443" spans="1:32" ht="11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</row>
    <row r="444" spans="1:32" ht="11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</row>
    <row r="445" spans="1:32" ht="11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</row>
    <row r="446" spans="1:32" ht="11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</row>
    <row r="447" spans="1:32" ht="11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</row>
    <row r="448" spans="1:32" ht="11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</row>
    <row r="449" spans="1:32" ht="11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</row>
    <row r="450" spans="1:32" ht="11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</row>
    <row r="451" spans="1:32" ht="11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</row>
    <row r="452" spans="1:32" ht="11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</row>
    <row r="453" spans="1:32" ht="11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</row>
    <row r="454" spans="1:32" ht="11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</row>
    <row r="455" spans="1:32" ht="11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</row>
    <row r="456" spans="1:32" ht="11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</row>
    <row r="457" spans="1:32" ht="11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</row>
    <row r="458" spans="1:32" ht="11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</row>
    <row r="459" spans="1:32" ht="11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</row>
    <row r="460" spans="1:32" ht="11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</row>
    <row r="461" spans="1:32" ht="11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</row>
    <row r="462" spans="1:32" ht="11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</row>
    <row r="463" spans="1:32" ht="11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</row>
    <row r="464" spans="1:32" ht="11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</row>
    <row r="465" spans="1:32" ht="11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</row>
    <row r="466" spans="1:32" ht="11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</row>
    <row r="467" spans="1:32" ht="11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</row>
    <row r="468" spans="1:32" ht="11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</row>
    <row r="469" spans="1:32" ht="11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</row>
    <row r="470" spans="1:32" ht="11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</row>
    <row r="471" spans="1:32" ht="11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</row>
    <row r="472" spans="1:32" ht="11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</row>
    <row r="473" spans="1:32" ht="11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</row>
    <row r="474" spans="1:32" ht="11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</row>
    <row r="475" spans="1:32" ht="11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</row>
    <row r="476" spans="1:32" ht="11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</row>
    <row r="477" spans="1:32" ht="11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</row>
    <row r="478" spans="1:32" ht="11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</row>
    <row r="479" spans="1:32" ht="11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</row>
    <row r="480" spans="1:32" ht="11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</row>
    <row r="481" spans="1:32" ht="11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</row>
    <row r="482" spans="1:32" ht="11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</row>
    <row r="483" spans="1:32" ht="11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</row>
    <row r="484" spans="1:32" ht="11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</row>
    <row r="485" spans="1:32" ht="11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</row>
    <row r="486" spans="1:32" ht="11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</row>
    <row r="487" spans="1:32" ht="11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</row>
    <row r="488" spans="1:32" ht="11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</row>
    <row r="489" spans="1:32" ht="11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</row>
    <row r="490" spans="1:32" ht="11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</row>
    <row r="491" spans="1:32" ht="11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</row>
    <row r="492" spans="1:32" ht="11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</row>
    <row r="493" spans="1:32" ht="11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</row>
    <row r="494" spans="1:32" ht="11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</row>
    <row r="495" spans="1:32" ht="11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</row>
    <row r="496" spans="1:32" ht="11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</row>
    <row r="497" spans="1:32" ht="11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</row>
    <row r="498" spans="1:32" ht="11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</row>
    <row r="499" spans="1:32" ht="11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</row>
    <row r="500" spans="1:32" ht="11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</row>
    <row r="501" spans="1:32" ht="11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</row>
    <row r="502" spans="1:32" ht="11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</row>
    <row r="503" spans="1:32" ht="11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</row>
    <row r="504" spans="1:32" ht="11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</row>
    <row r="505" spans="1:32" ht="11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</row>
    <row r="506" spans="1:32" ht="11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</row>
    <row r="507" spans="1:32" ht="11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</row>
    <row r="508" spans="1:32" ht="11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</row>
    <row r="509" spans="1:32" ht="11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</row>
    <row r="510" spans="1:32" ht="11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</row>
    <row r="511" spans="1:32" ht="11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</row>
    <row r="512" spans="1:32" ht="11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</row>
    <row r="513" spans="1:32" ht="11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</row>
    <row r="514" spans="1:32" ht="11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</row>
    <row r="515" spans="1:32" ht="11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</row>
    <row r="516" spans="1:32" ht="11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</row>
    <row r="517" spans="1:32" ht="11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</row>
    <row r="518" spans="1:32" ht="11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</row>
    <row r="519" spans="1:32" ht="11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</row>
    <row r="520" spans="1:32" ht="11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</row>
    <row r="521" spans="1:32" ht="11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</row>
    <row r="522" spans="1:32" ht="11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</row>
    <row r="523" spans="1:32" ht="11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</row>
    <row r="524" spans="1:32" ht="11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</row>
    <row r="525" spans="1:32" ht="11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</row>
    <row r="526" spans="1:32" ht="11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</row>
    <row r="527" spans="1:32" ht="11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</row>
    <row r="528" spans="1:32" ht="11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</row>
    <row r="529" spans="1:32" ht="11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</row>
    <row r="530" spans="1:32" ht="11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</row>
    <row r="531" spans="1:32" ht="11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</row>
    <row r="532" spans="1:32" ht="11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</row>
    <row r="533" spans="1:32" ht="11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</row>
    <row r="534" spans="1:32" ht="11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</row>
    <row r="535" spans="1:32" ht="11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</row>
    <row r="536" spans="1:32" ht="11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</row>
    <row r="537" spans="1:32" ht="11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</row>
    <row r="538" spans="1:32" ht="11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</row>
    <row r="539" spans="1:32" ht="11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</row>
    <row r="540" spans="1:32" ht="11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</row>
    <row r="541" spans="1:32" ht="11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</row>
    <row r="542" spans="1:32" ht="11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</row>
    <row r="543" spans="1:32" ht="11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</row>
    <row r="544" spans="1:32" ht="11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</row>
    <row r="545" spans="1:32" ht="11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</row>
    <row r="546" spans="1:32" ht="11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</row>
    <row r="547" spans="1:32" ht="11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</row>
    <row r="548" spans="1:32" ht="11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</row>
    <row r="549" spans="1:32" ht="11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</row>
    <row r="550" spans="1:32" ht="11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</row>
    <row r="551" spans="1:32" ht="11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</row>
    <row r="552" spans="1:32" ht="11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</row>
    <row r="553" spans="1:32" ht="11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</row>
    <row r="554" spans="1:32" ht="11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</row>
    <row r="555" spans="1:32" ht="11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</row>
    <row r="556" spans="1:32" ht="11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</row>
    <row r="557" spans="1:32" ht="11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</row>
    <row r="558" spans="1:32" ht="11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</row>
    <row r="559" spans="1:32" ht="11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</row>
    <row r="560" spans="1:32" ht="11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</row>
    <row r="561" spans="1:32" ht="11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</row>
    <row r="562" spans="1:32" ht="11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</row>
    <row r="563" spans="1:32" ht="11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</row>
    <row r="564" spans="1:32" ht="11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</row>
    <row r="565" spans="1:32" ht="11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</row>
    <row r="566" spans="1:32" ht="11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</row>
    <row r="567" spans="1:32" ht="11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</row>
    <row r="568" spans="1:32" ht="11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</row>
    <row r="569" spans="1:32" ht="11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</row>
    <row r="570" spans="1:32" ht="11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</row>
    <row r="571" spans="1:32" ht="11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</row>
    <row r="572" spans="1:32" ht="11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</row>
    <row r="573" spans="1:32" ht="11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</row>
    <row r="574" spans="1:32" ht="11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</row>
    <row r="575" spans="1:32" ht="11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</row>
    <row r="576" spans="1:32" ht="11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</row>
    <row r="577" spans="1:32" ht="11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</row>
    <row r="578" spans="1:32" ht="11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</row>
    <row r="579" spans="1:32" ht="11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</row>
    <row r="580" spans="1:32" ht="11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</row>
    <row r="581" spans="1:32" ht="11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</row>
    <row r="582" spans="1:32" ht="11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</row>
    <row r="583" spans="1:32" ht="11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</row>
    <row r="584" spans="1:32" ht="11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</row>
    <row r="585" spans="1:32" ht="11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</row>
    <row r="586" spans="1:32" ht="11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</row>
    <row r="587" spans="1:32" ht="11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</row>
    <row r="588" spans="1:32" ht="11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</row>
    <row r="589" spans="1:32" ht="11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</row>
    <row r="590" spans="1:32" ht="11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</row>
    <row r="591" spans="1:32" ht="11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</row>
    <row r="592" spans="1:32" ht="11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</row>
    <row r="593" spans="1:32" ht="11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</row>
    <row r="594" spans="1:32" ht="11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</row>
    <row r="595" spans="1:32" ht="11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</row>
    <row r="596" spans="1:32" ht="11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</row>
    <row r="597" spans="1:32" ht="11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</row>
    <row r="598" spans="1:32" ht="11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</row>
    <row r="599" spans="1:32" ht="11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</row>
    <row r="600" spans="1:32" ht="11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</row>
    <row r="601" spans="1:32" ht="11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</row>
    <row r="602" spans="1:32" ht="11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</row>
    <row r="603" spans="1:32" ht="11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</row>
    <row r="604" spans="1:32" ht="11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</row>
    <row r="605" spans="1:32" ht="11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</row>
    <row r="606" spans="1:32" ht="11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</row>
    <row r="607" spans="1:32" ht="11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</row>
    <row r="608" spans="1:32" ht="11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</row>
    <row r="609" spans="1:32" ht="11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</row>
    <row r="610" spans="1:32" ht="11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</row>
    <row r="611" spans="1:32" ht="11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</row>
    <row r="612" spans="1:32" ht="11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</row>
    <row r="613" spans="1:32" ht="11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</row>
    <row r="614" spans="1:32" ht="11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</row>
    <row r="615" spans="1:32" ht="11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</row>
    <row r="616" spans="1:32" ht="11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</row>
    <row r="617" spans="1:32" ht="11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</row>
    <row r="618" spans="1:32" ht="11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</row>
    <row r="619" spans="1:32" ht="11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</row>
    <row r="620" spans="1:32" ht="11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</row>
    <row r="621" spans="1:32" ht="11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</row>
    <row r="622" spans="1:32" ht="11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</row>
    <row r="623" spans="1:32" ht="11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</row>
    <row r="624" spans="1:32" ht="11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</row>
    <row r="625" spans="1:32" ht="11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</row>
    <row r="626" spans="1:32" ht="11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</row>
    <row r="627" spans="1:32" ht="11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</row>
    <row r="628" spans="1:32" ht="11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</row>
    <row r="629" spans="1:32" ht="11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</row>
    <row r="630" spans="1:32" ht="11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</row>
    <row r="631" spans="1:32" ht="11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</row>
    <row r="632" spans="1:32" ht="11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</row>
    <row r="633" spans="1:32" ht="11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</row>
    <row r="634" spans="1:32" ht="11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</row>
    <row r="635" spans="1:32" ht="11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</row>
    <row r="636" spans="1:32" ht="11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</row>
    <row r="637" spans="1:32" ht="11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</row>
    <row r="638" spans="1:32" ht="11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</row>
    <row r="639" spans="1:32" ht="11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</row>
    <row r="640" spans="1:32" ht="11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</row>
    <row r="641" spans="1:32" ht="11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</row>
    <row r="642" spans="1:32" ht="11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</row>
    <row r="643" spans="1:32" ht="11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</row>
    <row r="644" spans="1:32" ht="11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</row>
    <row r="645" spans="1:32" ht="11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</row>
    <row r="646" spans="1:32" ht="11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</row>
    <row r="647" spans="1:32" ht="11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</row>
    <row r="648" spans="1:32" ht="11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</row>
    <row r="649" spans="1:32" ht="11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</row>
    <row r="650" spans="1:32" ht="11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</row>
    <row r="651" spans="1:32" ht="11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</row>
    <row r="652" spans="1:32" ht="11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</row>
    <row r="653" spans="1:32" ht="11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</row>
    <row r="654" spans="1:32" ht="11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</row>
    <row r="655" spans="1:32" ht="11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</row>
    <row r="656" spans="1:32" ht="11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</row>
    <row r="657" spans="1:32" ht="11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</row>
    <row r="658" spans="1:32" ht="11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</row>
    <row r="659" spans="1:32" ht="11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</row>
    <row r="660" spans="1:32" ht="11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</row>
    <row r="661" spans="1:32" ht="11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</row>
    <row r="662" spans="1:32" ht="11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</row>
    <row r="663" spans="1:32" ht="11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</row>
    <row r="664" spans="1:32" ht="11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</row>
    <row r="665" spans="1:32" ht="11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</row>
    <row r="666" spans="1:32" ht="11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</row>
    <row r="667" spans="1:32" ht="11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</row>
    <row r="668" spans="1:32" ht="11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</row>
    <row r="669" spans="1:32" ht="11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</row>
    <row r="670" spans="1:32" ht="11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</row>
    <row r="671" spans="1:32" ht="11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</row>
    <row r="672" spans="1:32" ht="11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</row>
    <row r="673" spans="1:32" ht="11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</row>
    <row r="674" spans="1:32" ht="11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</row>
    <row r="675" spans="1:32" ht="11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</row>
    <row r="676" spans="1:32" ht="11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</row>
    <row r="677" spans="1:32" ht="11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</row>
    <row r="678" spans="1:32" ht="11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</row>
    <row r="679" spans="1:32" ht="11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</row>
    <row r="680" spans="1:32" ht="11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</row>
    <row r="681" spans="1:32" ht="11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</row>
    <row r="682" spans="1:32" ht="11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</row>
    <row r="683" spans="1:32" ht="11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</row>
    <row r="684" spans="1:32" ht="11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</row>
    <row r="685" spans="1:32" ht="11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</row>
    <row r="686" spans="1:32" ht="11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</row>
    <row r="687" spans="1:32" ht="11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</row>
    <row r="688" spans="1:32" ht="11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</row>
    <row r="689" spans="1:32" ht="11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</row>
    <row r="690" spans="1:32" ht="11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</row>
    <row r="691" spans="1:32" ht="11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</row>
    <row r="692" spans="1:32" ht="11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</row>
    <row r="693" spans="1:32" ht="11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</row>
    <row r="694" spans="1:32" ht="11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</row>
    <row r="695" spans="1:32" ht="11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</row>
    <row r="696" spans="1:32" ht="11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</row>
    <row r="697" spans="1:32" ht="11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</row>
    <row r="698" spans="1:32" ht="11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</row>
    <row r="699" spans="1:32" ht="11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</row>
    <row r="700" spans="1:32" ht="11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</row>
    <row r="701" spans="1:32" ht="11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</row>
    <row r="702" spans="1:32" ht="11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</row>
    <row r="703" spans="1:32" ht="11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</row>
    <row r="704" spans="1:32" ht="11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</row>
    <row r="705" spans="1:32" ht="11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</row>
    <row r="706" spans="1:32" ht="11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</row>
    <row r="707" spans="1:32" ht="11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</row>
    <row r="708" spans="1:32" ht="11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</row>
    <row r="709" spans="1:32" ht="11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</row>
    <row r="710" spans="1:32" ht="11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</row>
    <row r="711" spans="1:32" ht="11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</row>
    <row r="712" spans="1:32" ht="11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</row>
    <row r="713" spans="1:32" ht="11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</row>
    <row r="714" spans="1:32" ht="11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</row>
    <row r="715" spans="1:32" ht="11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</row>
    <row r="716" spans="1:32" ht="11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</row>
    <row r="717" spans="1:32" ht="11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</row>
    <row r="718" spans="1:32" ht="11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</row>
    <row r="719" spans="1:32" ht="11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</row>
    <row r="720" spans="1:32" ht="11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</row>
    <row r="721" spans="1:32" ht="11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</row>
    <row r="722" spans="1:32" ht="11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</row>
    <row r="723" spans="1:32" ht="11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</row>
    <row r="724" spans="1:32" ht="11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</row>
    <row r="725" spans="1:32" ht="11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</row>
    <row r="726" spans="1:32" ht="11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</row>
    <row r="727" spans="1:32" ht="11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</row>
    <row r="728" spans="1:32" ht="11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</row>
    <row r="729" spans="1:32" ht="11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</row>
    <row r="730" spans="1:32" ht="11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</row>
    <row r="731" spans="1:32" ht="11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</row>
    <row r="732" spans="1:32" ht="11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</row>
    <row r="733" spans="1:32" ht="11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</row>
    <row r="734" spans="1:32" ht="11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</row>
    <row r="735" spans="1:32" ht="11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</row>
    <row r="736" spans="1:32" ht="11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</row>
    <row r="737" spans="1:32" ht="11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</row>
    <row r="738" spans="1:32" ht="11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</row>
    <row r="739" spans="1:32" ht="11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</row>
    <row r="740" spans="1:32" ht="11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</row>
    <row r="741" spans="1:32" ht="11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</row>
    <row r="742" spans="1:32" ht="11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</row>
    <row r="743" spans="1:32" ht="11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</row>
    <row r="744" spans="1:32" ht="11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</row>
    <row r="745" spans="1:32" ht="11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</row>
    <row r="746" spans="1:32" ht="11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</row>
    <row r="747" spans="1:32" ht="11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</row>
    <row r="748" spans="1:32" ht="11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</row>
    <row r="749" spans="1:32" ht="11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</row>
    <row r="750" spans="1:32" ht="11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</row>
    <row r="751" spans="1:32" ht="11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</row>
    <row r="752" spans="1:32" ht="11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</row>
    <row r="753" spans="1:32" ht="11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</row>
    <row r="754" spans="1:32" ht="11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</row>
    <row r="755" spans="1:32" ht="11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</row>
    <row r="756" spans="1:32" ht="11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</row>
    <row r="757" spans="1:32" ht="11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</row>
    <row r="758" spans="1:32" ht="11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</row>
    <row r="759" spans="1:32" ht="11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</row>
    <row r="760" spans="1:32" ht="11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</row>
    <row r="761" spans="1:32" ht="11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</row>
    <row r="762" spans="1:32" ht="11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</row>
    <row r="763" spans="1:32" ht="11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</row>
    <row r="764" spans="1:32" ht="11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</row>
    <row r="765" spans="1:32" ht="11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</row>
    <row r="766" spans="1:32" ht="11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</row>
    <row r="767" spans="1:32" ht="11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</row>
    <row r="768" spans="1:32" ht="11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</row>
    <row r="769" spans="1:32" ht="11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</row>
    <row r="770" spans="1:32" ht="11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</row>
    <row r="771" spans="1:32" ht="11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</row>
    <row r="772" spans="1:32" ht="11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</row>
    <row r="773" spans="1:32" ht="11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</row>
    <row r="774" spans="1:32" ht="11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</row>
    <row r="775" spans="1:32" ht="11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</row>
    <row r="776" spans="1:32" ht="11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</row>
    <row r="777" spans="1:32" ht="11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</row>
    <row r="778" spans="1:32" ht="11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</row>
    <row r="779" spans="1:32" ht="11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</row>
    <row r="780" spans="1:32" ht="11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</row>
    <row r="781" spans="1:32" ht="11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</row>
    <row r="782" spans="1:32" ht="11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</row>
    <row r="783" spans="1:32" ht="11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</row>
    <row r="784" spans="1:32" ht="11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</row>
    <row r="785" spans="1:32" ht="11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</row>
    <row r="786" spans="1:32" ht="11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</row>
    <row r="787" spans="1:32" ht="11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</row>
    <row r="788" spans="1:32" ht="11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</row>
    <row r="789" spans="1:32" ht="11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</row>
    <row r="790" spans="1:32" ht="11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</row>
    <row r="791" spans="1:32" ht="11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</row>
    <row r="792" spans="1:32" ht="11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</row>
    <row r="793" spans="1:32" ht="11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</row>
    <row r="794" spans="1:32" ht="11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</row>
    <row r="795" spans="1:32" ht="11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</row>
    <row r="796" spans="1:32" ht="11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</row>
    <row r="797" spans="1:32" ht="11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</row>
    <row r="798" spans="1:32" ht="11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</row>
    <row r="799" spans="1:32" ht="11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</row>
    <row r="800" spans="1:32" ht="11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</row>
    <row r="801" spans="1:32" ht="11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</row>
    <row r="802" spans="1:32" ht="11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</row>
    <row r="803" spans="1:32" ht="11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</row>
    <row r="804" spans="1:32" ht="11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</row>
    <row r="805" spans="1:32" ht="11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</row>
    <row r="806" spans="1:32" ht="11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</row>
    <row r="807" spans="1:32" ht="11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</row>
    <row r="808" spans="1:32" ht="11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</row>
    <row r="809" spans="1:32" ht="11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</row>
    <row r="810" spans="1:32" ht="11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</row>
    <row r="811" spans="1:32" ht="11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</row>
    <row r="812" spans="1:32" ht="11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</row>
    <row r="813" spans="1:32" ht="11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</row>
    <row r="814" spans="1:32" ht="11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</row>
    <row r="815" spans="1:32" ht="11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</row>
    <row r="816" spans="1:32" ht="11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</row>
    <row r="817" spans="1:32" ht="11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</row>
    <row r="818" spans="1:32" ht="11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</row>
    <row r="819" spans="1:32" ht="11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</row>
    <row r="820" spans="1:32" ht="11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</row>
    <row r="821" spans="1:32" ht="11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</row>
    <row r="822" spans="1:32" ht="11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</row>
    <row r="823" spans="1:32" ht="11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</row>
    <row r="824" spans="1:32" ht="11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</row>
    <row r="825" spans="1:32" ht="11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</row>
    <row r="826" spans="1:32" ht="11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</row>
    <row r="827" spans="1:32" ht="11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</row>
    <row r="828" spans="1:32" ht="11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</row>
    <row r="829" spans="1:32" ht="11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</row>
    <row r="830" spans="1:32" ht="11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</row>
    <row r="831" spans="1:32" ht="11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</row>
    <row r="832" spans="1:32" ht="11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</row>
    <row r="833" spans="1:32" ht="11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</row>
    <row r="834" spans="1:32" ht="11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</row>
    <row r="835" spans="1:32" ht="11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</row>
    <row r="836" spans="1:32" ht="11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</row>
    <row r="837" spans="1:32" ht="11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</row>
    <row r="838" spans="1:32" ht="11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</row>
    <row r="839" spans="1:32" ht="11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</row>
    <row r="840" spans="1:32" ht="11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</row>
    <row r="841" spans="1:32" ht="11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</row>
    <row r="842" spans="1:32" ht="11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</row>
    <row r="843" spans="1:32" ht="11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</row>
    <row r="844" spans="1:32" ht="11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</row>
    <row r="845" spans="1:32" ht="11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</row>
    <row r="846" spans="1:32" ht="11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</row>
    <row r="847" spans="1:32" ht="11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</row>
    <row r="848" spans="1:32" ht="11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</row>
    <row r="849" spans="1:32" ht="11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</row>
    <row r="850" spans="1:32" ht="11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</row>
    <row r="851" spans="1:32" ht="11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</row>
    <row r="852" spans="1:32" ht="11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</row>
    <row r="853" spans="1:32" ht="11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</row>
    <row r="854" spans="1:32" ht="11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</row>
    <row r="855" spans="1:32" ht="11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</row>
    <row r="856" spans="1:32" ht="11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</row>
    <row r="857" spans="1:32" ht="11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</row>
    <row r="858" spans="1:32" ht="11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</row>
    <row r="859" spans="1:32" ht="11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</row>
    <row r="860" spans="1:32" ht="11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</row>
    <row r="861" spans="1:32" ht="11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</row>
    <row r="862" spans="1:32" ht="11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</row>
    <row r="863" spans="1:32" ht="11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</row>
    <row r="864" spans="1:32" ht="11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</row>
    <row r="865" spans="1:32" ht="11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</row>
    <row r="866" spans="1:32" ht="11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</row>
    <row r="867" spans="1:32" ht="11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</row>
    <row r="868" spans="1:32" ht="11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</row>
    <row r="869" spans="1:32" ht="11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</row>
    <row r="870" spans="1:32" ht="11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</row>
    <row r="871" spans="1:32" ht="11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</row>
    <row r="872" spans="1:32" ht="11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</row>
    <row r="873" spans="1:32" ht="11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</row>
    <row r="874" spans="1:32" ht="11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</row>
    <row r="875" spans="1:32" ht="11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</row>
    <row r="876" spans="1:32" ht="11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</row>
    <row r="877" spans="1:32" ht="11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</row>
    <row r="878" spans="1:32" ht="11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</row>
    <row r="879" spans="1:32" ht="11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</row>
    <row r="880" spans="1:32" ht="11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</row>
    <row r="881" spans="1:32" ht="11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</row>
    <row r="882" spans="1:32" ht="11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</row>
    <row r="883" spans="1:32" ht="11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</row>
    <row r="884" spans="1:32" ht="11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</row>
    <row r="885" spans="1:32" ht="11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</row>
    <row r="886" spans="1:32" ht="11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</row>
    <row r="887" spans="1:32" ht="11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</row>
    <row r="888" spans="1:32" ht="11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</row>
    <row r="889" spans="1:32" ht="11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</row>
    <row r="890" spans="1:32" ht="11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</row>
    <row r="891" spans="1:32" ht="11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</row>
    <row r="892" spans="1:32" ht="11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</row>
    <row r="893" spans="1:32" ht="11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</row>
    <row r="894" spans="1:32" ht="11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</row>
    <row r="895" spans="1:32" ht="11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</row>
    <row r="896" spans="1:32" ht="11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</row>
    <row r="897" spans="1:32" ht="11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</row>
    <row r="898" spans="1:32" ht="11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</row>
    <row r="899" spans="1:32" ht="11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</row>
    <row r="900" spans="1:32" ht="11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</row>
    <row r="901" spans="1:32" ht="11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</row>
    <row r="902" spans="1:32" ht="11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</row>
    <row r="903" spans="1:32" ht="11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</row>
    <row r="904" spans="1:32" ht="11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</row>
    <row r="905" spans="1:32" ht="11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</row>
    <row r="906" spans="1:32" ht="11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</row>
    <row r="907" spans="1:32" ht="11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</row>
    <row r="908" spans="1:32" ht="11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</row>
    <row r="909" spans="1:32" ht="11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</row>
    <row r="910" spans="1:32" ht="11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</row>
    <row r="911" spans="1:32" ht="11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</row>
    <row r="912" spans="1:32" ht="11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</row>
    <row r="913" spans="1:32" ht="11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</row>
    <row r="914" spans="1:32" ht="11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</row>
    <row r="915" spans="1:32" ht="11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</row>
    <row r="916" spans="1:32" ht="11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</row>
    <row r="917" spans="1:32" ht="11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</row>
    <row r="918" spans="1:32" ht="11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</row>
    <row r="919" spans="1:32" ht="11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</row>
    <row r="920" spans="1:32" ht="11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</row>
    <row r="921" spans="1:32" ht="11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</row>
    <row r="922" spans="1:32" ht="11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</row>
    <row r="923" spans="1:32" ht="11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</row>
    <row r="924" spans="1:32" ht="11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</row>
    <row r="925" spans="1:32" ht="11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</row>
    <row r="926" spans="1:32" ht="11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</row>
    <row r="927" spans="1:32" ht="11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</row>
    <row r="928" spans="1:32" ht="11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</row>
    <row r="929" spans="1:32" ht="11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</row>
    <row r="930" spans="1:32" ht="11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</row>
    <row r="931" spans="1:32" ht="11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</row>
    <row r="932" spans="1:32" ht="11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</row>
    <row r="933" spans="1:32" ht="11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</row>
    <row r="934" spans="1:32" ht="11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</row>
    <row r="935" spans="1:32" ht="11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</row>
    <row r="936" spans="1:32" ht="11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</row>
    <row r="937" spans="1:32" ht="11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</row>
    <row r="938" spans="1:32" ht="11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</row>
    <row r="939" spans="1:32" ht="11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</row>
    <row r="940" spans="1:32" ht="11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</row>
    <row r="941" spans="1:32" ht="11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</row>
    <row r="942" spans="1:32" ht="11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</row>
    <row r="943" spans="1:32" ht="11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</row>
    <row r="944" spans="1:32" ht="11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</row>
    <row r="945" spans="1:32" ht="11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</row>
    <row r="946" spans="1:32" ht="11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</row>
    <row r="947" spans="1:32" ht="11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</row>
    <row r="948" spans="1:32" ht="11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</row>
    <row r="949" spans="1:32" ht="11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</row>
    <row r="950" spans="1:32" ht="11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</row>
    <row r="951" spans="1:32" ht="11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</row>
    <row r="952" spans="1:32" ht="11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</row>
    <row r="953" spans="1:32" ht="11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</row>
    <row r="954" spans="1:32" ht="11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</row>
    <row r="955" spans="1:32" ht="11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</row>
    <row r="956" spans="1:32" ht="11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</row>
    <row r="957" spans="1:32" ht="11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</row>
    <row r="958" spans="1:32" ht="11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</row>
    <row r="959" spans="1:32" ht="11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</row>
    <row r="960" spans="1:32" ht="11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</row>
    <row r="961" spans="1:32" ht="11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</row>
    <row r="962" spans="1:32" ht="11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</row>
    <row r="963" spans="1:32" ht="11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</row>
    <row r="964" spans="1:32" ht="11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</row>
    <row r="965" spans="1:32" ht="11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</row>
    <row r="966" spans="1:32" ht="11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</row>
    <row r="967" spans="1:32" ht="11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</row>
    <row r="968" spans="1:32" ht="11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</row>
    <row r="969" spans="1:32" ht="11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</row>
    <row r="970" spans="1:32" ht="11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</row>
    <row r="971" spans="1:32" ht="11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</row>
    <row r="972" spans="1:32" ht="11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</row>
    <row r="973" spans="1:32" ht="11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</row>
    <row r="974" spans="1:32" ht="11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</row>
    <row r="975" spans="1:32" ht="11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</row>
    <row r="976" spans="1:32" ht="11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</row>
    <row r="977" spans="1:32" ht="11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</row>
    <row r="978" spans="1:32" ht="11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</row>
    <row r="979" spans="1:32" ht="11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</row>
    <row r="980" spans="1:32" ht="11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</row>
    <row r="981" spans="1:32" ht="11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</row>
    <row r="982" spans="1:32" ht="11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</row>
    <row r="983" spans="1:32" ht="11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</row>
    <row r="984" spans="1:32" ht="11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</row>
    <row r="985" spans="1:32" ht="11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</row>
    <row r="986" spans="1:32" ht="11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</row>
    <row r="987" spans="1:32" ht="11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</row>
    <row r="988" spans="1:32" ht="11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</row>
    <row r="989" spans="1:32" ht="11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</row>
    <row r="990" spans="1:32" ht="11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</row>
    <row r="991" spans="1:32" ht="11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</row>
    <row r="992" spans="1:32" ht="11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</row>
    <row r="993" spans="1:32" ht="11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</row>
    <row r="994" spans="1:32" ht="11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</row>
    <row r="995" spans="1:32" ht="11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</row>
    <row r="996" spans="1:32" ht="11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</row>
    <row r="997" spans="1:32" ht="11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</row>
  </sheetData>
  <mergeCells count="30">
    <mergeCell ref="O46:P46"/>
    <mergeCell ref="O47:P47"/>
    <mergeCell ref="O32:P32"/>
    <mergeCell ref="O33:P33"/>
    <mergeCell ref="O34:P34"/>
    <mergeCell ref="O35:P35"/>
    <mergeCell ref="B45:D45"/>
    <mergeCell ref="E45:G45"/>
    <mergeCell ref="H45:J45"/>
    <mergeCell ref="K45:M45"/>
    <mergeCell ref="O18:P18"/>
    <mergeCell ref="O19:P19"/>
    <mergeCell ref="O20:P20"/>
    <mergeCell ref="O21:P21"/>
    <mergeCell ref="B31:D31"/>
    <mergeCell ref="E31:G31"/>
    <mergeCell ref="H31:J31"/>
    <mergeCell ref="K31:M31"/>
    <mergeCell ref="O6:P6"/>
    <mergeCell ref="O7:P7"/>
    <mergeCell ref="B17:D17"/>
    <mergeCell ref="E17:G17"/>
    <mergeCell ref="H17:J17"/>
    <mergeCell ref="K17:M17"/>
    <mergeCell ref="B3:D3"/>
    <mergeCell ref="E3:G3"/>
    <mergeCell ref="H3:J3"/>
    <mergeCell ref="K3:M3"/>
    <mergeCell ref="O4:P4"/>
    <mergeCell ref="O5:P5"/>
  </mergeCells>
  <pageMargins left="0.7" right="0.7" top="0.75" bottom="0.75" header="0" footer="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997"/>
  <sheetViews>
    <sheetView zoomScale="80" zoomScaleNormal="80" workbookViewId="0"/>
  </sheetViews>
  <sheetFormatPr defaultColWidth="14.44140625" defaultRowHeight="15" customHeight="1"/>
  <cols>
    <col min="1" max="32" width="9" style="4" customWidth="1"/>
    <col min="33" max="16384" width="14.44140625" style="4"/>
  </cols>
  <sheetData>
    <row r="1" spans="1:32" ht="14.2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3"/>
      <c r="AE1" s="3"/>
      <c r="AF1" s="3"/>
    </row>
    <row r="2" spans="1:32" ht="11.25" customHeight="1">
      <c r="A2" s="17" t="s">
        <v>24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2"/>
      <c r="T2" s="3"/>
      <c r="U2" s="3"/>
      <c r="V2" s="3"/>
      <c r="W2" s="2"/>
      <c r="X2" s="2"/>
      <c r="Y2" s="2"/>
      <c r="Z2" s="2"/>
      <c r="AA2" s="2"/>
      <c r="AB2" s="2"/>
      <c r="AC2" s="2"/>
      <c r="AD2" s="2"/>
      <c r="AE2" s="2"/>
      <c r="AF2" s="2"/>
    </row>
    <row r="3" spans="1:32" ht="11.25" customHeight="1">
      <c r="A3" s="6"/>
      <c r="B3" s="26" t="s">
        <v>14</v>
      </c>
      <c r="C3" s="27"/>
      <c r="D3" s="28"/>
      <c r="E3" s="29" t="s">
        <v>8</v>
      </c>
      <c r="F3" s="30"/>
      <c r="G3" s="31"/>
      <c r="H3" s="32" t="s">
        <v>18</v>
      </c>
      <c r="I3" s="33"/>
      <c r="J3" s="34"/>
      <c r="K3" s="35" t="s">
        <v>19</v>
      </c>
      <c r="L3" s="36"/>
      <c r="M3" s="37"/>
      <c r="N3" s="6"/>
      <c r="O3" s="6"/>
      <c r="P3" s="6"/>
      <c r="Q3" s="7" t="s">
        <v>4</v>
      </c>
      <c r="R3" s="8" t="s">
        <v>0</v>
      </c>
      <c r="S3" s="2"/>
      <c r="T3" s="3"/>
      <c r="U3" s="3"/>
      <c r="V3" s="3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ht="11.25" customHeight="1">
      <c r="A4" s="9" t="s">
        <v>5</v>
      </c>
      <c r="B4" s="7" t="s">
        <v>1</v>
      </c>
      <c r="C4" s="7" t="s">
        <v>2</v>
      </c>
      <c r="D4" s="7" t="s">
        <v>3</v>
      </c>
      <c r="E4" s="7" t="s">
        <v>1</v>
      </c>
      <c r="F4" s="7" t="s">
        <v>2</v>
      </c>
      <c r="G4" s="7" t="s">
        <v>3</v>
      </c>
      <c r="H4" s="7" t="s">
        <v>1</v>
      </c>
      <c r="I4" s="7" t="s">
        <v>2</v>
      </c>
      <c r="J4" s="7" t="s">
        <v>3</v>
      </c>
      <c r="K4" s="7" t="s">
        <v>1</v>
      </c>
      <c r="L4" s="7" t="s">
        <v>2</v>
      </c>
      <c r="M4" s="7" t="s">
        <v>3</v>
      </c>
      <c r="N4" s="6"/>
      <c r="O4" s="38" t="s">
        <v>14</v>
      </c>
      <c r="P4" s="39"/>
      <c r="Q4" s="7">
        <f>AVERAGE(D5:D14)</f>
        <v>4.1666666666666664E-2</v>
      </c>
      <c r="R4" s="7">
        <f>STDEV(D5:D14)/SQRT(6)</f>
        <v>2.4056261216234408E-2</v>
      </c>
      <c r="S4" s="2"/>
      <c r="T4" s="3"/>
      <c r="U4" s="3"/>
      <c r="V4" s="3"/>
      <c r="W4" s="2"/>
      <c r="X4" s="2"/>
      <c r="Y4" s="2"/>
      <c r="Z4" s="2"/>
      <c r="AA4" s="2"/>
      <c r="AB4" s="2"/>
      <c r="AC4" s="2"/>
      <c r="AD4" s="2"/>
      <c r="AE4" s="2"/>
      <c r="AF4" s="2"/>
    </row>
    <row r="5" spans="1:32" ht="11.25" customHeight="1">
      <c r="A5" s="7">
        <v>1</v>
      </c>
      <c r="B5" s="7">
        <v>1</v>
      </c>
      <c r="C5" s="7">
        <v>24</v>
      </c>
      <c r="D5" s="7">
        <f t="shared" ref="D5:D8" si="0">B5/C5</f>
        <v>4.1666666666666664E-2</v>
      </c>
      <c r="E5" s="7">
        <v>2</v>
      </c>
      <c r="F5" s="7">
        <v>24</v>
      </c>
      <c r="G5" s="7">
        <f t="shared" ref="G5:G8" si="1">E5/F5</f>
        <v>8.3333333333333329E-2</v>
      </c>
      <c r="H5" s="18">
        <v>0</v>
      </c>
      <c r="I5" s="7">
        <v>24</v>
      </c>
      <c r="J5" s="7">
        <f t="shared" ref="J5:J8" si="2">H5/I5</f>
        <v>0</v>
      </c>
      <c r="K5" s="18">
        <v>0</v>
      </c>
      <c r="L5" s="7">
        <v>24</v>
      </c>
      <c r="M5" s="7">
        <f t="shared" ref="M5:M8" si="3">K5/L5</f>
        <v>0</v>
      </c>
      <c r="N5" s="6"/>
      <c r="O5" s="24" t="s">
        <v>7</v>
      </c>
      <c r="P5" s="25"/>
      <c r="Q5" s="7">
        <f>AVERAGE(G5:G14)</f>
        <v>4.1666666666666664E-2</v>
      </c>
      <c r="R5" s="7">
        <f>STDEV(D6:D15)/SQRT(6)</f>
        <v>2.9462782549439487E-2</v>
      </c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2" ht="11.25" customHeight="1">
      <c r="A6" s="7">
        <v>2</v>
      </c>
      <c r="B6" s="7">
        <v>3</v>
      </c>
      <c r="C6" s="7">
        <v>24</v>
      </c>
      <c r="D6" s="7">
        <f t="shared" si="0"/>
        <v>0.125</v>
      </c>
      <c r="E6" s="7">
        <v>2</v>
      </c>
      <c r="F6" s="7">
        <v>24</v>
      </c>
      <c r="G6" s="7">
        <f t="shared" si="1"/>
        <v>8.3333333333333329E-2</v>
      </c>
      <c r="H6" s="18">
        <v>1</v>
      </c>
      <c r="I6" s="7">
        <v>24</v>
      </c>
      <c r="J6" s="7">
        <f t="shared" si="2"/>
        <v>4.1666666666666664E-2</v>
      </c>
      <c r="K6" s="18">
        <v>1</v>
      </c>
      <c r="L6" s="7">
        <v>24</v>
      </c>
      <c r="M6" s="7">
        <f t="shared" si="3"/>
        <v>4.1666666666666664E-2</v>
      </c>
      <c r="N6" s="6"/>
      <c r="O6" s="40" t="s">
        <v>18</v>
      </c>
      <c r="P6" s="40"/>
      <c r="Q6" s="7">
        <f>AVERAGE(J5:J14)</f>
        <v>6.25E-2</v>
      </c>
      <c r="R6" s="7">
        <f>STDEV(J5:J14)/SQRT(6)</f>
        <v>4.0492721491981264E-2</v>
      </c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</row>
    <row r="7" spans="1:32" ht="11.25" customHeight="1">
      <c r="A7" s="7">
        <v>3</v>
      </c>
      <c r="B7" s="7">
        <v>0</v>
      </c>
      <c r="C7" s="7">
        <v>24</v>
      </c>
      <c r="D7" s="7">
        <f t="shared" si="0"/>
        <v>0</v>
      </c>
      <c r="E7" s="7">
        <v>0</v>
      </c>
      <c r="F7" s="7">
        <v>24</v>
      </c>
      <c r="G7" s="7">
        <f t="shared" si="1"/>
        <v>0</v>
      </c>
      <c r="H7" s="18">
        <v>5</v>
      </c>
      <c r="I7" s="7">
        <v>24</v>
      </c>
      <c r="J7" s="7">
        <f t="shared" si="2"/>
        <v>0.20833333333333334</v>
      </c>
      <c r="K7" s="18">
        <v>3</v>
      </c>
      <c r="L7" s="7">
        <v>24</v>
      </c>
      <c r="M7" s="7">
        <f t="shared" si="3"/>
        <v>0.125</v>
      </c>
      <c r="N7" s="6"/>
      <c r="O7" s="41" t="s">
        <v>19</v>
      </c>
      <c r="P7" s="41"/>
      <c r="Q7" s="7">
        <f>AVERAGE(M5:M14)</f>
        <v>5.2083333333333329E-2</v>
      </c>
      <c r="R7" s="7">
        <f>STDEV(M5:M14)/SQRT(6)</f>
        <v>2.1404215288086732E-2</v>
      </c>
      <c r="S7" s="2"/>
      <c r="T7" s="2"/>
      <c r="U7" s="5" t="s">
        <v>4</v>
      </c>
      <c r="V7" s="2"/>
      <c r="W7" s="2"/>
      <c r="X7" s="2"/>
      <c r="Y7" s="2"/>
      <c r="Z7" s="1" t="s">
        <v>0</v>
      </c>
      <c r="AA7" s="2"/>
      <c r="AB7" s="2"/>
      <c r="AC7" s="2"/>
      <c r="AD7" s="2"/>
      <c r="AE7" s="2"/>
      <c r="AF7" s="2"/>
    </row>
    <row r="8" spans="1:32" ht="11.25" customHeight="1">
      <c r="A8" s="7">
        <v>4</v>
      </c>
      <c r="B8" s="7">
        <v>0</v>
      </c>
      <c r="C8" s="7">
        <v>24</v>
      </c>
      <c r="D8" s="7">
        <f t="shared" si="0"/>
        <v>0</v>
      </c>
      <c r="E8" s="7">
        <v>0</v>
      </c>
      <c r="F8" s="7">
        <v>24</v>
      </c>
      <c r="G8" s="7">
        <f t="shared" si="1"/>
        <v>0</v>
      </c>
      <c r="H8" s="18">
        <v>0</v>
      </c>
      <c r="I8" s="7">
        <v>24</v>
      </c>
      <c r="J8" s="7">
        <f t="shared" si="2"/>
        <v>0</v>
      </c>
      <c r="K8" s="18">
        <v>1</v>
      </c>
      <c r="L8" s="7">
        <v>24</v>
      </c>
      <c r="M8" s="7">
        <f t="shared" si="3"/>
        <v>4.1666666666666664E-2</v>
      </c>
      <c r="N8" s="6"/>
      <c r="O8" s="6"/>
      <c r="P8" s="6"/>
      <c r="Q8" s="6"/>
      <c r="R8" s="6"/>
      <c r="S8" s="2"/>
      <c r="T8" s="1"/>
      <c r="U8" s="1">
        <v>10</v>
      </c>
      <c r="V8" s="1">
        <v>50</v>
      </c>
      <c r="W8" s="1">
        <v>100</v>
      </c>
      <c r="X8" s="16">
        <v>500</v>
      </c>
      <c r="Y8" s="1"/>
      <c r="Z8" s="1">
        <v>10</v>
      </c>
      <c r="AA8" s="1">
        <v>50</v>
      </c>
      <c r="AB8" s="1">
        <v>100</v>
      </c>
      <c r="AC8" s="16">
        <v>500</v>
      </c>
      <c r="AD8" s="2"/>
      <c r="AE8" s="2"/>
      <c r="AF8" s="2"/>
    </row>
    <row r="9" spans="1:32" ht="11.25" customHeight="1">
      <c r="A9" s="7">
        <v>5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6"/>
      <c r="O9" s="6"/>
      <c r="P9" s="6"/>
      <c r="Q9" s="6"/>
      <c r="R9" s="6"/>
      <c r="S9" s="2"/>
      <c r="T9" s="21" t="s">
        <v>20</v>
      </c>
      <c r="U9" s="2">
        <f t="shared" ref="U9:U10" si="4">Q4</f>
        <v>4.1666666666666664E-2</v>
      </c>
      <c r="V9" s="2">
        <f t="shared" ref="V9:V12" si="5">Q18</f>
        <v>0.125</v>
      </c>
      <c r="W9" s="2">
        <f t="shared" ref="W9:W12" si="6">Q32</f>
        <v>0.25</v>
      </c>
      <c r="X9" s="12">
        <f t="shared" ref="X9:X12" si="7">Q46</f>
        <v>0</v>
      </c>
      <c r="Y9" s="2"/>
      <c r="Z9" s="2">
        <f t="shared" ref="Z9:Z12" si="8">R4</f>
        <v>2.4056261216234408E-2</v>
      </c>
      <c r="AA9" s="2">
        <f t="shared" ref="AA9:AA12" si="9">R18</f>
        <v>3.1056499687497078E-2</v>
      </c>
      <c r="AB9" s="2">
        <f t="shared" ref="AB9:AB12" si="10">R32</f>
        <v>4.1666666666666671E-2</v>
      </c>
      <c r="AC9" s="12">
        <f t="shared" ref="AC9" si="11">R46</f>
        <v>0</v>
      </c>
      <c r="AD9" s="2"/>
      <c r="AE9" s="2"/>
      <c r="AF9" s="2"/>
    </row>
    <row r="10" spans="1:32" ht="11.25" customHeight="1">
      <c r="A10" s="7">
        <v>6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6"/>
      <c r="O10" s="6"/>
      <c r="P10" s="6"/>
      <c r="Q10" s="6"/>
      <c r="R10" s="6"/>
      <c r="S10" s="2"/>
      <c r="T10" s="22" t="s">
        <v>21</v>
      </c>
      <c r="U10" s="2">
        <f t="shared" si="4"/>
        <v>4.1666666666666664E-2</v>
      </c>
      <c r="V10" s="2">
        <f t="shared" si="5"/>
        <v>0.125</v>
      </c>
      <c r="W10" s="2">
        <f t="shared" si="6"/>
        <v>0.27083333333333331</v>
      </c>
      <c r="X10" s="12">
        <f t="shared" si="7"/>
        <v>0</v>
      </c>
      <c r="Y10" s="2"/>
      <c r="Z10" s="2">
        <f t="shared" si="8"/>
        <v>2.9462782549439487E-2</v>
      </c>
      <c r="AA10" s="2">
        <f t="shared" si="9"/>
        <v>2.5983731852596809E-2</v>
      </c>
      <c r="AB10" s="2">
        <f t="shared" si="10"/>
        <v>5.1031036307982884E-2</v>
      </c>
      <c r="AC10" s="12">
        <f>R47</f>
        <v>0</v>
      </c>
      <c r="AD10" s="2"/>
      <c r="AE10" s="2"/>
      <c r="AF10" s="2"/>
    </row>
    <row r="11" spans="1:32" ht="11.25" customHeight="1">
      <c r="A11" s="7">
        <v>7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6"/>
      <c r="O11" s="6"/>
      <c r="P11" s="6"/>
      <c r="Q11" s="6"/>
      <c r="R11" s="6"/>
      <c r="S11" s="2"/>
      <c r="T11" s="20" t="s">
        <v>22</v>
      </c>
      <c r="U11" s="2">
        <f>Q6</f>
        <v>6.25E-2</v>
      </c>
      <c r="V11" s="2">
        <f t="shared" si="5"/>
        <v>0.15625</v>
      </c>
      <c r="W11" s="2">
        <f t="shared" si="6"/>
        <v>0.29166666666666669</v>
      </c>
      <c r="X11" s="12">
        <f t="shared" si="7"/>
        <v>0</v>
      </c>
      <c r="Y11" s="2"/>
      <c r="Z11" s="2">
        <f t="shared" si="8"/>
        <v>4.0492721491981264E-2</v>
      </c>
      <c r="AA11" s="2">
        <f t="shared" si="9"/>
        <v>4.6842838761222381E-2</v>
      </c>
      <c r="AB11" s="2">
        <f t="shared" si="10"/>
        <v>7.3493091974016392E-2</v>
      </c>
      <c r="AC11" s="12">
        <f t="shared" ref="AC11:AC12" si="12">R48</f>
        <v>0</v>
      </c>
      <c r="AD11" s="2"/>
      <c r="AE11" s="2"/>
      <c r="AF11" s="2"/>
    </row>
    <row r="12" spans="1:32" ht="11.25" customHeight="1">
      <c r="A12" s="7">
        <v>8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6"/>
      <c r="O12" s="6"/>
      <c r="P12" s="6"/>
      <c r="Q12" s="6"/>
      <c r="R12" s="6"/>
      <c r="S12" s="2"/>
      <c r="T12" s="23" t="s">
        <v>23</v>
      </c>
      <c r="U12" s="2">
        <f>Q7</f>
        <v>5.2083333333333329E-2</v>
      </c>
      <c r="V12" s="2">
        <f t="shared" si="5"/>
        <v>0.13541666666666666</v>
      </c>
      <c r="W12" s="2">
        <f t="shared" si="6"/>
        <v>0.27083333333333331</v>
      </c>
      <c r="X12" s="12">
        <f t="shared" si="7"/>
        <v>0</v>
      </c>
      <c r="Y12" s="2"/>
      <c r="Z12" s="2">
        <f t="shared" si="8"/>
        <v>2.1404215288086732E-2</v>
      </c>
      <c r="AA12" s="2">
        <f t="shared" si="9"/>
        <v>5.0794232077527084E-2</v>
      </c>
      <c r="AB12" s="2">
        <f t="shared" si="10"/>
        <v>6.4400128440942422E-2</v>
      </c>
      <c r="AC12" s="12">
        <f t="shared" si="12"/>
        <v>0</v>
      </c>
      <c r="AD12" s="2"/>
      <c r="AE12" s="2"/>
      <c r="AF12" s="2"/>
    </row>
    <row r="13" spans="1:32" ht="11.25" customHeight="1">
      <c r="A13" s="7">
        <v>9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6"/>
      <c r="O13" s="6"/>
      <c r="P13" s="6"/>
      <c r="Q13" s="6"/>
      <c r="R13" s="6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</row>
    <row r="14" spans="1:32" ht="11.25" customHeight="1">
      <c r="A14" s="7">
        <v>10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6"/>
      <c r="O14" s="6"/>
      <c r="P14" s="6"/>
      <c r="Q14" s="6"/>
      <c r="R14" s="6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</row>
    <row r="15" spans="1:32" ht="11.2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</row>
    <row r="16" spans="1:32" ht="11.25" customHeight="1">
      <c r="A16" s="5" t="s">
        <v>13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1:32" ht="11.25" customHeight="1">
      <c r="A17" s="6"/>
      <c r="B17" s="26" t="s">
        <v>15</v>
      </c>
      <c r="C17" s="27"/>
      <c r="D17" s="28"/>
      <c r="E17" s="29" t="s">
        <v>9</v>
      </c>
      <c r="F17" s="30"/>
      <c r="G17" s="31"/>
      <c r="H17" s="42" t="s">
        <v>15</v>
      </c>
      <c r="I17" s="33"/>
      <c r="J17" s="34"/>
      <c r="K17" s="43" t="s">
        <v>9</v>
      </c>
      <c r="L17" s="36"/>
      <c r="M17" s="37"/>
      <c r="N17" s="6"/>
      <c r="O17" s="6"/>
      <c r="P17" s="6"/>
      <c r="Q17" s="7" t="s">
        <v>4</v>
      </c>
      <c r="R17" s="8" t="s">
        <v>0</v>
      </c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spans="1:32" ht="11.25" customHeight="1">
      <c r="A18" s="9" t="s">
        <v>5</v>
      </c>
      <c r="B18" s="7" t="s">
        <v>1</v>
      </c>
      <c r="C18" s="7" t="s">
        <v>2</v>
      </c>
      <c r="D18" s="7" t="s">
        <v>3</v>
      </c>
      <c r="E18" s="7" t="s">
        <v>1</v>
      </c>
      <c r="F18" s="7" t="s">
        <v>2</v>
      </c>
      <c r="G18" s="7" t="s">
        <v>3</v>
      </c>
      <c r="H18" s="7" t="s">
        <v>1</v>
      </c>
      <c r="I18" s="7" t="s">
        <v>2</v>
      </c>
      <c r="J18" s="7" t="s">
        <v>3</v>
      </c>
      <c r="K18" s="7" t="s">
        <v>1</v>
      </c>
      <c r="L18" s="7" t="s">
        <v>2</v>
      </c>
      <c r="M18" s="7" t="s">
        <v>3</v>
      </c>
      <c r="N18" s="6"/>
      <c r="O18" s="38" t="s">
        <v>14</v>
      </c>
      <c r="P18" s="39"/>
      <c r="Q18" s="7">
        <f>AVERAGE(D19:D28)</f>
        <v>0.125</v>
      </c>
      <c r="R18" s="7">
        <f>STDEV(D19:D28)/SQRT(6)</f>
        <v>3.1056499687497078E-2</v>
      </c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spans="1:32" ht="11.25" customHeight="1">
      <c r="A19" s="7">
        <v>1</v>
      </c>
      <c r="B19" s="7">
        <v>1</v>
      </c>
      <c r="C19" s="7">
        <v>24</v>
      </c>
      <c r="D19" s="7">
        <f t="shared" ref="D19:D22" si="13">B19/C19</f>
        <v>4.1666666666666664E-2</v>
      </c>
      <c r="E19" s="7">
        <v>2</v>
      </c>
      <c r="F19" s="7">
        <v>24</v>
      </c>
      <c r="G19" s="7">
        <f t="shared" ref="G19:G22" si="14">E19/F19</f>
        <v>8.3333333333333329E-2</v>
      </c>
      <c r="H19" s="18">
        <v>2</v>
      </c>
      <c r="I19" s="7">
        <v>24</v>
      </c>
      <c r="J19" s="7">
        <f t="shared" ref="J19:J22" si="15">H19/I19</f>
        <v>8.3333333333333329E-2</v>
      </c>
      <c r="K19" s="18">
        <v>2</v>
      </c>
      <c r="L19" s="7">
        <v>24</v>
      </c>
      <c r="M19" s="7">
        <f t="shared" ref="M19:M22" si="16">K19/L19</f>
        <v>8.3333333333333329E-2</v>
      </c>
      <c r="N19" s="6"/>
      <c r="O19" s="44" t="s">
        <v>7</v>
      </c>
      <c r="P19" s="25"/>
      <c r="Q19" s="7">
        <f>AVERAGE(G19:G28)</f>
        <v>0.125</v>
      </c>
      <c r="R19" s="7">
        <f>STDEV(D20:D29)/SQRT(6)</f>
        <v>2.5983731852596809E-2</v>
      </c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spans="1:32" ht="11.25" customHeight="1">
      <c r="A20" s="7">
        <v>2</v>
      </c>
      <c r="B20" s="7">
        <v>4</v>
      </c>
      <c r="C20" s="7">
        <v>24</v>
      </c>
      <c r="D20" s="7">
        <f t="shared" si="13"/>
        <v>0.16666666666666666</v>
      </c>
      <c r="E20" s="7">
        <v>3</v>
      </c>
      <c r="F20" s="7">
        <v>24</v>
      </c>
      <c r="G20" s="7">
        <f t="shared" si="14"/>
        <v>0.125</v>
      </c>
      <c r="H20" s="18">
        <v>1</v>
      </c>
      <c r="I20" s="7">
        <v>24</v>
      </c>
      <c r="J20" s="7">
        <f t="shared" si="15"/>
        <v>4.1666666666666664E-2</v>
      </c>
      <c r="K20" s="18">
        <v>0</v>
      </c>
      <c r="L20" s="7">
        <v>24</v>
      </c>
      <c r="M20" s="7">
        <f t="shared" si="16"/>
        <v>0</v>
      </c>
      <c r="N20" s="6"/>
      <c r="O20" s="40" t="s">
        <v>18</v>
      </c>
      <c r="P20" s="40"/>
      <c r="Q20" s="7">
        <f>AVERAGE(J19:J28)</f>
        <v>0.15625</v>
      </c>
      <c r="R20" s="7">
        <f>STDEV(J19:J28)/SQRT(6)</f>
        <v>4.6842838761222381E-2</v>
      </c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spans="1:32" ht="11.25" customHeight="1">
      <c r="A21" s="7">
        <v>3</v>
      </c>
      <c r="B21" s="7">
        <v>2</v>
      </c>
      <c r="C21" s="7">
        <v>24</v>
      </c>
      <c r="D21" s="7">
        <f t="shared" si="13"/>
        <v>8.3333333333333329E-2</v>
      </c>
      <c r="E21" s="7">
        <v>3</v>
      </c>
      <c r="F21" s="7">
        <v>24</v>
      </c>
      <c r="G21" s="7">
        <f t="shared" si="14"/>
        <v>0.125</v>
      </c>
      <c r="H21" s="18">
        <v>7</v>
      </c>
      <c r="I21" s="7">
        <v>24</v>
      </c>
      <c r="J21" s="7">
        <f t="shared" si="15"/>
        <v>0.29166666666666669</v>
      </c>
      <c r="K21" s="18">
        <v>7</v>
      </c>
      <c r="L21" s="7">
        <v>24</v>
      </c>
      <c r="M21" s="7">
        <f t="shared" si="16"/>
        <v>0.29166666666666669</v>
      </c>
      <c r="N21" s="6"/>
      <c r="O21" s="45" t="s">
        <v>19</v>
      </c>
      <c r="P21" s="45"/>
      <c r="Q21" s="7">
        <f>AVERAGE(M19:M28)</f>
        <v>0.13541666666666666</v>
      </c>
      <c r="R21" s="7">
        <f>STDEV(M19:M28)/SQRT(6)</f>
        <v>5.0794232077527084E-2</v>
      </c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spans="1:32" ht="11.25" customHeight="1">
      <c r="A22" s="7">
        <v>4</v>
      </c>
      <c r="B22" s="7">
        <v>5</v>
      </c>
      <c r="C22" s="7">
        <v>24</v>
      </c>
      <c r="D22" s="7">
        <f t="shared" si="13"/>
        <v>0.20833333333333334</v>
      </c>
      <c r="E22" s="7">
        <v>4</v>
      </c>
      <c r="F22" s="7">
        <v>24</v>
      </c>
      <c r="G22" s="7">
        <f t="shared" si="14"/>
        <v>0.16666666666666666</v>
      </c>
      <c r="H22" s="18">
        <v>5</v>
      </c>
      <c r="I22" s="7">
        <v>24</v>
      </c>
      <c r="J22" s="7">
        <f t="shared" si="15"/>
        <v>0.20833333333333334</v>
      </c>
      <c r="K22" s="18">
        <v>4</v>
      </c>
      <c r="L22" s="7">
        <v>24</v>
      </c>
      <c r="M22" s="7">
        <f t="shared" si="16"/>
        <v>0.16666666666666666</v>
      </c>
      <c r="N22" s="6"/>
      <c r="O22" s="6"/>
      <c r="P22" s="6"/>
      <c r="Q22" s="6"/>
      <c r="R22" s="6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spans="1:32" ht="11.25" customHeight="1">
      <c r="A23" s="7">
        <v>5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6"/>
      <c r="O23" s="6"/>
      <c r="P23" s="6"/>
      <c r="Q23" s="6"/>
      <c r="R23" s="6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spans="1:32" ht="11.25" customHeight="1">
      <c r="A24" s="7">
        <v>6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6"/>
      <c r="O24" s="6"/>
      <c r="P24" s="6"/>
      <c r="Q24" s="6"/>
      <c r="R24" s="6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spans="1:32" ht="11.25" customHeight="1">
      <c r="A25" s="7">
        <v>7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6"/>
      <c r="O25" s="6"/>
      <c r="P25" s="6"/>
      <c r="Q25" s="6"/>
      <c r="R25" s="6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 spans="1:32" ht="11.25" customHeight="1">
      <c r="A26" s="7">
        <v>8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6"/>
      <c r="O26" s="6"/>
      <c r="P26" s="6"/>
      <c r="Q26" s="6"/>
      <c r="R26" s="6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spans="1:32" ht="11.25" customHeight="1">
      <c r="A27" s="7">
        <v>9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6"/>
      <c r="O27" s="6"/>
      <c r="P27" s="6"/>
      <c r="Q27" s="6"/>
      <c r="R27" s="6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spans="1:32" ht="11.25" customHeight="1">
      <c r="A28" s="7">
        <v>10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6"/>
      <c r="O28" s="6"/>
      <c r="P28" s="6"/>
      <c r="Q28" s="6"/>
      <c r="R28" s="6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spans="1:32" ht="11.2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spans="1:32" ht="11.25" customHeight="1">
      <c r="A30" s="5" t="s">
        <v>13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</row>
    <row r="31" spans="1:32" ht="11.25" customHeight="1">
      <c r="A31" s="6"/>
      <c r="B31" s="26" t="s">
        <v>16</v>
      </c>
      <c r="C31" s="27"/>
      <c r="D31" s="28"/>
      <c r="E31" s="29" t="s">
        <v>10</v>
      </c>
      <c r="F31" s="30"/>
      <c r="G31" s="31"/>
      <c r="H31" s="42" t="s">
        <v>16</v>
      </c>
      <c r="I31" s="33"/>
      <c r="J31" s="34"/>
      <c r="K31" s="43" t="s">
        <v>10</v>
      </c>
      <c r="L31" s="36"/>
      <c r="M31" s="37"/>
      <c r="N31" s="6"/>
      <c r="O31" s="6"/>
      <c r="P31" s="6"/>
      <c r="Q31" s="7" t="s">
        <v>4</v>
      </c>
      <c r="R31" s="8" t="s">
        <v>0</v>
      </c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2" ht="11.25" customHeight="1">
      <c r="A32" s="9" t="s">
        <v>5</v>
      </c>
      <c r="B32" s="7" t="s">
        <v>1</v>
      </c>
      <c r="C32" s="7" t="s">
        <v>2</v>
      </c>
      <c r="D32" s="7" t="s">
        <v>3</v>
      </c>
      <c r="E32" s="7" t="s">
        <v>1</v>
      </c>
      <c r="F32" s="7" t="s">
        <v>2</v>
      </c>
      <c r="G32" s="7" t="s">
        <v>3</v>
      </c>
      <c r="H32" s="7" t="s">
        <v>1</v>
      </c>
      <c r="I32" s="7" t="s">
        <v>2</v>
      </c>
      <c r="J32" s="7" t="s">
        <v>3</v>
      </c>
      <c r="K32" s="7" t="s">
        <v>1</v>
      </c>
      <c r="L32" s="7" t="s">
        <v>2</v>
      </c>
      <c r="M32" s="7" t="s">
        <v>3</v>
      </c>
      <c r="N32" s="6"/>
      <c r="O32" s="46" t="s">
        <v>14</v>
      </c>
      <c r="P32" s="39"/>
      <c r="Q32" s="7">
        <f>AVERAGE(D33:D42)</f>
        <v>0.25</v>
      </c>
      <c r="R32" s="7">
        <f>STDEV(D33:D42)/SQRT(6)</f>
        <v>4.1666666666666671E-2</v>
      </c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ht="11.25" customHeight="1">
      <c r="A33" s="7">
        <v>1</v>
      </c>
      <c r="B33" s="49">
        <v>6</v>
      </c>
      <c r="C33" s="7">
        <v>24</v>
      </c>
      <c r="D33" s="7">
        <f t="shared" ref="D33:D36" si="17">B33/C33</f>
        <v>0.25</v>
      </c>
      <c r="E33" s="49">
        <v>5</v>
      </c>
      <c r="F33" s="7">
        <v>24</v>
      </c>
      <c r="G33" s="7">
        <f t="shared" ref="G33:G36" si="18">E33/F33</f>
        <v>0.20833333333333334</v>
      </c>
      <c r="H33" s="19">
        <v>5</v>
      </c>
      <c r="I33" s="7">
        <v>24</v>
      </c>
      <c r="J33" s="7">
        <f t="shared" ref="J33:J36" si="19">H33/I33</f>
        <v>0.20833333333333334</v>
      </c>
      <c r="K33" s="19">
        <v>4</v>
      </c>
      <c r="L33" s="7">
        <v>24</v>
      </c>
      <c r="M33" s="7">
        <f t="shared" ref="M33:M36" si="20">K33/L33</f>
        <v>0.16666666666666666</v>
      </c>
      <c r="N33" s="6"/>
      <c r="O33" s="44" t="s">
        <v>7</v>
      </c>
      <c r="P33" s="25"/>
      <c r="Q33" s="7">
        <f>AVERAGE(G33:G42)</f>
        <v>0.27083333333333331</v>
      </c>
      <c r="R33" s="7">
        <f>STDEV(D34:D43)/SQRT(6)</f>
        <v>5.1031036307982884E-2</v>
      </c>
      <c r="S33" s="2"/>
      <c r="T33" s="2"/>
      <c r="U33" s="2" t="s">
        <v>17</v>
      </c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ht="11.25" customHeight="1">
      <c r="A34" s="7">
        <v>2</v>
      </c>
      <c r="B34" s="49">
        <v>6</v>
      </c>
      <c r="C34" s="7">
        <v>24</v>
      </c>
      <c r="D34" s="7">
        <f t="shared" si="17"/>
        <v>0.25</v>
      </c>
      <c r="E34" s="49">
        <v>8</v>
      </c>
      <c r="F34" s="7">
        <v>24</v>
      </c>
      <c r="G34" s="7">
        <f t="shared" si="18"/>
        <v>0.33333333333333331</v>
      </c>
      <c r="H34" s="19">
        <v>3</v>
      </c>
      <c r="I34" s="7">
        <v>24</v>
      </c>
      <c r="J34" s="7">
        <f t="shared" si="19"/>
        <v>0.125</v>
      </c>
      <c r="K34" s="19">
        <v>4</v>
      </c>
      <c r="L34" s="7">
        <v>24</v>
      </c>
      <c r="M34" s="7">
        <f t="shared" si="20"/>
        <v>0.16666666666666666</v>
      </c>
      <c r="N34" s="6"/>
      <c r="O34" s="40" t="s">
        <v>18</v>
      </c>
      <c r="P34" s="40"/>
      <c r="Q34" s="7">
        <f>AVERAGE(J33:J42)</f>
        <v>0.29166666666666669</v>
      </c>
      <c r="R34" s="7">
        <f>STDEV(J33:J42)/SQRT(6)</f>
        <v>7.3493091974016392E-2</v>
      </c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ht="11.25" customHeight="1">
      <c r="A35" s="7">
        <v>3</v>
      </c>
      <c r="B35" s="49">
        <v>3</v>
      </c>
      <c r="C35" s="7">
        <v>24</v>
      </c>
      <c r="D35" s="7">
        <f t="shared" si="17"/>
        <v>0.125</v>
      </c>
      <c r="E35" s="49">
        <v>3</v>
      </c>
      <c r="F35" s="7">
        <v>24</v>
      </c>
      <c r="G35" s="7">
        <f t="shared" si="18"/>
        <v>0.125</v>
      </c>
      <c r="H35" s="19">
        <v>13</v>
      </c>
      <c r="I35" s="7">
        <v>24</v>
      </c>
      <c r="J35" s="7">
        <f t="shared" si="19"/>
        <v>0.54166666666666663</v>
      </c>
      <c r="K35" s="19">
        <v>12</v>
      </c>
      <c r="L35" s="7">
        <v>24</v>
      </c>
      <c r="M35" s="7">
        <f t="shared" si="20"/>
        <v>0.5</v>
      </c>
      <c r="N35" s="6"/>
      <c r="O35" s="45" t="s">
        <v>19</v>
      </c>
      <c r="P35" s="45"/>
      <c r="Q35" s="7">
        <f>AVERAGE(M33:M42)</f>
        <v>0.27083333333333331</v>
      </c>
      <c r="R35" s="7">
        <f>STDEV(M33:M42)/SQRT(6)</f>
        <v>6.4400128440942422E-2</v>
      </c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1.25" customHeight="1">
      <c r="A36" s="7">
        <v>4</v>
      </c>
      <c r="B36" s="49">
        <v>9</v>
      </c>
      <c r="C36" s="7">
        <v>24</v>
      </c>
      <c r="D36" s="7">
        <f t="shared" si="17"/>
        <v>0.375</v>
      </c>
      <c r="E36" s="49">
        <v>10</v>
      </c>
      <c r="F36" s="7">
        <v>24</v>
      </c>
      <c r="G36" s="7">
        <f t="shared" si="18"/>
        <v>0.41666666666666669</v>
      </c>
      <c r="H36" s="19">
        <v>7</v>
      </c>
      <c r="I36" s="7">
        <v>24</v>
      </c>
      <c r="J36" s="7">
        <f t="shared" si="19"/>
        <v>0.29166666666666669</v>
      </c>
      <c r="K36" s="19">
        <v>6</v>
      </c>
      <c r="L36" s="7">
        <v>24</v>
      </c>
      <c r="M36" s="7">
        <f t="shared" si="20"/>
        <v>0.25</v>
      </c>
      <c r="N36" s="6"/>
      <c r="O36" s="6"/>
      <c r="P36" s="6"/>
      <c r="Q36" s="6"/>
      <c r="R36" s="6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ht="11.25" customHeight="1">
      <c r="A37" s="7">
        <v>5</v>
      </c>
      <c r="B37" s="50"/>
      <c r="C37" s="7"/>
      <c r="D37" s="7"/>
      <c r="E37" s="50"/>
      <c r="F37" s="7"/>
      <c r="G37" s="7"/>
      <c r="H37" s="7"/>
      <c r="I37" s="7"/>
      <c r="J37" s="7"/>
      <c r="K37" s="7"/>
      <c r="L37" s="7"/>
      <c r="M37" s="7"/>
      <c r="N37" s="6"/>
      <c r="O37" s="6"/>
      <c r="P37" s="6"/>
      <c r="Q37" s="6"/>
      <c r="R37" s="6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</row>
    <row r="38" spans="1:32" ht="11.25" customHeight="1">
      <c r="A38" s="7">
        <v>6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6"/>
      <c r="O38" s="6"/>
      <c r="P38" s="6"/>
      <c r="Q38" s="6"/>
      <c r="R38" s="6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</row>
    <row r="39" spans="1:32" ht="11.25" customHeight="1">
      <c r="A39" s="7">
        <v>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6"/>
      <c r="O39" s="6"/>
      <c r="P39" s="6"/>
      <c r="Q39" s="6"/>
      <c r="R39" s="6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</row>
    <row r="40" spans="1:32" ht="11.25" customHeight="1">
      <c r="A40" s="7">
        <v>8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6"/>
      <c r="O40" s="6"/>
      <c r="P40" s="6"/>
      <c r="Q40" s="6"/>
      <c r="R40" s="6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</row>
    <row r="41" spans="1:32" ht="11.25" customHeight="1">
      <c r="A41" s="7">
        <v>9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6"/>
      <c r="O41" s="6"/>
      <c r="P41" s="6"/>
      <c r="Q41" s="6"/>
      <c r="R41" s="6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</row>
    <row r="42" spans="1:32" ht="11.25" customHeight="1">
      <c r="A42" s="7">
        <v>10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6"/>
      <c r="O42" s="6"/>
      <c r="P42" s="6"/>
      <c r="Q42" s="6"/>
      <c r="R42" s="6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 spans="1:32" ht="11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ht="11.25" customHeight="1">
      <c r="A44" s="10" t="s">
        <v>13</v>
      </c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2"/>
      <c r="O44" s="12"/>
      <c r="P44" s="12"/>
      <c r="Q44" s="12"/>
      <c r="R44" s="1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ht="11.25" customHeight="1">
      <c r="A45" s="11"/>
      <c r="B45" s="43" t="s">
        <v>6</v>
      </c>
      <c r="C45" s="36"/>
      <c r="D45" s="37"/>
      <c r="E45" s="43" t="s">
        <v>11</v>
      </c>
      <c r="F45" s="36"/>
      <c r="G45" s="37"/>
      <c r="H45" s="43" t="s">
        <v>6</v>
      </c>
      <c r="I45" s="36"/>
      <c r="J45" s="37"/>
      <c r="K45" s="43" t="s">
        <v>11</v>
      </c>
      <c r="L45" s="36"/>
      <c r="M45" s="37"/>
      <c r="N45" s="12"/>
      <c r="O45" s="11"/>
      <c r="P45" s="11"/>
      <c r="Q45" s="13" t="s">
        <v>4</v>
      </c>
      <c r="R45" s="14" t="s">
        <v>0</v>
      </c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ht="11.25" customHeight="1">
      <c r="A46" s="15" t="s">
        <v>5</v>
      </c>
      <c r="B46" s="13" t="s">
        <v>1</v>
      </c>
      <c r="C46" s="13" t="s">
        <v>2</v>
      </c>
      <c r="D46" s="13" t="s">
        <v>3</v>
      </c>
      <c r="E46" s="13" t="s">
        <v>1</v>
      </c>
      <c r="F46" s="13" t="s">
        <v>2</v>
      </c>
      <c r="G46" s="13" t="s">
        <v>3</v>
      </c>
      <c r="H46" s="13" t="s">
        <v>1</v>
      </c>
      <c r="I46" s="13" t="s">
        <v>2</v>
      </c>
      <c r="J46" s="13" t="s">
        <v>3</v>
      </c>
      <c r="K46" s="13" t="s">
        <v>1</v>
      </c>
      <c r="L46" s="13" t="s">
        <v>2</v>
      </c>
      <c r="M46" s="13" t="s">
        <v>3</v>
      </c>
      <c r="N46" s="12"/>
      <c r="O46" s="43" t="s">
        <v>6</v>
      </c>
      <c r="P46" s="37"/>
      <c r="Q46" s="13">
        <f>AVERAGE(D47:D56)</f>
        <v>0</v>
      </c>
      <c r="R46" s="13">
        <f>STDEV(D47:D56)/SQRT(6)</f>
        <v>0</v>
      </c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ht="11.25" customHeight="1">
      <c r="A47" s="13">
        <v>1</v>
      </c>
      <c r="B47" s="13"/>
      <c r="C47" s="13">
        <v>24</v>
      </c>
      <c r="D47" s="13">
        <f t="shared" ref="D47:D52" si="21">B47/C47</f>
        <v>0</v>
      </c>
      <c r="E47" s="13"/>
      <c r="F47" s="13">
        <v>24</v>
      </c>
      <c r="G47" s="13">
        <f t="shared" ref="G47:G52" si="22">E47/F47</f>
        <v>0</v>
      </c>
      <c r="H47" s="13"/>
      <c r="I47" s="13">
        <v>24</v>
      </c>
      <c r="J47" s="13">
        <f t="shared" ref="J47:J52" si="23">H47/I47</f>
        <v>0</v>
      </c>
      <c r="K47" s="13"/>
      <c r="L47" s="13">
        <v>24</v>
      </c>
      <c r="M47" s="13">
        <f t="shared" ref="M47:M52" si="24">K47/L47</f>
        <v>0</v>
      </c>
      <c r="N47" s="12"/>
      <c r="O47" s="43" t="s">
        <v>12</v>
      </c>
      <c r="P47" s="37"/>
      <c r="Q47" s="13">
        <f>AVERAGE(G47:G56)</f>
        <v>0</v>
      </c>
      <c r="R47" s="13">
        <f>STDEV(D48:D57)/SQRT(6)</f>
        <v>0</v>
      </c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ht="11.25" customHeight="1">
      <c r="A48" s="13">
        <v>2</v>
      </c>
      <c r="B48" s="13"/>
      <c r="C48" s="13">
        <v>24</v>
      </c>
      <c r="D48" s="13">
        <f t="shared" si="21"/>
        <v>0</v>
      </c>
      <c r="E48" s="13"/>
      <c r="F48" s="13">
        <v>24</v>
      </c>
      <c r="G48" s="13">
        <f t="shared" si="22"/>
        <v>0</v>
      </c>
      <c r="H48" s="13"/>
      <c r="I48" s="13">
        <v>24</v>
      </c>
      <c r="J48" s="13">
        <f t="shared" si="23"/>
        <v>0</v>
      </c>
      <c r="K48" s="13"/>
      <c r="L48" s="13">
        <v>24</v>
      </c>
      <c r="M48" s="13">
        <f t="shared" si="24"/>
        <v>0</v>
      </c>
      <c r="N48" s="12"/>
      <c r="O48" s="12"/>
      <c r="P48" s="12"/>
      <c r="Q48" s="13">
        <f>AVERAGE(J47:J56)</f>
        <v>0</v>
      </c>
      <c r="R48" s="13">
        <f>STDEV(J47:J56)/SQRT(6)</f>
        <v>0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ht="11.25" customHeight="1">
      <c r="A49" s="13">
        <v>3</v>
      </c>
      <c r="B49" s="13"/>
      <c r="C49" s="13">
        <v>24</v>
      </c>
      <c r="D49" s="13">
        <f t="shared" si="21"/>
        <v>0</v>
      </c>
      <c r="E49" s="13"/>
      <c r="F49" s="13">
        <v>24</v>
      </c>
      <c r="G49" s="13">
        <f t="shared" si="22"/>
        <v>0</v>
      </c>
      <c r="H49" s="13"/>
      <c r="I49" s="13">
        <v>24</v>
      </c>
      <c r="J49" s="13">
        <f t="shared" si="23"/>
        <v>0</v>
      </c>
      <c r="K49" s="13"/>
      <c r="L49" s="13">
        <v>24</v>
      </c>
      <c r="M49" s="13">
        <f t="shared" si="24"/>
        <v>0</v>
      </c>
      <c r="N49" s="12"/>
      <c r="O49" s="11"/>
      <c r="P49" s="12"/>
      <c r="Q49" s="13">
        <f>AVERAGE(M47:M56)</f>
        <v>0</v>
      </c>
      <c r="R49" s="13">
        <f>STDEV(M47:M56)/SQRT(6)</f>
        <v>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spans="1:32" ht="11.25" customHeight="1">
      <c r="A50" s="13">
        <v>4</v>
      </c>
      <c r="B50" s="13"/>
      <c r="C50" s="13">
        <v>24</v>
      </c>
      <c r="D50" s="13">
        <f t="shared" si="21"/>
        <v>0</v>
      </c>
      <c r="E50" s="13"/>
      <c r="F50" s="13">
        <v>24</v>
      </c>
      <c r="G50" s="13">
        <f t="shared" si="22"/>
        <v>0</v>
      </c>
      <c r="H50" s="13"/>
      <c r="I50" s="13">
        <v>24</v>
      </c>
      <c r="J50" s="13">
        <f t="shared" si="23"/>
        <v>0</v>
      </c>
      <c r="K50" s="13"/>
      <c r="L50" s="13">
        <v>24</v>
      </c>
      <c r="M50" s="13">
        <f t="shared" si="24"/>
        <v>0</v>
      </c>
      <c r="N50" s="12"/>
      <c r="O50" s="12"/>
      <c r="P50" s="12"/>
      <c r="Q50" s="12"/>
      <c r="R50" s="1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</row>
    <row r="51" spans="1:32" ht="11.25" customHeight="1">
      <c r="A51" s="13">
        <v>5</v>
      </c>
      <c r="B51" s="13"/>
      <c r="C51" s="13">
        <v>24</v>
      </c>
      <c r="D51" s="13">
        <f t="shared" si="21"/>
        <v>0</v>
      </c>
      <c r="E51" s="13"/>
      <c r="F51" s="13">
        <v>24</v>
      </c>
      <c r="G51" s="13">
        <f t="shared" si="22"/>
        <v>0</v>
      </c>
      <c r="H51" s="13"/>
      <c r="I51" s="13">
        <v>24</v>
      </c>
      <c r="J51" s="13">
        <f t="shared" si="23"/>
        <v>0</v>
      </c>
      <c r="K51" s="13"/>
      <c r="L51" s="13">
        <v>24</v>
      </c>
      <c r="M51" s="13">
        <f t="shared" si="24"/>
        <v>0</v>
      </c>
      <c r="N51" s="12"/>
      <c r="O51" s="12"/>
      <c r="P51" s="12"/>
      <c r="Q51" s="12"/>
      <c r="R51" s="1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</row>
    <row r="52" spans="1:32" ht="11.25" customHeight="1">
      <c r="A52" s="13">
        <v>6</v>
      </c>
      <c r="B52" s="13"/>
      <c r="C52" s="13">
        <v>24</v>
      </c>
      <c r="D52" s="13">
        <f t="shared" si="21"/>
        <v>0</v>
      </c>
      <c r="E52" s="13"/>
      <c r="F52" s="13">
        <v>24</v>
      </c>
      <c r="G52" s="13">
        <f t="shared" si="22"/>
        <v>0</v>
      </c>
      <c r="H52" s="13"/>
      <c r="I52" s="13">
        <v>24</v>
      </c>
      <c r="J52" s="13">
        <f t="shared" si="23"/>
        <v>0</v>
      </c>
      <c r="K52" s="13"/>
      <c r="L52" s="13">
        <v>24</v>
      </c>
      <c r="M52" s="13">
        <f t="shared" si="24"/>
        <v>0</v>
      </c>
      <c r="N52" s="12"/>
      <c r="O52" s="12"/>
      <c r="P52" s="12"/>
      <c r="Q52" s="12"/>
      <c r="R52" s="1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</row>
    <row r="53" spans="1:32" ht="11.25" customHeight="1">
      <c r="A53" s="13">
        <v>7</v>
      </c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2"/>
      <c r="O53" s="12"/>
      <c r="P53" s="12"/>
      <c r="Q53" s="12"/>
      <c r="R53" s="1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</row>
    <row r="54" spans="1:32" ht="11.25" customHeight="1">
      <c r="A54" s="13">
        <v>8</v>
      </c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2"/>
      <c r="O54" s="12"/>
      <c r="P54" s="12"/>
      <c r="Q54" s="12"/>
      <c r="R54" s="1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</row>
    <row r="55" spans="1:32" ht="11.25" customHeight="1">
      <c r="A55" s="13">
        <v>9</v>
      </c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2"/>
      <c r="O55" s="12"/>
      <c r="P55" s="12"/>
      <c r="Q55" s="12"/>
      <c r="R55" s="1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</row>
    <row r="56" spans="1:32" ht="11.25" customHeight="1">
      <c r="A56" s="13">
        <v>10</v>
      </c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2"/>
      <c r="O56" s="12"/>
      <c r="P56" s="12"/>
      <c r="Q56" s="12"/>
      <c r="R56" s="1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</row>
    <row r="57" spans="1:32" ht="11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</row>
    <row r="58" spans="1:32" ht="11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</row>
    <row r="59" spans="1:32" ht="11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</row>
    <row r="60" spans="1:32" ht="11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</row>
    <row r="61" spans="1:32" ht="11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</row>
    <row r="62" spans="1:32" ht="11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</row>
    <row r="63" spans="1:32" ht="11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</row>
    <row r="64" spans="1:32" ht="11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</row>
    <row r="65" spans="1:32" ht="11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</row>
    <row r="66" spans="1:32" ht="11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</row>
    <row r="67" spans="1:32" ht="11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</row>
    <row r="68" spans="1:32" ht="11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</row>
    <row r="69" spans="1:32" ht="11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</row>
    <row r="70" spans="1:32" ht="11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</row>
    <row r="71" spans="1:32" ht="11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</row>
    <row r="72" spans="1:32" ht="11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</row>
    <row r="73" spans="1:32" ht="11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</row>
    <row r="74" spans="1:32" ht="11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</row>
    <row r="75" spans="1:32" ht="11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</row>
    <row r="76" spans="1:32" ht="11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</row>
    <row r="77" spans="1:32" ht="11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</row>
    <row r="78" spans="1:32" ht="11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</row>
    <row r="79" spans="1:32" ht="11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</row>
    <row r="80" spans="1:32" ht="11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</row>
    <row r="81" spans="1:32" ht="11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</row>
    <row r="82" spans="1:32" ht="11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</row>
    <row r="83" spans="1:32" ht="11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</row>
    <row r="84" spans="1:32" ht="11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</row>
    <row r="85" spans="1:32" ht="11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</row>
    <row r="86" spans="1:32" ht="11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</row>
    <row r="87" spans="1:32" ht="11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</row>
    <row r="88" spans="1:32" ht="11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</row>
    <row r="89" spans="1:32" ht="11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</row>
    <row r="90" spans="1:32" ht="11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</row>
    <row r="91" spans="1:32" ht="11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</row>
    <row r="92" spans="1:32" ht="11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</row>
    <row r="93" spans="1:32" ht="11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</row>
    <row r="94" spans="1:32" ht="11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</row>
    <row r="95" spans="1:32" ht="11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</row>
    <row r="96" spans="1:32" ht="11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</row>
    <row r="97" spans="1:32" ht="11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</row>
    <row r="98" spans="1:32" ht="11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</row>
    <row r="99" spans="1:32" ht="11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</row>
    <row r="100" spans="1:32" ht="11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</row>
    <row r="101" spans="1:32" ht="11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</row>
    <row r="102" spans="1:32" ht="11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</row>
    <row r="103" spans="1:32" ht="11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</row>
    <row r="104" spans="1:32" ht="11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</row>
    <row r="105" spans="1:32" ht="11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</row>
    <row r="106" spans="1:32" ht="11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</row>
    <row r="107" spans="1:32" ht="11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</row>
    <row r="108" spans="1:32" ht="11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</row>
    <row r="109" spans="1:32" ht="11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</row>
    <row r="110" spans="1:32" ht="11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</row>
    <row r="111" spans="1:32" ht="11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</row>
    <row r="112" spans="1:32" ht="11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</row>
    <row r="113" spans="1:32" ht="11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</row>
    <row r="114" spans="1:32" ht="11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</row>
    <row r="115" spans="1:32" ht="11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</row>
    <row r="116" spans="1:32" ht="11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</row>
    <row r="117" spans="1:32" ht="11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</row>
    <row r="118" spans="1:32" ht="11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</row>
    <row r="119" spans="1:32" ht="11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</row>
    <row r="120" spans="1:32" ht="11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</row>
    <row r="121" spans="1:32" ht="11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</row>
    <row r="122" spans="1:32" ht="11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</row>
    <row r="123" spans="1:32" ht="11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</row>
    <row r="124" spans="1:32" ht="11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</row>
    <row r="125" spans="1:32" ht="11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</row>
    <row r="126" spans="1:32" ht="11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</row>
    <row r="127" spans="1:32" ht="11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</row>
    <row r="128" spans="1:32" ht="11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</row>
    <row r="129" spans="1:32" ht="11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</row>
    <row r="130" spans="1:32" ht="11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</row>
    <row r="131" spans="1:32" ht="11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</row>
    <row r="132" spans="1:32" ht="11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</row>
    <row r="133" spans="1:32" ht="11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</row>
    <row r="134" spans="1:32" ht="11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</row>
    <row r="135" spans="1:32" ht="11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</row>
    <row r="136" spans="1:32" ht="11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</row>
    <row r="137" spans="1:32" ht="11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</row>
    <row r="138" spans="1:32" ht="11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</row>
    <row r="139" spans="1:32" ht="11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</row>
    <row r="140" spans="1:32" ht="11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</row>
    <row r="141" spans="1:32" ht="11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</row>
    <row r="142" spans="1:32" ht="11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</row>
    <row r="143" spans="1:32" ht="11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</row>
    <row r="144" spans="1:32" ht="11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</row>
    <row r="145" spans="1:32" ht="11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</row>
    <row r="146" spans="1:32" ht="11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</row>
    <row r="147" spans="1:32" ht="11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</row>
    <row r="148" spans="1:32" ht="11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</row>
    <row r="149" spans="1:32" ht="11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</row>
    <row r="150" spans="1:32" ht="11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</row>
    <row r="151" spans="1:32" ht="11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</row>
    <row r="152" spans="1:32" ht="11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</row>
    <row r="153" spans="1:32" ht="11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</row>
    <row r="154" spans="1:32" ht="11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</row>
    <row r="155" spans="1:32" ht="11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</row>
    <row r="156" spans="1:32" ht="11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</row>
    <row r="157" spans="1:32" ht="11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</row>
    <row r="158" spans="1:32" ht="11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</row>
    <row r="159" spans="1:32" ht="11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</row>
    <row r="160" spans="1:32" ht="11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</row>
    <row r="161" spans="1:32" ht="11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</row>
    <row r="162" spans="1:32" ht="11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</row>
    <row r="163" spans="1:32" ht="11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</row>
    <row r="164" spans="1:32" ht="11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</row>
    <row r="165" spans="1:32" ht="11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</row>
    <row r="166" spans="1:32" ht="11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</row>
    <row r="167" spans="1:32" ht="11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</row>
    <row r="168" spans="1:32" ht="11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</row>
    <row r="169" spans="1:32" ht="11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</row>
    <row r="170" spans="1:32" ht="11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</row>
    <row r="171" spans="1:32" ht="11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</row>
    <row r="172" spans="1:32" ht="11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</row>
    <row r="173" spans="1:32" ht="11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</row>
    <row r="174" spans="1:32" ht="11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</row>
    <row r="175" spans="1:32" ht="11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</row>
    <row r="176" spans="1:32" ht="11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</row>
    <row r="177" spans="1:32" ht="11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</row>
    <row r="178" spans="1:32" ht="11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</row>
    <row r="179" spans="1:32" ht="11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</row>
    <row r="180" spans="1:32" ht="11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</row>
    <row r="181" spans="1:32" ht="11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</row>
    <row r="182" spans="1:32" ht="11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</row>
    <row r="183" spans="1:32" ht="11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</row>
    <row r="184" spans="1:32" ht="11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</row>
    <row r="185" spans="1:32" ht="11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</row>
    <row r="186" spans="1:32" ht="11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</row>
    <row r="187" spans="1:32" ht="11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</row>
    <row r="188" spans="1:32" ht="11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</row>
    <row r="189" spans="1:32" ht="11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</row>
    <row r="190" spans="1:32" ht="11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</row>
    <row r="191" spans="1:32" ht="11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</row>
    <row r="192" spans="1:32" ht="11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</row>
    <row r="193" spans="1:32" ht="11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</row>
    <row r="194" spans="1:32" ht="11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</row>
    <row r="195" spans="1:32" ht="11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</row>
    <row r="196" spans="1:32" ht="11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</row>
    <row r="197" spans="1:32" ht="11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</row>
    <row r="198" spans="1:32" ht="11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</row>
    <row r="199" spans="1:32" ht="11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</row>
    <row r="200" spans="1:32" ht="11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</row>
    <row r="201" spans="1:32" ht="11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</row>
    <row r="202" spans="1:32" ht="11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</row>
    <row r="203" spans="1:32" ht="11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</row>
    <row r="204" spans="1:32" ht="11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</row>
    <row r="205" spans="1:32" ht="11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</row>
    <row r="206" spans="1:32" ht="11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</row>
    <row r="207" spans="1:32" ht="11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</row>
    <row r="208" spans="1:32" ht="11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</row>
    <row r="209" spans="1:32" ht="11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</row>
    <row r="210" spans="1:32" ht="11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</row>
    <row r="211" spans="1:32" ht="11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</row>
    <row r="212" spans="1:32" ht="11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</row>
    <row r="213" spans="1:32" ht="11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</row>
    <row r="214" spans="1:32" ht="11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</row>
    <row r="215" spans="1:32" ht="11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</row>
    <row r="216" spans="1:32" ht="11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</row>
    <row r="217" spans="1:32" ht="11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</row>
    <row r="218" spans="1:32" ht="11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</row>
    <row r="219" spans="1:32" ht="11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</row>
    <row r="220" spans="1:32" ht="11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</row>
    <row r="221" spans="1:32" ht="11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</row>
    <row r="222" spans="1:32" ht="11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</row>
    <row r="223" spans="1:32" ht="11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</row>
    <row r="224" spans="1:32" ht="11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</row>
    <row r="225" spans="1:32" ht="11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</row>
    <row r="226" spans="1:32" ht="11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</row>
    <row r="227" spans="1:32" ht="11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</row>
    <row r="228" spans="1:32" ht="11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</row>
    <row r="229" spans="1:32" ht="11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</row>
    <row r="230" spans="1:32" ht="11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</row>
    <row r="231" spans="1:32" ht="11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</row>
    <row r="232" spans="1:32" ht="11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</row>
    <row r="233" spans="1:32" ht="11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</row>
    <row r="234" spans="1:32" ht="11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</row>
    <row r="235" spans="1:32" ht="11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</row>
    <row r="236" spans="1:32" ht="11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</row>
    <row r="237" spans="1:32" ht="11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</row>
    <row r="238" spans="1:32" ht="11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</row>
    <row r="239" spans="1:32" ht="11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</row>
    <row r="240" spans="1:32" ht="11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</row>
    <row r="241" spans="1:32" ht="11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</row>
    <row r="242" spans="1:32" ht="11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</row>
    <row r="243" spans="1:32" ht="11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</row>
    <row r="244" spans="1:32" ht="11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</row>
    <row r="245" spans="1:32" ht="11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</row>
    <row r="246" spans="1:32" ht="11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</row>
    <row r="247" spans="1:32" ht="11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</row>
    <row r="248" spans="1:32" ht="11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</row>
    <row r="249" spans="1:32" ht="11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</row>
    <row r="250" spans="1:32" ht="11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</row>
    <row r="251" spans="1:32" ht="11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</row>
    <row r="252" spans="1:32" ht="11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</row>
    <row r="253" spans="1:32" ht="11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</row>
    <row r="254" spans="1:32" ht="11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</row>
    <row r="255" spans="1:32" ht="11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</row>
    <row r="256" spans="1:32" ht="11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</row>
    <row r="257" spans="1:32" ht="11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</row>
    <row r="258" spans="1:32" ht="11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</row>
    <row r="259" spans="1:32" ht="11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</row>
    <row r="260" spans="1:32" ht="11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</row>
    <row r="261" spans="1:32" ht="11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</row>
    <row r="262" spans="1:32" ht="11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</row>
    <row r="263" spans="1:32" ht="11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</row>
    <row r="264" spans="1:32" ht="11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</row>
    <row r="265" spans="1:32" ht="11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</row>
    <row r="266" spans="1:32" ht="11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</row>
    <row r="267" spans="1:32" ht="11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</row>
    <row r="268" spans="1:32" ht="11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</row>
    <row r="269" spans="1:32" ht="11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</row>
    <row r="270" spans="1:32" ht="11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</row>
    <row r="271" spans="1:32" ht="11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</row>
    <row r="272" spans="1:32" ht="11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</row>
    <row r="273" spans="1:32" ht="11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</row>
    <row r="274" spans="1:32" ht="11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</row>
    <row r="275" spans="1:32" ht="11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</row>
    <row r="276" spans="1:32" ht="11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</row>
    <row r="277" spans="1:32" ht="11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</row>
    <row r="278" spans="1:32" ht="11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</row>
    <row r="279" spans="1:32" ht="11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</row>
    <row r="280" spans="1:32" ht="11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</row>
    <row r="281" spans="1:32" ht="11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</row>
    <row r="282" spans="1:32" ht="11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</row>
    <row r="283" spans="1:32" ht="11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</row>
    <row r="284" spans="1:32" ht="11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</row>
    <row r="285" spans="1:32" ht="11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</row>
    <row r="286" spans="1:32" ht="11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</row>
    <row r="287" spans="1:32" ht="11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</row>
    <row r="288" spans="1:32" ht="11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</row>
    <row r="289" spans="1:32" ht="11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</row>
    <row r="290" spans="1:32" ht="11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</row>
    <row r="291" spans="1:32" ht="11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</row>
    <row r="292" spans="1:32" ht="11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</row>
    <row r="293" spans="1:32" ht="11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</row>
    <row r="294" spans="1:32" ht="11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  <row r="295" spans="1:32" ht="11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</row>
    <row r="296" spans="1:32" ht="11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</row>
    <row r="297" spans="1:32" ht="11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</row>
    <row r="298" spans="1:32" ht="11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</row>
    <row r="299" spans="1:32" ht="11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</row>
    <row r="300" spans="1:32" ht="11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</row>
    <row r="301" spans="1:32" ht="11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</row>
    <row r="302" spans="1:32" ht="11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</row>
    <row r="303" spans="1:32" ht="11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</row>
    <row r="304" spans="1:32" ht="11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</row>
    <row r="305" spans="1:32" ht="11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</row>
    <row r="306" spans="1:32" ht="11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</row>
    <row r="307" spans="1:32" ht="11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</row>
    <row r="308" spans="1:32" ht="11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</row>
    <row r="309" spans="1:32" ht="11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</row>
    <row r="310" spans="1:32" ht="11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</row>
    <row r="311" spans="1:32" ht="11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</row>
    <row r="312" spans="1:32" ht="11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</row>
    <row r="313" spans="1:32" ht="11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</row>
    <row r="314" spans="1:32" ht="11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</row>
    <row r="315" spans="1:32" ht="11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</row>
    <row r="316" spans="1:32" ht="11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</row>
    <row r="317" spans="1:32" ht="11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</row>
    <row r="318" spans="1:32" ht="11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</row>
    <row r="319" spans="1:32" ht="11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</row>
    <row r="320" spans="1:32" ht="11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</row>
    <row r="321" spans="1:32" ht="11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</row>
    <row r="322" spans="1:32" ht="11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</row>
    <row r="323" spans="1:32" ht="11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</row>
    <row r="324" spans="1:32" ht="11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</row>
    <row r="325" spans="1:32" ht="11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</row>
    <row r="326" spans="1:32" ht="11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</row>
    <row r="327" spans="1:32" ht="11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</row>
    <row r="328" spans="1:32" ht="11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</row>
    <row r="329" spans="1:32" ht="11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</row>
    <row r="330" spans="1:32" ht="11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</row>
    <row r="331" spans="1:32" ht="11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</row>
    <row r="332" spans="1:32" ht="11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</row>
    <row r="333" spans="1:32" ht="11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</row>
    <row r="334" spans="1:32" ht="11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</row>
    <row r="335" spans="1:32" ht="11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</row>
    <row r="336" spans="1:32" ht="11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</row>
    <row r="337" spans="1:32" ht="11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</row>
    <row r="338" spans="1:32" ht="11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</row>
    <row r="339" spans="1:32" ht="11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</row>
    <row r="340" spans="1:32" ht="11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</row>
    <row r="341" spans="1:32" ht="11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</row>
    <row r="342" spans="1:32" ht="11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</row>
    <row r="343" spans="1:32" ht="11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</row>
    <row r="344" spans="1:32" ht="11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</row>
    <row r="345" spans="1:32" ht="11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</row>
    <row r="346" spans="1:32" ht="11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</row>
    <row r="347" spans="1:32" ht="11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</row>
    <row r="348" spans="1:32" ht="11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</row>
    <row r="349" spans="1:32" ht="11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</row>
    <row r="350" spans="1:32" ht="11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</row>
    <row r="351" spans="1:32" ht="11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</row>
    <row r="352" spans="1:32" ht="11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</row>
    <row r="353" spans="1:32" ht="11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</row>
    <row r="354" spans="1:32" ht="11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</row>
    <row r="355" spans="1:32" ht="11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</row>
    <row r="356" spans="1:32" ht="11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</row>
    <row r="357" spans="1:32" ht="11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</row>
    <row r="358" spans="1:32" ht="11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</row>
    <row r="359" spans="1:32" ht="11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</row>
    <row r="360" spans="1:32" ht="11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</row>
    <row r="361" spans="1:32" ht="11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</row>
    <row r="362" spans="1:32" ht="11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</row>
    <row r="363" spans="1:32" ht="11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</row>
    <row r="364" spans="1:32" ht="11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</row>
    <row r="365" spans="1:32" ht="11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</row>
    <row r="366" spans="1:32" ht="11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</row>
    <row r="367" spans="1:32" ht="11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</row>
    <row r="368" spans="1:32" ht="11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</row>
    <row r="369" spans="1:32" ht="11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</row>
    <row r="370" spans="1:32" ht="11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</row>
    <row r="371" spans="1:32" ht="11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</row>
    <row r="372" spans="1:32" ht="11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</row>
    <row r="373" spans="1:32" ht="11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</row>
    <row r="374" spans="1:32" ht="11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</row>
    <row r="375" spans="1:32" ht="11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</row>
    <row r="376" spans="1:32" ht="11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</row>
    <row r="377" spans="1:32" ht="11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</row>
    <row r="378" spans="1:32" ht="11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</row>
    <row r="379" spans="1:32" ht="11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</row>
    <row r="380" spans="1:32" ht="11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</row>
    <row r="381" spans="1:32" ht="11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</row>
    <row r="382" spans="1:32" ht="11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</row>
    <row r="383" spans="1:32" ht="11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</row>
    <row r="384" spans="1:32" ht="11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</row>
    <row r="385" spans="1:32" ht="11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</row>
    <row r="386" spans="1:32" ht="11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</row>
    <row r="387" spans="1:32" ht="11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</row>
    <row r="388" spans="1:32" ht="11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</row>
    <row r="389" spans="1:32" ht="11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</row>
    <row r="390" spans="1:32" ht="11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</row>
    <row r="391" spans="1:32" ht="11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</row>
    <row r="392" spans="1:32" ht="11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</row>
    <row r="393" spans="1:32" ht="11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</row>
    <row r="394" spans="1:32" ht="11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</row>
    <row r="395" spans="1:32" ht="11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</row>
    <row r="396" spans="1:32" ht="11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</row>
    <row r="397" spans="1:32" ht="11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</row>
    <row r="398" spans="1:32" ht="11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</row>
    <row r="399" spans="1:32" ht="11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</row>
    <row r="400" spans="1:32" ht="11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</row>
    <row r="401" spans="1:32" ht="11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</row>
    <row r="402" spans="1:32" ht="11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</row>
    <row r="403" spans="1:32" ht="11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</row>
    <row r="404" spans="1:32" ht="11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</row>
    <row r="405" spans="1:32" ht="11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</row>
    <row r="406" spans="1:32" ht="11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</row>
    <row r="407" spans="1:32" ht="11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</row>
    <row r="408" spans="1:32" ht="11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</row>
    <row r="409" spans="1:32" ht="11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</row>
    <row r="410" spans="1:32" ht="11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</row>
    <row r="411" spans="1:32" ht="11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</row>
    <row r="412" spans="1:32" ht="11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</row>
    <row r="413" spans="1:32" ht="11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</row>
    <row r="414" spans="1:32" ht="11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</row>
    <row r="415" spans="1:32" ht="11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</row>
    <row r="416" spans="1:32" ht="11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</row>
    <row r="417" spans="1:32" ht="11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</row>
    <row r="418" spans="1:32" ht="11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</row>
    <row r="419" spans="1:32" ht="11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</row>
    <row r="420" spans="1:32" ht="11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</row>
    <row r="421" spans="1:32" ht="11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</row>
    <row r="422" spans="1:32" ht="11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</row>
    <row r="423" spans="1:32" ht="11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</row>
    <row r="424" spans="1:32" ht="11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</row>
    <row r="425" spans="1:32" ht="11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</row>
    <row r="426" spans="1:32" ht="11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</row>
    <row r="427" spans="1:32" ht="11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</row>
    <row r="428" spans="1:32" ht="11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</row>
    <row r="429" spans="1:32" ht="11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</row>
    <row r="430" spans="1:32" ht="11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</row>
    <row r="431" spans="1:32" ht="11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</row>
    <row r="432" spans="1:32" ht="11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</row>
    <row r="433" spans="1:32" ht="11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</row>
    <row r="434" spans="1:32" ht="11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</row>
    <row r="435" spans="1:32" ht="11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</row>
    <row r="436" spans="1:32" ht="11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</row>
    <row r="437" spans="1:32" ht="11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</row>
    <row r="438" spans="1:32" ht="11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</row>
    <row r="439" spans="1:32" ht="11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</row>
    <row r="440" spans="1:32" ht="11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</row>
    <row r="441" spans="1:32" ht="11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</row>
    <row r="442" spans="1:32" ht="11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</row>
    <row r="443" spans="1:32" ht="11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</row>
    <row r="444" spans="1:32" ht="11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</row>
    <row r="445" spans="1:32" ht="11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</row>
    <row r="446" spans="1:32" ht="11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</row>
    <row r="447" spans="1:32" ht="11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</row>
    <row r="448" spans="1:32" ht="11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</row>
    <row r="449" spans="1:32" ht="11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</row>
    <row r="450" spans="1:32" ht="11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</row>
    <row r="451" spans="1:32" ht="11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</row>
    <row r="452" spans="1:32" ht="11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</row>
    <row r="453" spans="1:32" ht="11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</row>
    <row r="454" spans="1:32" ht="11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</row>
    <row r="455" spans="1:32" ht="11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</row>
    <row r="456" spans="1:32" ht="11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</row>
    <row r="457" spans="1:32" ht="11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</row>
    <row r="458" spans="1:32" ht="11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</row>
    <row r="459" spans="1:32" ht="11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</row>
    <row r="460" spans="1:32" ht="11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</row>
    <row r="461" spans="1:32" ht="11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</row>
    <row r="462" spans="1:32" ht="11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</row>
    <row r="463" spans="1:32" ht="11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</row>
    <row r="464" spans="1:32" ht="11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</row>
    <row r="465" spans="1:32" ht="11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</row>
    <row r="466" spans="1:32" ht="11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</row>
    <row r="467" spans="1:32" ht="11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</row>
    <row r="468" spans="1:32" ht="11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</row>
    <row r="469" spans="1:32" ht="11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</row>
    <row r="470" spans="1:32" ht="11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</row>
    <row r="471" spans="1:32" ht="11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</row>
    <row r="472" spans="1:32" ht="11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</row>
    <row r="473" spans="1:32" ht="11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</row>
    <row r="474" spans="1:32" ht="11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</row>
    <row r="475" spans="1:32" ht="11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</row>
    <row r="476" spans="1:32" ht="11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</row>
    <row r="477" spans="1:32" ht="11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</row>
    <row r="478" spans="1:32" ht="11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</row>
    <row r="479" spans="1:32" ht="11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</row>
    <row r="480" spans="1:32" ht="11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</row>
    <row r="481" spans="1:32" ht="11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</row>
    <row r="482" spans="1:32" ht="11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</row>
    <row r="483" spans="1:32" ht="11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</row>
    <row r="484" spans="1:32" ht="11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</row>
    <row r="485" spans="1:32" ht="11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</row>
    <row r="486" spans="1:32" ht="11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</row>
    <row r="487" spans="1:32" ht="11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</row>
    <row r="488" spans="1:32" ht="11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</row>
    <row r="489" spans="1:32" ht="11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</row>
    <row r="490" spans="1:32" ht="11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</row>
    <row r="491" spans="1:32" ht="11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</row>
    <row r="492" spans="1:32" ht="11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</row>
    <row r="493" spans="1:32" ht="11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</row>
    <row r="494" spans="1:32" ht="11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</row>
    <row r="495" spans="1:32" ht="11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</row>
    <row r="496" spans="1:32" ht="11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</row>
    <row r="497" spans="1:32" ht="11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</row>
    <row r="498" spans="1:32" ht="11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</row>
    <row r="499" spans="1:32" ht="11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</row>
    <row r="500" spans="1:32" ht="11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</row>
    <row r="501" spans="1:32" ht="11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</row>
    <row r="502" spans="1:32" ht="11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</row>
    <row r="503" spans="1:32" ht="11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</row>
    <row r="504" spans="1:32" ht="11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</row>
    <row r="505" spans="1:32" ht="11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</row>
    <row r="506" spans="1:32" ht="11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</row>
    <row r="507" spans="1:32" ht="11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</row>
    <row r="508" spans="1:32" ht="11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</row>
    <row r="509" spans="1:32" ht="11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</row>
    <row r="510" spans="1:32" ht="11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</row>
    <row r="511" spans="1:32" ht="11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</row>
    <row r="512" spans="1:32" ht="11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</row>
    <row r="513" spans="1:32" ht="11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</row>
    <row r="514" spans="1:32" ht="11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</row>
    <row r="515" spans="1:32" ht="11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</row>
    <row r="516" spans="1:32" ht="11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</row>
    <row r="517" spans="1:32" ht="11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</row>
    <row r="518" spans="1:32" ht="11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</row>
    <row r="519" spans="1:32" ht="11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</row>
    <row r="520" spans="1:32" ht="11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</row>
    <row r="521" spans="1:32" ht="11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</row>
    <row r="522" spans="1:32" ht="11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</row>
    <row r="523" spans="1:32" ht="11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</row>
    <row r="524" spans="1:32" ht="11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</row>
    <row r="525" spans="1:32" ht="11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</row>
    <row r="526" spans="1:32" ht="11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</row>
    <row r="527" spans="1:32" ht="11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</row>
    <row r="528" spans="1:32" ht="11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</row>
    <row r="529" spans="1:32" ht="11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</row>
    <row r="530" spans="1:32" ht="11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</row>
    <row r="531" spans="1:32" ht="11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</row>
    <row r="532" spans="1:32" ht="11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</row>
    <row r="533" spans="1:32" ht="11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</row>
    <row r="534" spans="1:32" ht="11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</row>
    <row r="535" spans="1:32" ht="11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</row>
    <row r="536" spans="1:32" ht="11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</row>
    <row r="537" spans="1:32" ht="11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</row>
    <row r="538" spans="1:32" ht="11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</row>
    <row r="539" spans="1:32" ht="11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</row>
    <row r="540" spans="1:32" ht="11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</row>
    <row r="541" spans="1:32" ht="11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</row>
    <row r="542" spans="1:32" ht="11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</row>
    <row r="543" spans="1:32" ht="11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</row>
    <row r="544" spans="1:32" ht="11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</row>
    <row r="545" spans="1:32" ht="11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</row>
    <row r="546" spans="1:32" ht="11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</row>
    <row r="547" spans="1:32" ht="11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</row>
    <row r="548" spans="1:32" ht="11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</row>
    <row r="549" spans="1:32" ht="11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</row>
    <row r="550" spans="1:32" ht="11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</row>
    <row r="551" spans="1:32" ht="11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</row>
    <row r="552" spans="1:32" ht="11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</row>
    <row r="553" spans="1:32" ht="11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</row>
    <row r="554" spans="1:32" ht="11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</row>
    <row r="555" spans="1:32" ht="11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</row>
    <row r="556" spans="1:32" ht="11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</row>
    <row r="557" spans="1:32" ht="11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</row>
    <row r="558" spans="1:32" ht="11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</row>
    <row r="559" spans="1:32" ht="11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</row>
    <row r="560" spans="1:32" ht="11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</row>
    <row r="561" spans="1:32" ht="11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</row>
    <row r="562" spans="1:32" ht="11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</row>
    <row r="563" spans="1:32" ht="11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</row>
    <row r="564" spans="1:32" ht="11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</row>
    <row r="565" spans="1:32" ht="11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</row>
    <row r="566" spans="1:32" ht="11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</row>
    <row r="567" spans="1:32" ht="11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</row>
    <row r="568" spans="1:32" ht="11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</row>
    <row r="569" spans="1:32" ht="11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</row>
    <row r="570" spans="1:32" ht="11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</row>
    <row r="571" spans="1:32" ht="11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</row>
    <row r="572" spans="1:32" ht="11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</row>
    <row r="573" spans="1:32" ht="11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</row>
    <row r="574" spans="1:32" ht="11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</row>
    <row r="575" spans="1:32" ht="11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</row>
    <row r="576" spans="1:32" ht="11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</row>
    <row r="577" spans="1:32" ht="11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</row>
    <row r="578" spans="1:32" ht="11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</row>
    <row r="579" spans="1:32" ht="11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</row>
    <row r="580" spans="1:32" ht="11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</row>
    <row r="581" spans="1:32" ht="11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</row>
    <row r="582" spans="1:32" ht="11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</row>
    <row r="583" spans="1:32" ht="11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</row>
    <row r="584" spans="1:32" ht="11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</row>
    <row r="585" spans="1:32" ht="11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</row>
    <row r="586" spans="1:32" ht="11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</row>
    <row r="587" spans="1:32" ht="11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</row>
    <row r="588" spans="1:32" ht="11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</row>
    <row r="589" spans="1:32" ht="11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</row>
    <row r="590" spans="1:32" ht="11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</row>
    <row r="591" spans="1:32" ht="11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</row>
    <row r="592" spans="1:32" ht="11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</row>
    <row r="593" spans="1:32" ht="11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</row>
    <row r="594" spans="1:32" ht="11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</row>
    <row r="595" spans="1:32" ht="11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</row>
    <row r="596" spans="1:32" ht="11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</row>
    <row r="597" spans="1:32" ht="11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</row>
    <row r="598" spans="1:32" ht="11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</row>
    <row r="599" spans="1:32" ht="11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</row>
    <row r="600" spans="1:32" ht="11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</row>
    <row r="601" spans="1:32" ht="11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</row>
    <row r="602" spans="1:32" ht="11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</row>
    <row r="603" spans="1:32" ht="11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</row>
    <row r="604" spans="1:32" ht="11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</row>
    <row r="605" spans="1:32" ht="11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</row>
    <row r="606" spans="1:32" ht="11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</row>
    <row r="607" spans="1:32" ht="11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</row>
    <row r="608" spans="1:32" ht="11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</row>
    <row r="609" spans="1:32" ht="11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</row>
    <row r="610" spans="1:32" ht="11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</row>
    <row r="611" spans="1:32" ht="11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</row>
    <row r="612" spans="1:32" ht="11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</row>
    <row r="613" spans="1:32" ht="11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</row>
    <row r="614" spans="1:32" ht="11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</row>
    <row r="615" spans="1:32" ht="11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</row>
    <row r="616" spans="1:32" ht="11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</row>
    <row r="617" spans="1:32" ht="11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</row>
    <row r="618" spans="1:32" ht="11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</row>
    <row r="619" spans="1:32" ht="11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</row>
    <row r="620" spans="1:32" ht="11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</row>
    <row r="621" spans="1:32" ht="11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</row>
    <row r="622" spans="1:32" ht="11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</row>
    <row r="623" spans="1:32" ht="11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</row>
    <row r="624" spans="1:32" ht="11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</row>
    <row r="625" spans="1:32" ht="11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</row>
    <row r="626" spans="1:32" ht="11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</row>
    <row r="627" spans="1:32" ht="11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</row>
    <row r="628" spans="1:32" ht="11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</row>
    <row r="629" spans="1:32" ht="11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</row>
    <row r="630" spans="1:32" ht="11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</row>
    <row r="631" spans="1:32" ht="11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</row>
    <row r="632" spans="1:32" ht="11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</row>
    <row r="633" spans="1:32" ht="11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</row>
    <row r="634" spans="1:32" ht="11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</row>
    <row r="635" spans="1:32" ht="11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</row>
    <row r="636" spans="1:32" ht="11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</row>
    <row r="637" spans="1:32" ht="11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</row>
    <row r="638" spans="1:32" ht="11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</row>
    <row r="639" spans="1:32" ht="11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</row>
    <row r="640" spans="1:32" ht="11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</row>
    <row r="641" spans="1:32" ht="11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</row>
    <row r="642" spans="1:32" ht="11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</row>
    <row r="643" spans="1:32" ht="11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</row>
    <row r="644" spans="1:32" ht="11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</row>
    <row r="645" spans="1:32" ht="11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</row>
    <row r="646" spans="1:32" ht="11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</row>
    <row r="647" spans="1:32" ht="11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</row>
    <row r="648" spans="1:32" ht="11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</row>
    <row r="649" spans="1:32" ht="11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</row>
    <row r="650" spans="1:32" ht="11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</row>
    <row r="651" spans="1:32" ht="11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</row>
    <row r="652" spans="1:32" ht="11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</row>
    <row r="653" spans="1:32" ht="11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</row>
    <row r="654" spans="1:32" ht="11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</row>
    <row r="655" spans="1:32" ht="11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</row>
    <row r="656" spans="1:32" ht="11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</row>
    <row r="657" spans="1:32" ht="11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</row>
    <row r="658" spans="1:32" ht="11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</row>
    <row r="659" spans="1:32" ht="11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</row>
    <row r="660" spans="1:32" ht="11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</row>
    <row r="661" spans="1:32" ht="11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</row>
    <row r="662" spans="1:32" ht="11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</row>
    <row r="663" spans="1:32" ht="11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</row>
    <row r="664" spans="1:32" ht="11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</row>
    <row r="665" spans="1:32" ht="11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</row>
    <row r="666" spans="1:32" ht="11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</row>
    <row r="667" spans="1:32" ht="11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</row>
    <row r="668" spans="1:32" ht="11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</row>
    <row r="669" spans="1:32" ht="11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</row>
    <row r="670" spans="1:32" ht="11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</row>
    <row r="671" spans="1:32" ht="11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</row>
    <row r="672" spans="1:32" ht="11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</row>
    <row r="673" spans="1:32" ht="11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</row>
    <row r="674" spans="1:32" ht="11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</row>
    <row r="675" spans="1:32" ht="11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</row>
    <row r="676" spans="1:32" ht="11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</row>
    <row r="677" spans="1:32" ht="11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</row>
    <row r="678" spans="1:32" ht="11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</row>
    <row r="679" spans="1:32" ht="11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</row>
    <row r="680" spans="1:32" ht="11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</row>
    <row r="681" spans="1:32" ht="11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</row>
    <row r="682" spans="1:32" ht="11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</row>
    <row r="683" spans="1:32" ht="11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</row>
    <row r="684" spans="1:32" ht="11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</row>
    <row r="685" spans="1:32" ht="11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</row>
    <row r="686" spans="1:32" ht="11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</row>
    <row r="687" spans="1:32" ht="11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</row>
    <row r="688" spans="1:32" ht="11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</row>
    <row r="689" spans="1:32" ht="11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</row>
    <row r="690" spans="1:32" ht="11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</row>
    <row r="691" spans="1:32" ht="11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</row>
    <row r="692" spans="1:32" ht="11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</row>
    <row r="693" spans="1:32" ht="11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</row>
    <row r="694" spans="1:32" ht="11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</row>
    <row r="695" spans="1:32" ht="11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</row>
    <row r="696" spans="1:32" ht="11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</row>
    <row r="697" spans="1:32" ht="11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</row>
    <row r="698" spans="1:32" ht="11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</row>
    <row r="699" spans="1:32" ht="11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</row>
    <row r="700" spans="1:32" ht="11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</row>
    <row r="701" spans="1:32" ht="11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</row>
    <row r="702" spans="1:32" ht="11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</row>
    <row r="703" spans="1:32" ht="11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</row>
    <row r="704" spans="1:32" ht="11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</row>
    <row r="705" spans="1:32" ht="11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</row>
    <row r="706" spans="1:32" ht="11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</row>
    <row r="707" spans="1:32" ht="11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</row>
    <row r="708" spans="1:32" ht="11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</row>
    <row r="709" spans="1:32" ht="11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</row>
    <row r="710" spans="1:32" ht="11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</row>
    <row r="711" spans="1:32" ht="11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</row>
    <row r="712" spans="1:32" ht="11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</row>
    <row r="713" spans="1:32" ht="11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</row>
    <row r="714" spans="1:32" ht="11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</row>
    <row r="715" spans="1:32" ht="11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</row>
    <row r="716" spans="1:32" ht="11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</row>
    <row r="717" spans="1:32" ht="11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</row>
    <row r="718" spans="1:32" ht="11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</row>
    <row r="719" spans="1:32" ht="11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</row>
    <row r="720" spans="1:32" ht="11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</row>
    <row r="721" spans="1:32" ht="11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</row>
    <row r="722" spans="1:32" ht="11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</row>
    <row r="723" spans="1:32" ht="11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</row>
    <row r="724" spans="1:32" ht="11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</row>
    <row r="725" spans="1:32" ht="11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</row>
    <row r="726" spans="1:32" ht="11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</row>
    <row r="727" spans="1:32" ht="11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</row>
    <row r="728" spans="1:32" ht="11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</row>
    <row r="729" spans="1:32" ht="11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</row>
    <row r="730" spans="1:32" ht="11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</row>
    <row r="731" spans="1:32" ht="11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</row>
    <row r="732" spans="1:32" ht="11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</row>
    <row r="733" spans="1:32" ht="11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</row>
    <row r="734" spans="1:32" ht="11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</row>
    <row r="735" spans="1:32" ht="11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</row>
    <row r="736" spans="1:32" ht="11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</row>
    <row r="737" spans="1:32" ht="11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</row>
    <row r="738" spans="1:32" ht="11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</row>
    <row r="739" spans="1:32" ht="11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</row>
    <row r="740" spans="1:32" ht="11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</row>
    <row r="741" spans="1:32" ht="11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</row>
    <row r="742" spans="1:32" ht="11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</row>
    <row r="743" spans="1:32" ht="11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</row>
    <row r="744" spans="1:32" ht="11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</row>
    <row r="745" spans="1:32" ht="11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</row>
    <row r="746" spans="1:32" ht="11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</row>
    <row r="747" spans="1:32" ht="11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</row>
    <row r="748" spans="1:32" ht="11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</row>
    <row r="749" spans="1:32" ht="11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</row>
    <row r="750" spans="1:32" ht="11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</row>
    <row r="751" spans="1:32" ht="11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</row>
    <row r="752" spans="1:32" ht="11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</row>
    <row r="753" spans="1:32" ht="11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</row>
    <row r="754" spans="1:32" ht="11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</row>
    <row r="755" spans="1:32" ht="11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</row>
    <row r="756" spans="1:32" ht="11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</row>
    <row r="757" spans="1:32" ht="11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</row>
    <row r="758" spans="1:32" ht="11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</row>
    <row r="759" spans="1:32" ht="11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</row>
    <row r="760" spans="1:32" ht="11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</row>
    <row r="761" spans="1:32" ht="11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</row>
    <row r="762" spans="1:32" ht="11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</row>
    <row r="763" spans="1:32" ht="11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</row>
    <row r="764" spans="1:32" ht="11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</row>
    <row r="765" spans="1:32" ht="11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</row>
    <row r="766" spans="1:32" ht="11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</row>
    <row r="767" spans="1:32" ht="11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</row>
    <row r="768" spans="1:32" ht="11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</row>
    <row r="769" spans="1:32" ht="11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</row>
    <row r="770" spans="1:32" ht="11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</row>
    <row r="771" spans="1:32" ht="11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</row>
    <row r="772" spans="1:32" ht="11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</row>
    <row r="773" spans="1:32" ht="11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</row>
    <row r="774" spans="1:32" ht="11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</row>
    <row r="775" spans="1:32" ht="11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</row>
    <row r="776" spans="1:32" ht="11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</row>
    <row r="777" spans="1:32" ht="11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</row>
    <row r="778" spans="1:32" ht="11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</row>
    <row r="779" spans="1:32" ht="11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</row>
    <row r="780" spans="1:32" ht="11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</row>
    <row r="781" spans="1:32" ht="11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</row>
    <row r="782" spans="1:32" ht="11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</row>
    <row r="783" spans="1:32" ht="11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</row>
    <row r="784" spans="1:32" ht="11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</row>
    <row r="785" spans="1:32" ht="11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</row>
    <row r="786" spans="1:32" ht="11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</row>
    <row r="787" spans="1:32" ht="11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</row>
    <row r="788" spans="1:32" ht="11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</row>
    <row r="789" spans="1:32" ht="11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</row>
    <row r="790" spans="1:32" ht="11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</row>
    <row r="791" spans="1:32" ht="11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</row>
    <row r="792" spans="1:32" ht="11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</row>
    <row r="793" spans="1:32" ht="11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</row>
    <row r="794" spans="1:32" ht="11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</row>
    <row r="795" spans="1:32" ht="11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</row>
    <row r="796" spans="1:32" ht="11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</row>
    <row r="797" spans="1:32" ht="11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</row>
    <row r="798" spans="1:32" ht="11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</row>
    <row r="799" spans="1:32" ht="11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</row>
    <row r="800" spans="1:32" ht="11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</row>
    <row r="801" spans="1:32" ht="11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</row>
    <row r="802" spans="1:32" ht="11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</row>
    <row r="803" spans="1:32" ht="11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</row>
    <row r="804" spans="1:32" ht="11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</row>
    <row r="805" spans="1:32" ht="11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</row>
    <row r="806" spans="1:32" ht="11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</row>
    <row r="807" spans="1:32" ht="11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</row>
    <row r="808" spans="1:32" ht="11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</row>
    <row r="809" spans="1:32" ht="11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</row>
    <row r="810" spans="1:32" ht="11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</row>
    <row r="811" spans="1:32" ht="11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</row>
    <row r="812" spans="1:32" ht="11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</row>
    <row r="813" spans="1:32" ht="11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</row>
    <row r="814" spans="1:32" ht="11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</row>
    <row r="815" spans="1:32" ht="11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</row>
    <row r="816" spans="1:32" ht="11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</row>
    <row r="817" spans="1:32" ht="11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</row>
    <row r="818" spans="1:32" ht="11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</row>
    <row r="819" spans="1:32" ht="11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</row>
    <row r="820" spans="1:32" ht="11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</row>
    <row r="821" spans="1:32" ht="11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</row>
    <row r="822" spans="1:32" ht="11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</row>
    <row r="823" spans="1:32" ht="11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</row>
    <row r="824" spans="1:32" ht="11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</row>
    <row r="825" spans="1:32" ht="11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</row>
    <row r="826" spans="1:32" ht="11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</row>
    <row r="827" spans="1:32" ht="11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</row>
    <row r="828" spans="1:32" ht="11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</row>
    <row r="829" spans="1:32" ht="11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</row>
    <row r="830" spans="1:32" ht="11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</row>
    <row r="831" spans="1:32" ht="11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</row>
    <row r="832" spans="1:32" ht="11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</row>
    <row r="833" spans="1:32" ht="11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</row>
    <row r="834" spans="1:32" ht="11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</row>
    <row r="835" spans="1:32" ht="11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</row>
    <row r="836" spans="1:32" ht="11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</row>
    <row r="837" spans="1:32" ht="11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</row>
    <row r="838" spans="1:32" ht="11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</row>
    <row r="839" spans="1:32" ht="11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</row>
    <row r="840" spans="1:32" ht="11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</row>
    <row r="841" spans="1:32" ht="11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</row>
    <row r="842" spans="1:32" ht="11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</row>
    <row r="843" spans="1:32" ht="11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</row>
    <row r="844" spans="1:32" ht="11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</row>
    <row r="845" spans="1:32" ht="11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</row>
    <row r="846" spans="1:32" ht="11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</row>
    <row r="847" spans="1:32" ht="11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</row>
    <row r="848" spans="1:32" ht="11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</row>
    <row r="849" spans="1:32" ht="11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</row>
    <row r="850" spans="1:32" ht="11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</row>
    <row r="851" spans="1:32" ht="11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</row>
    <row r="852" spans="1:32" ht="11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</row>
    <row r="853" spans="1:32" ht="11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</row>
    <row r="854" spans="1:32" ht="11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</row>
    <row r="855" spans="1:32" ht="11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</row>
    <row r="856" spans="1:32" ht="11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</row>
    <row r="857" spans="1:32" ht="11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</row>
    <row r="858" spans="1:32" ht="11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</row>
    <row r="859" spans="1:32" ht="11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</row>
    <row r="860" spans="1:32" ht="11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</row>
    <row r="861" spans="1:32" ht="11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</row>
    <row r="862" spans="1:32" ht="11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</row>
    <row r="863" spans="1:32" ht="11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</row>
    <row r="864" spans="1:32" ht="11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</row>
    <row r="865" spans="1:32" ht="11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</row>
    <row r="866" spans="1:32" ht="11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</row>
    <row r="867" spans="1:32" ht="11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</row>
    <row r="868" spans="1:32" ht="11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</row>
    <row r="869" spans="1:32" ht="11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</row>
    <row r="870" spans="1:32" ht="11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</row>
    <row r="871" spans="1:32" ht="11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</row>
    <row r="872" spans="1:32" ht="11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</row>
    <row r="873" spans="1:32" ht="11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</row>
    <row r="874" spans="1:32" ht="11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</row>
    <row r="875" spans="1:32" ht="11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</row>
    <row r="876" spans="1:32" ht="11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</row>
    <row r="877" spans="1:32" ht="11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</row>
    <row r="878" spans="1:32" ht="11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</row>
    <row r="879" spans="1:32" ht="11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</row>
    <row r="880" spans="1:32" ht="11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</row>
    <row r="881" spans="1:32" ht="11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</row>
    <row r="882" spans="1:32" ht="11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</row>
    <row r="883" spans="1:32" ht="11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</row>
    <row r="884" spans="1:32" ht="11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</row>
    <row r="885" spans="1:32" ht="11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</row>
    <row r="886" spans="1:32" ht="11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</row>
    <row r="887" spans="1:32" ht="11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</row>
    <row r="888" spans="1:32" ht="11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</row>
    <row r="889" spans="1:32" ht="11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</row>
    <row r="890" spans="1:32" ht="11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</row>
    <row r="891" spans="1:32" ht="11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</row>
    <row r="892" spans="1:32" ht="11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</row>
    <row r="893" spans="1:32" ht="11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</row>
    <row r="894" spans="1:32" ht="11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</row>
    <row r="895" spans="1:32" ht="11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</row>
    <row r="896" spans="1:32" ht="11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</row>
    <row r="897" spans="1:32" ht="11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</row>
    <row r="898" spans="1:32" ht="11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</row>
    <row r="899" spans="1:32" ht="11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</row>
    <row r="900" spans="1:32" ht="11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</row>
    <row r="901" spans="1:32" ht="11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</row>
    <row r="902" spans="1:32" ht="11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</row>
    <row r="903" spans="1:32" ht="11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</row>
    <row r="904" spans="1:32" ht="11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</row>
    <row r="905" spans="1:32" ht="11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</row>
    <row r="906" spans="1:32" ht="11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</row>
    <row r="907" spans="1:32" ht="11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</row>
    <row r="908" spans="1:32" ht="11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</row>
    <row r="909" spans="1:32" ht="11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</row>
    <row r="910" spans="1:32" ht="11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</row>
    <row r="911" spans="1:32" ht="11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</row>
    <row r="912" spans="1:32" ht="11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</row>
    <row r="913" spans="1:32" ht="11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</row>
    <row r="914" spans="1:32" ht="11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</row>
    <row r="915" spans="1:32" ht="11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</row>
    <row r="916" spans="1:32" ht="11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</row>
    <row r="917" spans="1:32" ht="11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</row>
    <row r="918" spans="1:32" ht="11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</row>
    <row r="919" spans="1:32" ht="11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</row>
    <row r="920" spans="1:32" ht="11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</row>
    <row r="921" spans="1:32" ht="11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</row>
    <row r="922" spans="1:32" ht="11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</row>
    <row r="923" spans="1:32" ht="11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</row>
    <row r="924" spans="1:32" ht="11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</row>
    <row r="925" spans="1:32" ht="11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</row>
    <row r="926" spans="1:32" ht="11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</row>
    <row r="927" spans="1:32" ht="11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</row>
    <row r="928" spans="1:32" ht="11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</row>
    <row r="929" spans="1:32" ht="11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</row>
    <row r="930" spans="1:32" ht="11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</row>
    <row r="931" spans="1:32" ht="11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</row>
    <row r="932" spans="1:32" ht="11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</row>
    <row r="933" spans="1:32" ht="11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</row>
    <row r="934" spans="1:32" ht="11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</row>
    <row r="935" spans="1:32" ht="11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</row>
    <row r="936" spans="1:32" ht="11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</row>
    <row r="937" spans="1:32" ht="11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</row>
    <row r="938" spans="1:32" ht="11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</row>
    <row r="939" spans="1:32" ht="11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</row>
    <row r="940" spans="1:32" ht="11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</row>
    <row r="941" spans="1:32" ht="11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</row>
    <row r="942" spans="1:32" ht="11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</row>
    <row r="943" spans="1:32" ht="11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</row>
    <row r="944" spans="1:32" ht="11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</row>
    <row r="945" spans="1:32" ht="11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</row>
    <row r="946" spans="1:32" ht="11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</row>
    <row r="947" spans="1:32" ht="11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</row>
    <row r="948" spans="1:32" ht="11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</row>
    <row r="949" spans="1:32" ht="11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</row>
    <row r="950" spans="1:32" ht="11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</row>
    <row r="951" spans="1:32" ht="11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</row>
    <row r="952" spans="1:32" ht="11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</row>
    <row r="953" spans="1:32" ht="11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</row>
    <row r="954" spans="1:32" ht="11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</row>
    <row r="955" spans="1:32" ht="11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</row>
    <row r="956" spans="1:32" ht="11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</row>
    <row r="957" spans="1:32" ht="11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</row>
    <row r="958" spans="1:32" ht="11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</row>
    <row r="959" spans="1:32" ht="11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</row>
    <row r="960" spans="1:32" ht="11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</row>
    <row r="961" spans="1:32" ht="11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</row>
    <row r="962" spans="1:32" ht="11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</row>
    <row r="963" spans="1:32" ht="11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</row>
    <row r="964" spans="1:32" ht="11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</row>
    <row r="965" spans="1:32" ht="11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</row>
    <row r="966" spans="1:32" ht="11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</row>
    <row r="967" spans="1:32" ht="11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</row>
    <row r="968" spans="1:32" ht="11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</row>
    <row r="969" spans="1:32" ht="11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</row>
    <row r="970" spans="1:32" ht="11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</row>
    <row r="971" spans="1:32" ht="11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</row>
    <row r="972" spans="1:32" ht="11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</row>
    <row r="973" spans="1:32" ht="11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</row>
    <row r="974" spans="1:32" ht="11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</row>
    <row r="975" spans="1:32" ht="11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</row>
    <row r="976" spans="1:32" ht="11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</row>
    <row r="977" spans="1:32" ht="11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</row>
    <row r="978" spans="1:32" ht="11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</row>
    <row r="979" spans="1:32" ht="11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</row>
    <row r="980" spans="1:32" ht="11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</row>
    <row r="981" spans="1:32" ht="11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</row>
    <row r="982" spans="1:32" ht="11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</row>
    <row r="983" spans="1:32" ht="11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</row>
    <row r="984" spans="1:32" ht="11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</row>
    <row r="985" spans="1:32" ht="11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</row>
    <row r="986" spans="1:32" ht="11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</row>
    <row r="987" spans="1:32" ht="11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</row>
    <row r="988" spans="1:32" ht="11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</row>
    <row r="989" spans="1:32" ht="11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</row>
    <row r="990" spans="1:32" ht="11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</row>
    <row r="991" spans="1:32" ht="11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</row>
    <row r="992" spans="1:32" ht="11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</row>
    <row r="993" spans="1:32" ht="11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</row>
    <row r="994" spans="1:32" ht="11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</row>
    <row r="995" spans="1:32" ht="11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</row>
    <row r="996" spans="1:32" ht="11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</row>
    <row r="997" spans="1:32" ht="11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</row>
  </sheetData>
  <mergeCells count="30">
    <mergeCell ref="O20:P20"/>
    <mergeCell ref="O21:P21"/>
    <mergeCell ref="O6:P6"/>
    <mergeCell ref="O7:P7"/>
    <mergeCell ref="O19:P19"/>
    <mergeCell ref="O18:P18"/>
    <mergeCell ref="B3:D3"/>
    <mergeCell ref="E3:G3"/>
    <mergeCell ref="H3:J3"/>
    <mergeCell ref="K3:M3"/>
    <mergeCell ref="O4:P4"/>
    <mergeCell ref="O5:P5"/>
    <mergeCell ref="B17:D17"/>
    <mergeCell ref="E17:G17"/>
    <mergeCell ref="H17:J17"/>
    <mergeCell ref="K17:M17"/>
    <mergeCell ref="O47:P47"/>
    <mergeCell ref="B31:D31"/>
    <mergeCell ref="E31:G31"/>
    <mergeCell ref="H31:J31"/>
    <mergeCell ref="K31:M31"/>
    <mergeCell ref="O32:P32"/>
    <mergeCell ref="O33:P33"/>
    <mergeCell ref="B45:D45"/>
    <mergeCell ref="E45:G45"/>
    <mergeCell ref="H45:J45"/>
    <mergeCell ref="K45:M45"/>
    <mergeCell ref="O46:P46"/>
    <mergeCell ref="O34:P34"/>
    <mergeCell ref="O35:P35"/>
  </mergeCells>
  <pageMargins left="0.7" right="0.7" top="0.75" bottom="0.75" header="0" footer="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0B6D6-F230-486B-B4EB-87BD34720586}">
  <dimension ref="A1:AF997"/>
  <sheetViews>
    <sheetView zoomScale="80" zoomScaleNormal="80" workbookViewId="0"/>
  </sheetViews>
  <sheetFormatPr defaultColWidth="14.44140625" defaultRowHeight="15" customHeight="1"/>
  <cols>
    <col min="1" max="32" width="9" style="4" customWidth="1"/>
    <col min="33" max="16384" width="14.44140625" style="4"/>
  </cols>
  <sheetData>
    <row r="1" spans="1:32" ht="14.2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3"/>
      <c r="AE1" s="3"/>
      <c r="AF1" s="3"/>
    </row>
    <row r="2" spans="1:32" ht="11.25" customHeight="1">
      <c r="A2" s="17" t="s">
        <v>25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2"/>
      <c r="T2" s="3"/>
      <c r="U2" s="3"/>
      <c r="V2" s="3"/>
      <c r="W2" s="2"/>
      <c r="X2" s="2"/>
      <c r="Y2" s="2"/>
      <c r="Z2" s="2"/>
      <c r="AA2" s="2"/>
      <c r="AB2" s="2"/>
      <c r="AC2" s="2"/>
      <c r="AD2" s="2"/>
      <c r="AE2" s="2"/>
      <c r="AF2" s="2"/>
    </row>
    <row r="3" spans="1:32" ht="11.25" customHeight="1">
      <c r="A3" s="6"/>
      <c r="B3" s="26" t="s">
        <v>14</v>
      </c>
      <c r="C3" s="27"/>
      <c r="D3" s="28"/>
      <c r="E3" s="29" t="s">
        <v>8</v>
      </c>
      <c r="F3" s="30"/>
      <c r="G3" s="31"/>
      <c r="H3" s="32" t="s">
        <v>18</v>
      </c>
      <c r="I3" s="33"/>
      <c r="J3" s="34"/>
      <c r="K3" s="35" t="s">
        <v>19</v>
      </c>
      <c r="L3" s="36"/>
      <c r="M3" s="37"/>
      <c r="N3" s="6"/>
      <c r="O3" s="6"/>
      <c r="P3" s="6"/>
      <c r="Q3" s="7" t="s">
        <v>4</v>
      </c>
      <c r="R3" s="8" t="s">
        <v>0</v>
      </c>
      <c r="S3" s="2"/>
      <c r="T3" s="3"/>
      <c r="U3" s="3"/>
      <c r="V3" s="3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ht="11.25" customHeight="1">
      <c r="A4" s="9" t="s">
        <v>5</v>
      </c>
      <c r="B4" s="7" t="s">
        <v>1</v>
      </c>
      <c r="C4" s="7" t="s">
        <v>2</v>
      </c>
      <c r="D4" s="7" t="s">
        <v>3</v>
      </c>
      <c r="E4" s="7" t="s">
        <v>1</v>
      </c>
      <c r="F4" s="7" t="s">
        <v>2</v>
      </c>
      <c r="G4" s="7" t="s">
        <v>3</v>
      </c>
      <c r="H4" s="7" t="s">
        <v>1</v>
      </c>
      <c r="I4" s="7" t="s">
        <v>2</v>
      </c>
      <c r="J4" s="7" t="s">
        <v>3</v>
      </c>
      <c r="K4" s="7" t="s">
        <v>1</v>
      </c>
      <c r="L4" s="7" t="s">
        <v>2</v>
      </c>
      <c r="M4" s="7" t="s">
        <v>3</v>
      </c>
      <c r="N4" s="6"/>
      <c r="O4" s="38" t="s">
        <v>14</v>
      </c>
      <c r="P4" s="39"/>
      <c r="Q4" s="7">
        <f>AVERAGE(D5:D14)</f>
        <v>3.125E-2</v>
      </c>
      <c r="R4" s="7">
        <f>STDEV(D5:D14)/SQRT(6)</f>
        <v>1.6286165832720242E-2</v>
      </c>
      <c r="S4" s="2"/>
      <c r="T4" s="3"/>
      <c r="U4" s="3"/>
      <c r="V4" s="3"/>
      <c r="W4" s="2"/>
      <c r="X4" s="2"/>
      <c r="Y4" s="2"/>
      <c r="Z4" s="2"/>
      <c r="AA4" s="2"/>
      <c r="AB4" s="2"/>
      <c r="AC4" s="2"/>
      <c r="AD4" s="2"/>
      <c r="AE4" s="2"/>
      <c r="AF4" s="2"/>
    </row>
    <row r="5" spans="1:32" ht="11.25" customHeight="1">
      <c r="A5" s="7">
        <v>1</v>
      </c>
      <c r="B5" s="7">
        <v>0</v>
      </c>
      <c r="C5" s="7">
        <v>24</v>
      </c>
      <c r="D5" s="7">
        <f t="shared" ref="D5:D8" si="0">B5/C5</f>
        <v>0</v>
      </c>
      <c r="E5" s="7">
        <v>0</v>
      </c>
      <c r="F5" s="7">
        <v>24</v>
      </c>
      <c r="G5" s="7">
        <f t="shared" ref="G5:G8" si="1">E5/F5</f>
        <v>0</v>
      </c>
      <c r="H5" s="18">
        <v>5</v>
      </c>
      <c r="I5" s="7">
        <v>24</v>
      </c>
      <c r="J5" s="7">
        <f t="shared" ref="J5:J8" si="2">H5/I5</f>
        <v>0.20833333333333334</v>
      </c>
      <c r="K5" s="18">
        <v>3</v>
      </c>
      <c r="L5" s="7">
        <v>24</v>
      </c>
      <c r="M5" s="7">
        <f t="shared" ref="M5:M8" si="3">K5/L5</f>
        <v>0.125</v>
      </c>
      <c r="N5" s="6"/>
      <c r="O5" s="24" t="s">
        <v>7</v>
      </c>
      <c r="P5" s="25"/>
      <c r="Q5" s="7">
        <f>AVERAGE(G5:G14)</f>
        <v>4.1666666666666664E-2</v>
      </c>
      <c r="R5" s="7">
        <f>STDEV(D6:D15)/SQRT(6)</f>
        <v>1.7010345435994296E-2</v>
      </c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2" ht="11.25" customHeight="1">
      <c r="A6" s="7">
        <v>2</v>
      </c>
      <c r="B6" s="7">
        <v>2</v>
      </c>
      <c r="C6" s="7">
        <v>24</v>
      </c>
      <c r="D6" s="7">
        <f t="shared" si="0"/>
        <v>8.3333333333333329E-2</v>
      </c>
      <c r="E6" s="7">
        <v>2</v>
      </c>
      <c r="F6" s="7">
        <v>24</v>
      </c>
      <c r="G6" s="7">
        <f t="shared" si="1"/>
        <v>8.3333333333333329E-2</v>
      </c>
      <c r="H6" s="18">
        <v>0</v>
      </c>
      <c r="I6" s="7">
        <v>24</v>
      </c>
      <c r="J6" s="7">
        <f t="shared" si="2"/>
        <v>0</v>
      </c>
      <c r="K6" s="18">
        <v>0</v>
      </c>
      <c r="L6" s="7">
        <v>24</v>
      </c>
      <c r="M6" s="7">
        <f t="shared" si="3"/>
        <v>0</v>
      </c>
      <c r="N6" s="6"/>
      <c r="O6" s="40" t="s">
        <v>18</v>
      </c>
      <c r="P6" s="40"/>
      <c r="Q6" s="7">
        <f>AVERAGE(J5:J14)</f>
        <v>7.2916666666666671E-2</v>
      </c>
      <c r="R6" s="7">
        <f>STDEV(J5:J14)/SQRT(6)</f>
        <v>4.0193878134688284E-2</v>
      </c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</row>
    <row r="7" spans="1:32" ht="11.25" customHeight="1">
      <c r="A7" s="7">
        <v>3</v>
      </c>
      <c r="B7" s="7">
        <v>0</v>
      </c>
      <c r="C7" s="7">
        <v>24</v>
      </c>
      <c r="D7" s="7">
        <f t="shared" si="0"/>
        <v>0</v>
      </c>
      <c r="E7" s="7">
        <v>1</v>
      </c>
      <c r="F7" s="7">
        <v>24</v>
      </c>
      <c r="G7" s="7">
        <f t="shared" si="1"/>
        <v>4.1666666666666664E-2</v>
      </c>
      <c r="H7" s="18">
        <v>0</v>
      </c>
      <c r="I7" s="7">
        <v>24</v>
      </c>
      <c r="J7" s="7">
        <f t="shared" si="2"/>
        <v>0</v>
      </c>
      <c r="K7" s="18">
        <v>1</v>
      </c>
      <c r="L7" s="7">
        <v>24</v>
      </c>
      <c r="M7" s="7">
        <f t="shared" si="3"/>
        <v>4.1666666666666664E-2</v>
      </c>
      <c r="N7" s="6"/>
      <c r="O7" s="41" t="s">
        <v>19</v>
      </c>
      <c r="P7" s="41"/>
      <c r="Q7" s="7">
        <f>AVERAGE(M5:M14)</f>
        <v>4.1666666666666664E-2</v>
      </c>
      <c r="R7" s="7">
        <f>STDEV(M5:M14)/SQRT(6)</f>
        <v>2.4056261216234408E-2</v>
      </c>
      <c r="S7" s="2"/>
      <c r="T7" s="2"/>
      <c r="U7" s="5" t="s">
        <v>4</v>
      </c>
      <c r="V7" s="2"/>
      <c r="W7" s="2"/>
      <c r="X7" s="2"/>
      <c r="Y7" s="2"/>
      <c r="Z7" s="1" t="s">
        <v>0</v>
      </c>
      <c r="AA7" s="2"/>
      <c r="AB7" s="2"/>
      <c r="AC7" s="2"/>
      <c r="AD7" s="2"/>
      <c r="AE7" s="2"/>
      <c r="AF7" s="2"/>
    </row>
    <row r="8" spans="1:32" ht="11.25" customHeight="1">
      <c r="A8" s="7">
        <v>4</v>
      </c>
      <c r="B8" s="7">
        <v>1</v>
      </c>
      <c r="C8" s="7">
        <v>24</v>
      </c>
      <c r="D8" s="7">
        <f t="shared" si="0"/>
        <v>4.1666666666666664E-2</v>
      </c>
      <c r="E8" s="7">
        <v>1</v>
      </c>
      <c r="F8" s="7">
        <v>24</v>
      </c>
      <c r="G8" s="7">
        <f t="shared" si="1"/>
        <v>4.1666666666666664E-2</v>
      </c>
      <c r="H8" s="18">
        <v>2</v>
      </c>
      <c r="I8" s="7">
        <v>24</v>
      </c>
      <c r="J8" s="7">
        <f t="shared" si="2"/>
        <v>8.3333333333333329E-2</v>
      </c>
      <c r="K8" s="18">
        <v>0</v>
      </c>
      <c r="L8" s="7">
        <v>24</v>
      </c>
      <c r="M8" s="7">
        <f t="shared" si="3"/>
        <v>0</v>
      </c>
      <c r="N8" s="6"/>
      <c r="O8" s="6"/>
      <c r="P8" s="6"/>
      <c r="Q8" s="6"/>
      <c r="R8" s="6"/>
      <c r="S8" s="2"/>
      <c r="T8" s="1"/>
      <c r="U8" s="1">
        <v>10</v>
      </c>
      <c r="V8" s="1">
        <v>50</v>
      </c>
      <c r="W8" s="1">
        <v>100</v>
      </c>
      <c r="X8" s="16">
        <v>500</v>
      </c>
      <c r="Y8" s="1"/>
      <c r="Z8" s="1">
        <v>10</v>
      </c>
      <c r="AA8" s="1">
        <v>50</v>
      </c>
      <c r="AB8" s="1">
        <v>100</v>
      </c>
      <c r="AC8" s="16">
        <v>500</v>
      </c>
      <c r="AD8" s="2"/>
      <c r="AE8" s="2"/>
      <c r="AF8" s="2"/>
    </row>
    <row r="9" spans="1:32" ht="11.25" customHeight="1">
      <c r="A9" s="7">
        <v>5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6"/>
      <c r="O9" s="6"/>
      <c r="P9" s="6"/>
      <c r="Q9" s="6"/>
      <c r="R9" s="6"/>
      <c r="S9" s="2"/>
      <c r="T9" s="21" t="s">
        <v>20</v>
      </c>
      <c r="U9" s="2">
        <f t="shared" ref="U9:U10" si="4">Q4</f>
        <v>3.125E-2</v>
      </c>
      <c r="V9" s="2">
        <f t="shared" ref="V9:V12" si="5">Q18</f>
        <v>9.375E-2</v>
      </c>
      <c r="W9" s="2">
        <f t="shared" ref="W9:W12" si="6">Q32</f>
        <v>0.3125</v>
      </c>
      <c r="X9" s="12">
        <f t="shared" ref="X9:X12" si="7">Q46</f>
        <v>0</v>
      </c>
      <c r="Y9" s="2"/>
      <c r="Z9" s="2">
        <f t="shared" ref="Z9:Z12" si="8">R4</f>
        <v>1.6286165832720242E-2</v>
      </c>
      <c r="AA9" s="2">
        <f t="shared" ref="AA9:AA12" si="9">R18</f>
        <v>2.1404215288086722E-2</v>
      </c>
      <c r="AB9" s="2">
        <f t="shared" ref="AB9:AB12" si="10">R32</f>
        <v>5.9738369910018248E-2</v>
      </c>
      <c r="AC9" s="12">
        <f t="shared" ref="AC9" si="11">R46</f>
        <v>0</v>
      </c>
      <c r="AD9" s="2"/>
      <c r="AE9" s="2"/>
      <c r="AF9" s="2"/>
    </row>
    <row r="10" spans="1:32" ht="11.25" customHeight="1">
      <c r="A10" s="7">
        <v>6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6"/>
      <c r="O10" s="6"/>
      <c r="P10" s="6"/>
      <c r="Q10" s="6"/>
      <c r="R10" s="6"/>
      <c r="S10" s="2"/>
      <c r="T10" s="22" t="s">
        <v>21</v>
      </c>
      <c r="U10" s="2">
        <f t="shared" si="4"/>
        <v>4.1666666666666664E-2</v>
      </c>
      <c r="V10" s="2">
        <f t="shared" si="5"/>
        <v>0.10416666666666667</v>
      </c>
      <c r="W10" s="2">
        <f t="shared" si="6"/>
        <v>0.29166666666666663</v>
      </c>
      <c r="X10" s="12">
        <f t="shared" si="7"/>
        <v>0</v>
      </c>
      <c r="Y10" s="2"/>
      <c r="Z10" s="2">
        <f t="shared" si="8"/>
        <v>1.7010345435994296E-2</v>
      </c>
      <c r="AA10" s="2">
        <f t="shared" si="9"/>
        <v>2.5983731852596826E-2</v>
      </c>
      <c r="AB10" s="2">
        <f t="shared" si="10"/>
        <v>5.4680610236193194E-2</v>
      </c>
      <c r="AC10" s="12">
        <f>R47</f>
        <v>0</v>
      </c>
      <c r="AD10" s="2"/>
      <c r="AE10" s="2"/>
      <c r="AF10" s="2"/>
    </row>
    <row r="11" spans="1:32" ht="11.25" customHeight="1">
      <c r="A11" s="7">
        <v>7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6"/>
      <c r="O11" s="6"/>
      <c r="P11" s="6"/>
      <c r="Q11" s="6"/>
      <c r="R11" s="6"/>
      <c r="S11" s="2"/>
      <c r="T11" s="20" t="s">
        <v>22</v>
      </c>
      <c r="U11" s="2">
        <f>Q6</f>
        <v>7.2916666666666671E-2</v>
      </c>
      <c r="V11" s="2">
        <f t="shared" si="5"/>
        <v>0.17708333333333334</v>
      </c>
      <c r="W11" s="2">
        <f t="shared" si="6"/>
        <v>0.38541666666666663</v>
      </c>
      <c r="X11" s="12">
        <f t="shared" si="7"/>
        <v>0</v>
      </c>
      <c r="Y11" s="2"/>
      <c r="Z11" s="2">
        <f t="shared" si="8"/>
        <v>4.0193878134688284E-2</v>
      </c>
      <c r="AA11" s="2">
        <f t="shared" si="9"/>
        <v>5.6202826584161959E-2</v>
      </c>
      <c r="AB11" s="2">
        <f t="shared" si="10"/>
        <v>6.8570894646290015E-2</v>
      </c>
      <c r="AC11" s="12">
        <f t="shared" ref="AC11:AC12" si="12">R48</f>
        <v>0</v>
      </c>
      <c r="AD11" s="2"/>
      <c r="AE11" s="2"/>
      <c r="AF11" s="2"/>
    </row>
    <row r="12" spans="1:32" ht="11.25" customHeight="1">
      <c r="A12" s="7">
        <v>8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6"/>
      <c r="O12" s="6"/>
      <c r="P12" s="6"/>
      <c r="Q12" s="6"/>
      <c r="R12" s="6"/>
      <c r="S12" s="2"/>
      <c r="T12" s="23" t="s">
        <v>23</v>
      </c>
      <c r="U12" s="2">
        <f>Q7</f>
        <v>4.1666666666666664E-2</v>
      </c>
      <c r="V12" s="2">
        <f t="shared" si="5"/>
        <v>0.15625</v>
      </c>
      <c r="W12" s="2">
        <f t="shared" si="6"/>
        <v>0.38541666666666669</v>
      </c>
      <c r="X12" s="12">
        <f t="shared" si="7"/>
        <v>0</v>
      </c>
      <c r="Y12" s="2"/>
      <c r="Z12" s="2">
        <f t="shared" si="8"/>
        <v>2.4056261216234408E-2</v>
      </c>
      <c r="AA12" s="2">
        <f t="shared" si="9"/>
        <v>4.8858497498160729E-2</v>
      </c>
      <c r="AB12" s="2">
        <f t="shared" si="10"/>
        <v>6.9963339165312083E-2</v>
      </c>
      <c r="AC12" s="12">
        <f t="shared" si="12"/>
        <v>0</v>
      </c>
      <c r="AD12" s="2"/>
      <c r="AE12" s="2"/>
      <c r="AF12" s="2"/>
    </row>
    <row r="13" spans="1:32" ht="11.25" customHeight="1">
      <c r="A13" s="7">
        <v>9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6"/>
      <c r="O13" s="6"/>
      <c r="P13" s="6"/>
      <c r="Q13" s="6"/>
      <c r="R13" s="6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</row>
    <row r="14" spans="1:32" ht="11.25" customHeight="1">
      <c r="A14" s="7">
        <v>10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6"/>
      <c r="O14" s="6"/>
      <c r="P14" s="6"/>
      <c r="Q14" s="6"/>
      <c r="R14" s="6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</row>
    <row r="15" spans="1:32" ht="11.2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</row>
    <row r="16" spans="1:32" ht="11.25" customHeight="1">
      <c r="A16" s="5" t="s">
        <v>13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1:32" ht="11.25" customHeight="1">
      <c r="A17" s="6"/>
      <c r="B17" s="26" t="s">
        <v>15</v>
      </c>
      <c r="C17" s="27"/>
      <c r="D17" s="28"/>
      <c r="E17" s="29" t="s">
        <v>9</v>
      </c>
      <c r="F17" s="30"/>
      <c r="G17" s="31"/>
      <c r="H17" s="42" t="s">
        <v>15</v>
      </c>
      <c r="I17" s="33"/>
      <c r="J17" s="34"/>
      <c r="K17" s="43" t="s">
        <v>9</v>
      </c>
      <c r="L17" s="36"/>
      <c r="M17" s="37"/>
      <c r="N17" s="6"/>
      <c r="O17" s="6"/>
      <c r="P17" s="6"/>
      <c r="Q17" s="7" t="s">
        <v>4</v>
      </c>
      <c r="R17" s="8" t="s">
        <v>0</v>
      </c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spans="1:32" ht="11.25" customHeight="1">
      <c r="A18" s="9" t="s">
        <v>5</v>
      </c>
      <c r="B18" s="7" t="s">
        <v>1</v>
      </c>
      <c r="C18" s="7" t="s">
        <v>2</v>
      </c>
      <c r="D18" s="7" t="s">
        <v>3</v>
      </c>
      <c r="E18" s="7" t="s">
        <v>1</v>
      </c>
      <c r="F18" s="7" t="s">
        <v>2</v>
      </c>
      <c r="G18" s="7" t="s">
        <v>3</v>
      </c>
      <c r="H18" s="7" t="s">
        <v>1</v>
      </c>
      <c r="I18" s="7" t="s">
        <v>2</v>
      </c>
      <c r="J18" s="7" t="s">
        <v>3</v>
      </c>
      <c r="K18" s="7" t="s">
        <v>1</v>
      </c>
      <c r="L18" s="7" t="s">
        <v>2</v>
      </c>
      <c r="M18" s="7" t="s">
        <v>3</v>
      </c>
      <c r="N18" s="6"/>
      <c r="O18" s="38" t="s">
        <v>14</v>
      </c>
      <c r="P18" s="39"/>
      <c r="Q18" s="7">
        <f>AVERAGE(D19:D28)</f>
        <v>9.375E-2</v>
      </c>
      <c r="R18" s="7">
        <f>STDEV(D19:D28)/SQRT(6)</f>
        <v>2.1404215288086722E-2</v>
      </c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spans="1:32" ht="11.25" customHeight="1">
      <c r="A19" s="7">
        <v>1</v>
      </c>
      <c r="B19" s="7">
        <v>2</v>
      </c>
      <c r="C19" s="7">
        <v>24</v>
      </c>
      <c r="D19" s="7">
        <f t="shared" ref="D19:D22" si="13">B19/C19</f>
        <v>8.3333333333333329E-2</v>
      </c>
      <c r="E19" s="7">
        <v>2</v>
      </c>
      <c r="F19" s="7">
        <v>24</v>
      </c>
      <c r="G19" s="7">
        <f t="shared" ref="G19:G22" si="14">E19/F19</f>
        <v>8.3333333333333329E-2</v>
      </c>
      <c r="H19" s="18">
        <v>9</v>
      </c>
      <c r="I19" s="7">
        <v>24</v>
      </c>
      <c r="J19" s="7">
        <f t="shared" ref="J19:J22" si="15">H19/I19</f>
        <v>0.375</v>
      </c>
      <c r="K19" s="18">
        <v>8</v>
      </c>
      <c r="L19" s="7">
        <v>24</v>
      </c>
      <c r="M19" s="7">
        <f t="shared" ref="M19:M22" si="16">K19/L19</f>
        <v>0.33333333333333331</v>
      </c>
      <c r="N19" s="6"/>
      <c r="O19" s="44" t="s">
        <v>7</v>
      </c>
      <c r="P19" s="25"/>
      <c r="Q19" s="7">
        <f>AVERAGE(G19:G28)</f>
        <v>0.10416666666666667</v>
      </c>
      <c r="R19" s="7">
        <f>STDEV(D20:D29)/SQRT(6)</f>
        <v>2.5983731852596826E-2</v>
      </c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spans="1:32" ht="11.25" customHeight="1">
      <c r="A20" s="7">
        <v>2</v>
      </c>
      <c r="B20" s="7">
        <v>4</v>
      </c>
      <c r="C20" s="7">
        <v>24</v>
      </c>
      <c r="D20" s="7">
        <f t="shared" si="13"/>
        <v>0.16666666666666666</v>
      </c>
      <c r="E20" s="7">
        <v>5</v>
      </c>
      <c r="F20" s="7">
        <v>24</v>
      </c>
      <c r="G20" s="7">
        <f t="shared" si="14"/>
        <v>0.20833333333333334</v>
      </c>
      <c r="H20" s="18">
        <v>2</v>
      </c>
      <c r="I20" s="7">
        <v>24</v>
      </c>
      <c r="J20" s="7">
        <f t="shared" si="15"/>
        <v>8.3333333333333329E-2</v>
      </c>
      <c r="K20" s="18">
        <v>2</v>
      </c>
      <c r="L20" s="7">
        <v>24</v>
      </c>
      <c r="M20" s="7">
        <f t="shared" si="16"/>
        <v>8.3333333333333329E-2</v>
      </c>
      <c r="N20" s="6"/>
      <c r="O20" s="40" t="s">
        <v>18</v>
      </c>
      <c r="P20" s="40"/>
      <c r="Q20" s="7">
        <f>AVERAGE(J19:J28)</f>
        <v>0.17708333333333334</v>
      </c>
      <c r="R20" s="7">
        <f>STDEV(J19:J28)/SQRT(6)</f>
        <v>5.6202826584161959E-2</v>
      </c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spans="1:32" ht="11.25" customHeight="1">
      <c r="A21" s="7">
        <v>3</v>
      </c>
      <c r="B21" s="7">
        <v>1</v>
      </c>
      <c r="C21" s="7">
        <v>24</v>
      </c>
      <c r="D21" s="7">
        <f t="shared" si="13"/>
        <v>4.1666666666666664E-2</v>
      </c>
      <c r="E21" s="7">
        <v>2</v>
      </c>
      <c r="F21" s="7">
        <v>24</v>
      </c>
      <c r="G21" s="7">
        <f t="shared" si="14"/>
        <v>8.3333333333333329E-2</v>
      </c>
      <c r="H21" s="18">
        <v>4</v>
      </c>
      <c r="I21" s="7">
        <v>24</v>
      </c>
      <c r="J21" s="7">
        <f t="shared" si="15"/>
        <v>0.16666666666666666</v>
      </c>
      <c r="K21" s="18">
        <v>3</v>
      </c>
      <c r="L21" s="7">
        <v>24</v>
      </c>
      <c r="M21" s="7">
        <f t="shared" si="16"/>
        <v>0.125</v>
      </c>
      <c r="N21" s="6"/>
      <c r="O21" s="45" t="s">
        <v>19</v>
      </c>
      <c r="P21" s="45"/>
      <c r="Q21" s="7">
        <f>AVERAGE(M19:M28)</f>
        <v>0.15625</v>
      </c>
      <c r="R21" s="7">
        <f>STDEV(M19:M28)/SQRT(6)</f>
        <v>4.8858497498160729E-2</v>
      </c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spans="1:32" ht="11.25" customHeight="1">
      <c r="A22" s="7">
        <v>4</v>
      </c>
      <c r="B22" s="7">
        <v>2</v>
      </c>
      <c r="C22" s="7">
        <v>24</v>
      </c>
      <c r="D22" s="7">
        <f t="shared" si="13"/>
        <v>8.3333333333333329E-2</v>
      </c>
      <c r="E22" s="7">
        <v>1</v>
      </c>
      <c r="F22" s="7">
        <v>24</v>
      </c>
      <c r="G22" s="7">
        <f t="shared" si="14"/>
        <v>4.1666666666666664E-2</v>
      </c>
      <c r="H22" s="18">
        <v>2</v>
      </c>
      <c r="I22" s="7">
        <v>24</v>
      </c>
      <c r="J22" s="7">
        <f t="shared" si="15"/>
        <v>8.3333333333333329E-2</v>
      </c>
      <c r="K22" s="18">
        <v>2</v>
      </c>
      <c r="L22" s="7">
        <v>24</v>
      </c>
      <c r="M22" s="7">
        <f t="shared" si="16"/>
        <v>8.3333333333333329E-2</v>
      </c>
      <c r="N22" s="6"/>
      <c r="O22" s="6"/>
      <c r="P22" s="6"/>
      <c r="Q22" s="6"/>
      <c r="R22" s="6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spans="1:32" ht="11.25" customHeight="1">
      <c r="A23" s="7">
        <v>5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6"/>
      <c r="O23" s="6"/>
      <c r="P23" s="6"/>
      <c r="Q23" s="6"/>
      <c r="R23" s="6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spans="1:32" ht="11.25" customHeight="1">
      <c r="A24" s="7">
        <v>6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6"/>
      <c r="O24" s="6"/>
      <c r="P24" s="6"/>
      <c r="Q24" s="6"/>
      <c r="R24" s="6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spans="1:32" ht="11.25" customHeight="1">
      <c r="A25" s="7">
        <v>7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6"/>
      <c r="O25" s="6"/>
      <c r="P25" s="6"/>
      <c r="Q25" s="6"/>
      <c r="R25" s="6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 spans="1:32" ht="11.25" customHeight="1">
      <c r="A26" s="7">
        <v>8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6"/>
      <c r="O26" s="6"/>
      <c r="P26" s="6"/>
      <c r="Q26" s="6"/>
      <c r="R26" s="6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spans="1:32" ht="11.25" customHeight="1">
      <c r="A27" s="7">
        <v>9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6"/>
      <c r="O27" s="6"/>
      <c r="P27" s="6"/>
      <c r="Q27" s="6"/>
      <c r="R27" s="6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spans="1:32" ht="11.25" customHeight="1">
      <c r="A28" s="7">
        <v>10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6"/>
      <c r="O28" s="6"/>
      <c r="P28" s="6"/>
      <c r="Q28" s="6"/>
      <c r="R28" s="6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spans="1:32" ht="11.2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spans="1:32" ht="11.25" customHeight="1">
      <c r="A30" s="5" t="s">
        <v>13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</row>
    <row r="31" spans="1:32" ht="11.25" customHeight="1">
      <c r="A31" s="6"/>
      <c r="B31" s="26" t="s">
        <v>16</v>
      </c>
      <c r="C31" s="27"/>
      <c r="D31" s="28"/>
      <c r="E31" s="29" t="s">
        <v>10</v>
      </c>
      <c r="F31" s="30"/>
      <c r="G31" s="31"/>
      <c r="H31" s="42" t="s">
        <v>16</v>
      </c>
      <c r="I31" s="33"/>
      <c r="J31" s="34"/>
      <c r="K31" s="43" t="s">
        <v>10</v>
      </c>
      <c r="L31" s="36"/>
      <c r="M31" s="37"/>
      <c r="N31" s="6"/>
      <c r="O31" s="6"/>
      <c r="P31" s="6"/>
      <c r="Q31" s="7" t="s">
        <v>4</v>
      </c>
      <c r="R31" s="8" t="s">
        <v>0</v>
      </c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2" ht="11.25" customHeight="1">
      <c r="A32" s="9" t="s">
        <v>5</v>
      </c>
      <c r="B32" s="7" t="s">
        <v>1</v>
      </c>
      <c r="C32" s="7" t="s">
        <v>2</v>
      </c>
      <c r="D32" s="7" t="s">
        <v>3</v>
      </c>
      <c r="E32" s="7" t="s">
        <v>1</v>
      </c>
      <c r="F32" s="7" t="s">
        <v>2</v>
      </c>
      <c r="G32" s="7" t="s">
        <v>3</v>
      </c>
      <c r="H32" s="7" t="s">
        <v>1</v>
      </c>
      <c r="I32" s="7" t="s">
        <v>2</v>
      </c>
      <c r="J32" s="7" t="s">
        <v>3</v>
      </c>
      <c r="K32" s="7" t="s">
        <v>1</v>
      </c>
      <c r="L32" s="7" t="s">
        <v>2</v>
      </c>
      <c r="M32" s="7" t="s">
        <v>3</v>
      </c>
      <c r="N32" s="6"/>
      <c r="O32" s="46" t="s">
        <v>14</v>
      </c>
      <c r="P32" s="39"/>
      <c r="Q32" s="7">
        <f>AVERAGE(D33:D42)</f>
        <v>0.3125</v>
      </c>
      <c r="R32" s="7">
        <f>STDEV(D33:D42)/SQRT(6)</f>
        <v>5.9738369910018248E-2</v>
      </c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ht="11.25" customHeight="1">
      <c r="A33" s="7">
        <v>1</v>
      </c>
      <c r="B33" s="49">
        <v>4</v>
      </c>
      <c r="C33" s="7">
        <v>24</v>
      </c>
      <c r="D33" s="7">
        <f t="shared" ref="D33:D36" si="17">B33/C33</f>
        <v>0.16666666666666666</v>
      </c>
      <c r="E33" s="49">
        <v>5</v>
      </c>
      <c r="F33" s="7">
        <v>24</v>
      </c>
      <c r="G33" s="7">
        <f t="shared" ref="G33:G36" si="18">E33/F33</f>
        <v>0.20833333333333334</v>
      </c>
      <c r="H33" s="19">
        <v>14</v>
      </c>
      <c r="I33" s="7">
        <v>24</v>
      </c>
      <c r="J33" s="7">
        <f t="shared" ref="J33:J36" si="19">H33/I33</f>
        <v>0.58333333333333337</v>
      </c>
      <c r="K33" s="19">
        <v>13</v>
      </c>
      <c r="L33" s="7">
        <v>24</v>
      </c>
      <c r="M33" s="7">
        <f t="shared" ref="M33:M36" si="20">K33/L33</f>
        <v>0.54166666666666663</v>
      </c>
      <c r="N33" s="6"/>
      <c r="O33" s="44" t="s">
        <v>7</v>
      </c>
      <c r="P33" s="25"/>
      <c r="Q33" s="7">
        <f>AVERAGE(G33:G42)</f>
        <v>0.29166666666666663</v>
      </c>
      <c r="R33" s="7">
        <f>STDEV(D34:D43)/SQRT(6)</f>
        <v>5.4680610236193194E-2</v>
      </c>
      <c r="S33" s="2"/>
      <c r="T33" s="2"/>
      <c r="U33" s="2" t="s">
        <v>17</v>
      </c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ht="11.25" customHeight="1">
      <c r="A34" s="7">
        <v>2</v>
      </c>
      <c r="B34" s="49">
        <v>10</v>
      </c>
      <c r="C34" s="7">
        <v>24</v>
      </c>
      <c r="D34" s="7">
        <f t="shared" si="17"/>
        <v>0.41666666666666669</v>
      </c>
      <c r="E34" s="49">
        <v>8</v>
      </c>
      <c r="F34" s="7">
        <v>24</v>
      </c>
      <c r="G34" s="7">
        <f t="shared" si="18"/>
        <v>0.33333333333333331</v>
      </c>
      <c r="H34" s="19">
        <v>7</v>
      </c>
      <c r="I34" s="7">
        <v>24</v>
      </c>
      <c r="J34" s="7">
        <f t="shared" si="19"/>
        <v>0.29166666666666669</v>
      </c>
      <c r="K34" s="19">
        <v>8</v>
      </c>
      <c r="L34" s="7">
        <v>24</v>
      </c>
      <c r="M34" s="7">
        <f t="shared" si="20"/>
        <v>0.33333333333333331</v>
      </c>
      <c r="N34" s="6"/>
      <c r="O34" s="40" t="s">
        <v>18</v>
      </c>
      <c r="P34" s="40"/>
      <c r="Q34" s="7">
        <f>AVERAGE(J33:J42)</f>
        <v>0.38541666666666663</v>
      </c>
      <c r="R34" s="7">
        <f>STDEV(J33:J42)/SQRT(6)</f>
        <v>6.8570894646290015E-2</v>
      </c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ht="11.25" customHeight="1">
      <c r="A35" s="7">
        <v>3</v>
      </c>
      <c r="B35" s="49">
        <v>5</v>
      </c>
      <c r="C35" s="7">
        <v>24</v>
      </c>
      <c r="D35" s="7">
        <f t="shared" si="17"/>
        <v>0.20833333333333334</v>
      </c>
      <c r="E35" s="49">
        <v>6</v>
      </c>
      <c r="F35" s="7">
        <v>24</v>
      </c>
      <c r="G35" s="7">
        <f t="shared" si="18"/>
        <v>0.25</v>
      </c>
      <c r="H35" s="19">
        <v>11</v>
      </c>
      <c r="I35" s="7">
        <v>24</v>
      </c>
      <c r="J35" s="7">
        <f t="shared" si="19"/>
        <v>0.45833333333333331</v>
      </c>
      <c r="K35" s="19">
        <v>12</v>
      </c>
      <c r="L35" s="7">
        <v>24</v>
      </c>
      <c r="M35" s="7">
        <f t="shared" si="20"/>
        <v>0.5</v>
      </c>
      <c r="N35" s="6"/>
      <c r="O35" s="45" t="s">
        <v>19</v>
      </c>
      <c r="P35" s="45"/>
      <c r="Q35" s="7">
        <f>AVERAGE(M33:M42)</f>
        <v>0.38541666666666669</v>
      </c>
      <c r="R35" s="7">
        <f>STDEV(M33:M42)/SQRT(6)</f>
        <v>6.9963339165312083E-2</v>
      </c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1.25" customHeight="1">
      <c r="A36" s="7">
        <v>4</v>
      </c>
      <c r="B36" s="52">
        <v>11</v>
      </c>
      <c r="C36" s="7">
        <v>24</v>
      </c>
      <c r="D36" s="7">
        <f t="shared" si="17"/>
        <v>0.45833333333333331</v>
      </c>
      <c r="E36" s="49">
        <v>9</v>
      </c>
      <c r="F36" s="7">
        <v>24</v>
      </c>
      <c r="G36" s="7">
        <f t="shared" si="18"/>
        <v>0.375</v>
      </c>
      <c r="H36" s="19">
        <v>5</v>
      </c>
      <c r="I36" s="7">
        <v>24</v>
      </c>
      <c r="J36" s="7">
        <f t="shared" si="19"/>
        <v>0.20833333333333334</v>
      </c>
      <c r="K36" s="19">
        <v>4</v>
      </c>
      <c r="L36" s="7">
        <v>24</v>
      </c>
      <c r="M36" s="7">
        <f t="shared" si="20"/>
        <v>0.16666666666666666</v>
      </c>
      <c r="N36" s="6"/>
      <c r="O36" s="6"/>
      <c r="P36" s="6"/>
      <c r="Q36" s="6"/>
      <c r="R36" s="6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ht="11.25" customHeight="1">
      <c r="A37" s="7">
        <v>5</v>
      </c>
      <c r="B37" s="51"/>
      <c r="C37" s="7"/>
      <c r="D37" s="7"/>
      <c r="E37" s="50"/>
      <c r="F37" s="7"/>
      <c r="G37" s="7"/>
      <c r="H37" s="7"/>
      <c r="I37" s="7"/>
      <c r="J37" s="7"/>
      <c r="K37" s="7"/>
      <c r="L37" s="7"/>
      <c r="M37" s="7"/>
      <c r="N37" s="6"/>
      <c r="O37" s="6"/>
      <c r="P37" s="6"/>
      <c r="Q37" s="6"/>
      <c r="R37" s="6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</row>
    <row r="38" spans="1:32" ht="11.25" customHeight="1">
      <c r="A38" s="7">
        <v>6</v>
      </c>
      <c r="B38" s="7"/>
      <c r="C38" s="7"/>
      <c r="D38" s="7"/>
      <c r="E38" s="50"/>
      <c r="F38" s="7"/>
      <c r="G38" s="7"/>
      <c r="H38" s="7"/>
      <c r="I38" s="7"/>
      <c r="J38" s="7"/>
      <c r="K38" s="7"/>
      <c r="L38" s="7"/>
      <c r="M38" s="7"/>
      <c r="N38" s="6"/>
      <c r="O38" s="6"/>
      <c r="P38" s="6"/>
      <c r="Q38" s="6"/>
      <c r="R38" s="6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</row>
    <row r="39" spans="1:32" ht="11.25" customHeight="1">
      <c r="A39" s="7">
        <v>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6"/>
      <c r="O39" s="6"/>
      <c r="P39" s="6"/>
      <c r="Q39" s="6"/>
      <c r="R39" s="6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</row>
    <row r="40" spans="1:32" ht="11.25" customHeight="1">
      <c r="A40" s="7">
        <v>8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6"/>
      <c r="O40" s="6"/>
      <c r="P40" s="6"/>
      <c r="Q40" s="6"/>
      <c r="R40" s="6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</row>
    <row r="41" spans="1:32" ht="11.25" customHeight="1">
      <c r="A41" s="7">
        <v>9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6"/>
      <c r="O41" s="6"/>
      <c r="P41" s="6"/>
      <c r="Q41" s="6"/>
      <c r="R41" s="6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</row>
    <row r="42" spans="1:32" ht="11.25" customHeight="1">
      <c r="A42" s="7">
        <v>10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6"/>
      <c r="O42" s="6"/>
      <c r="P42" s="6"/>
      <c r="Q42" s="6"/>
      <c r="R42" s="6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 spans="1:32" ht="11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ht="11.25" customHeight="1">
      <c r="A44" s="10" t="s">
        <v>13</v>
      </c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2"/>
      <c r="O44" s="12"/>
      <c r="P44" s="12"/>
      <c r="Q44" s="12"/>
      <c r="R44" s="1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ht="11.25" customHeight="1">
      <c r="A45" s="11"/>
      <c r="B45" s="43" t="s">
        <v>6</v>
      </c>
      <c r="C45" s="36"/>
      <c r="D45" s="37"/>
      <c r="E45" s="43" t="s">
        <v>11</v>
      </c>
      <c r="F45" s="36"/>
      <c r="G45" s="37"/>
      <c r="H45" s="43" t="s">
        <v>6</v>
      </c>
      <c r="I45" s="36"/>
      <c r="J45" s="37"/>
      <c r="K45" s="43" t="s">
        <v>11</v>
      </c>
      <c r="L45" s="36"/>
      <c r="M45" s="37"/>
      <c r="N45" s="12"/>
      <c r="O45" s="11"/>
      <c r="P45" s="11"/>
      <c r="Q45" s="13" t="s">
        <v>4</v>
      </c>
      <c r="R45" s="14" t="s">
        <v>0</v>
      </c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ht="11.25" customHeight="1">
      <c r="A46" s="15" t="s">
        <v>5</v>
      </c>
      <c r="B46" s="13" t="s">
        <v>1</v>
      </c>
      <c r="C46" s="13" t="s">
        <v>2</v>
      </c>
      <c r="D46" s="13" t="s">
        <v>3</v>
      </c>
      <c r="E46" s="13" t="s">
        <v>1</v>
      </c>
      <c r="F46" s="13" t="s">
        <v>2</v>
      </c>
      <c r="G46" s="13" t="s">
        <v>3</v>
      </c>
      <c r="H46" s="13" t="s">
        <v>1</v>
      </c>
      <c r="I46" s="13" t="s">
        <v>2</v>
      </c>
      <c r="J46" s="13" t="s">
        <v>3</v>
      </c>
      <c r="K46" s="13" t="s">
        <v>1</v>
      </c>
      <c r="L46" s="13" t="s">
        <v>2</v>
      </c>
      <c r="M46" s="13" t="s">
        <v>3</v>
      </c>
      <c r="N46" s="12"/>
      <c r="O46" s="43" t="s">
        <v>6</v>
      </c>
      <c r="P46" s="37"/>
      <c r="Q46" s="13">
        <f>AVERAGE(D47:D56)</f>
        <v>0</v>
      </c>
      <c r="R46" s="13">
        <f>STDEV(D47:D56)/SQRT(6)</f>
        <v>0</v>
      </c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ht="11.25" customHeight="1">
      <c r="A47" s="13">
        <v>1</v>
      </c>
      <c r="B47" s="13"/>
      <c r="C47" s="13">
        <v>24</v>
      </c>
      <c r="D47" s="13">
        <f t="shared" ref="D47:D52" si="21">B47/C47</f>
        <v>0</v>
      </c>
      <c r="E47" s="13"/>
      <c r="F47" s="13">
        <v>24</v>
      </c>
      <c r="G47" s="13">
        <f t="shared" ref="G47:G52" si="22">E47/F47</f>
        <v>0</v>
      </c>
      <c r="H47" s="13"/>
      <c r="I47" s="13">
        <v>24</v>
      </c>
      <c r="J47" s="13">
        <f t="shared" ref="J47:J52" si="23">H47/I47</f>
        <v>0</v>
      </c>
      <c r="K47" s="13"/>
      <c r="L47" s="13">
        <v>24</v>
      </c>
      <c r="M47" s="13">
        <f t="shared" ref="M47:M52" si="24">K47/L47</f>
        <v>0</v>
      </c>
      <c r="N47" s="12"/>
      <c r="O47" s="43" t="s">
        <v>12</v>
      </c>
      <c r="P47" s="37"/>
      <c r="Q47" s="13">
        <f>AVERAGE(G47:G56)</f>
        <v>0</v>
      </c>
      <c r="R47" s="13">
        <f>STDEV(D48:D57)/SQRT(6)</f>
        <v>0</v>
      </c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ht="11.25" customHeight="1">
      <c r="A48" s="13">
        <v>2</v>
      </c>
      <c r="B48" s="13"/>
      <c r="C48" s="13">
        <v>24</v>
      </c>
      <c r="D48" s="13">
        <f t="shared" si="21"/>
        <v>0</v>
      </c>
      <c r="E48" s="13"/>
      <c r="F48" s="13">
        <v>24</v>
      </c>
      <c r="G48" s="13">
        <f t="shared" si="22"/>
        <v>0</v>
      </c>
      <c r="H48" s="13"/>
      <c r="I48" s="13">
        <v>24</v>
      </c>
      <c r="J48" s="13">
        <f t="shared" si="23"/>
        <v>0</v>
      </c>
      <c r="K48" s="13"/>
      <c r="L48" s="13">
        <v>24</v>
      </c>
      <c r="M48" s="13">
        <f t="shared" si="24"/>
        <v>0</v>
      </c>
      <c r="N48" s="12"/>
      <c r="O48" s="12"/>
      <c r="P48" s="12"/>
      <c r="Q48" s="13">
        <f>AVERAGE(J47:J56)</f>
        <v>0</v>
      </c>
      <c r="R48" s="13">
        <f>STDEV(J47:J56)/SQRT(6)</f>
        <v>0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ht="11.25" customHeight="1">
      <c r="A49" s="13">
        <v>3</v>
      </c>
      <c r="B49" s="13"/>
      <c r="C49" s="13">
        <v>24</v>
      </c>
      <c r="D49" s="13">
        <f t="shared" si="21"/>
        <v>0</v>
      </c>
      <c r="E49" s="13"/>
      <c r="F49" s="13">
        <v>24</v>
      </c>
      <c r="G49" s="13">
        <f t="shared" si="22"/>
        <v>0</v>
      </c>
      <c r="H49" s="13"/>
      <c r="I49" s="13">
        <v>24</v>
      </c>
      <c r="J49" s="13">
        <f t="shared" si="23"/>
        <v>0</v>
      </c>
      <c r="K49" s="13"/>
      <c r="L49" s="13">
        <v>24</v>
      </c>
      <c r="M49" s="13">
        <f t="shared" si="24"/>
        <v>0</v>
      </c>
      <c r="N49" s="12"/>
      <c r="O49" s="11"/>
      <c r="P49" s="12"/>
      <c r="Q49" s="13">
        <f>AVERAGE(M47:M56)</f>
        <v>0</v>
      </c>
      <c r="R49" s="13">
        <f>STDEV(M47:M56)/SQRT(6)</f>
        <v>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spans="1:32" ht="11.25" customHeight="1">
      <c r="A50" s="13">
        <v>4</v>
      </c>
      <c r="B50" s="13"/>
      <c r="C50" s="13">
        <v>24</v>
      </c>
      <c r="D50" s="13">
        <f t="shared" si="21"/>
        <v>0</v>
      </c>
      <c r="E50" s="13"/>
      <c r="F50" s="13">
        <v>24</v>
      </c>
      <c r="G50" s="13">
        <f t="shared" si="22"/>
        <v>0</v>
      </c>
      <c r="H50" s="13"/>
      <c r="I50" s="13">
        <v>24</v>
      </c>
      <c r="J50" s="13">
        <f t="shared" si="23"/>
        <v>0</v>
      </c>
      <c r="K50" s="13"/>
      <c r="L50" s="13">
        <v>24</v>
      </c>
      <c r="M50" s="13">
        <f t="shared" si="24"/>
        <v>0</v>
      </c>
      <c r="N50" s="12"/>
      <c r="O50" s="12"/>
      <c r="P50" s="12"/>
      <c r="Q50" s="12"/>
      <c r="R50" s="1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</row>
    <row r="51" spans="1:32" ht="11.25" customHeight="1">
      <c r="A51" s="13">
        <v>5</v>
      </c>
      <c r="B51" s="13"/>
      <c r="C51" s="13">
        <v>24</v>
      </c>
      <c r="D51" s="13">
        <f t="shared" si="21"/>
        <v>0</v>
      </c>
      <c r="E51" s="13"/>
      <c r="F51" s="13">
        <v>24</v>
      </c>
      <c r="G51" s="13">
        <f t="shared" si="22"/>
        <v>0</v>
      </c>
      <c r="H51" s="13"/>
      <c r="I51" s="13">
        <v>24</v>
      </c>
      <c r="J51" s="13">
        <f t="shared" si="23"/>
        <v>0</v>
      </c>
      <c r="K51" s="13"/>
      <c r="L51" s="13">
        <v>24</v>
      </c>
      <c r="M51" s="13">
        <f t="shared" si="24"/>
        <v>0</v>
      </c>
      <c r="N51" s="12"/>
      <c r="O51" s="12"/>
      <c r="P51" s="12"/>
      <c r="Q51" s="12"/>
      <c r="R51" s="1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</row>
    <row r="52" spans="1:32" ht="11.25" customHeight="1">
      <c r="A52" s="13">
        <v>6</v>
      </c>
      <c r="B52" s="13"/>
      <c r="C52" s="13">
        <v>24</v>
      </c>
      <c r="D52" s="13">
        <f t="shared" si="21"/>
        <v>0</v>
      </c>
      <c r="E52" s="13"/>
      <c r="F52" s="13">
        <v>24</v>
      </c>
      <c r="G52" s="13">
        <f t="shared" si="22"/>
        <v>0</v>
      </c>
      <c r="H52" s="13"/>
      <c r="I52" s="13">
        <v>24</v>
      </c>
      <c r="J52" s="13">
        <f t="shared" si="23"/>
        <v>0</v>
      </c>
      <c r="K52" s="13"/>
      <c r="L52" s="13">
        <v>24</v>
      </c>
      <c r="M52" s="13">
        <f t="shared" si="24"/>
        <v>0</v>
      </c>
      <c r="N52" s="12"/>
      <c r="O52" s="12"/>
      <c r="P52" s="12"/>
      <c r="Q52" s="12"/>
      <c r="R52" s="1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</row>
    <row r="53" spans="1:32" ht="11.25" customHeight="1">
      <c r="A53" s="13">
        <v>7</v>
      </c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2"/>
      <c r="O53" s="12"/>
      <c r="P53" s="12"/>
      <c r="Q53" s="12"/>
      <c r="R53" s="1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</row>
    <row r="54" spans="1:32" ht="11.25" customHeight="1">
      <c r="A54" s="13">
        <v>8</v>
      </c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2"/>
      <c r="O54" s="12"/>
      <c r="P54" s="12"/>
      <c r="Q54" s="12"/>
      <c r="R54" s="1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</row>
    <row r="55" spans="1:32" ht="11.25" customHeight="1">
      <c r="A55" s="13">
        <v>9</v>
      </c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2"/>
      <c r="O55" s="12"/>
      <c r="P55" s="12"/>
      <c r="Q55" s="12"/>
      <c r="R55" s="1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</row>
    <row r="56" spans="1:32" ht="11.25" customHeight="1">
      <c r="A56" s="13">
        <v>10</v>
      </c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2"/>
      <c r="O56" s="12"/>
      <c r="P56" s="12"/>
      <c r="Q56" s="12"/>
      <c r="R56" s="1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</row>
    <row r="57" spans="1:32" ht="11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</row>
    <row r="58" spans="1:32" ht="11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</row>
    <row r="59" spans="1:32" ht="11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</row>
    <row r="60" spans="1:32" ht="11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</row>
    <row r="61" spans="1:32" ht="11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</row>
    <row r="62" spans="1:32" ht="11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</row>
    <row r="63" spans="1:32" ht="11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</row>
    <row r="64" spans="1:32" ht="11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</row>
    <row r="65" spans="1:32" ht="11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</row>
    <row r="66" spans="1:32" ht="11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</row>
    <row r="67" spans="1:32" ht="11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</row>
    <row r="68" spans="1:32" ht="11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</row>
    <row r="69" spans="1:32" ht="11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</row>
    <row r="70" spans="1:32" ht="11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</row>
    <row r="71" spans="1:32" ht="11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</row>
    <row r="72" spans="1:32" ht="11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</row>
    <row r="73" spans="1:32" ht="11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</row>
    <row r="74" spans="1:32" ht="11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</row>
    <row r="75" spans="1:32" ht="11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</row>
    <row r="76" spans="1:32" ht="11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</row>
    <row r="77" spans="1:32" ht="11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</row>
    <row r="78" spans="1:32" ht="11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</row>
    <row r="79" spans="1:32" ht="11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</row>
    <row r="80" spans="1:32" ht="11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</row>
    <row r="81" spans="1:32" ht="11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</row>
    <row r="82" spans="1:32" ht="11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</row>
    <row r="83" spans="1:32" ht="11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</row>
    <row r="84" spans="1:32" ht="11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</row>
    <row r="85" spans="1:32" ht="11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</row>
    <row r="86" spans="1:32" ht="11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</row>
    <row r="87" spans="1:32" ht="11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</row>
    <row r="88" spans="1:32" ht="11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</row>
    <row r="89" spans="1:32" ht="11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</row>
    <row r="90" spans="1:32" ht="11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</row>
    <row r="91" spans="1:32" ht="11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</row>
    <row r="92" spans="1:32" ht="11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</row>
    <row r="93" spans="1:32" ht="11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</row>
    <row r="94" spans="1:32" ht="11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</row>
    <row r="95" spans="1:32" ht="11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</row>
    <row r="96" spans="1:32" ht="11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</row>
    <row r="97" spans="1:32" ht="11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</row>
    <row r="98" spans="1:32" ht="11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</row>
    <row r="99" spans="1:32" ht="11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</row>
    <row r="100" spans="1:32" ht="11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</row>
    <row r="101" spans="1:32" ht="11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</row>
    <row r="102" spans="1:32" ht="11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</row>
    <row r="103" spans="1:32" ht="11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</row>
    <row r="104" spans="1:32" ht="11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</row>
    <row r="105" spans="1:32" ht="11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</row>
    <row r="106" spans="1:32" ht="11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</row>
    <row r="107" spans="1:32" ht="11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</row>
    <row r="108" spans="1:32" ht="11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</row>
    <row r="109" spans="1:32" ht="11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</row>
    <row r="110" spans="1:32" ht="11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</row>
    <row r="111" spans="1:32" ht="11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</row>
    <row r="112" spans="1:32" ht="11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</row>
    <row r="113" spans="1:32" ht="11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</row>
    <row r="114" spans="1:32" ht="11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</row>
    <row r="115" spans="1:32" ht="11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</row>
    <row r="116" spans="1:32" ht="11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</row>
    <row r="117" spans="1:32" ht="11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</row>
    <row r="118" spans="1:32" ht="11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</row>
    <row r="119" spans="1:32" ht="11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</row>
    <row r="120" spans="1:32" ht="11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</row>
    <row r="121" spans="1:32" ht="11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</row>
    <row r="122" spans="1:32" ht="11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</row>
    <row r="123" spans="1:32" ht="11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</row>
    <row r="124" spans="1:32" ht="11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</row>
    <row r="125" spans="1:32" ht="11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</row>
    <row r="126" spans="1:32" ht="11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</row>
    <row r="127" spans="1:32" ht="11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</row>
    <row r="128" spans="1:32" ht="11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</row>
    <row r="129" spans="1:32" ht="11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</row>
    <row r="130" spans="1:32" ht="11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</row>
    <row r="131" spans="1:32" ht="11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</row>
    <row r="132" spans="1:32" ht="11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</row>
    <row r="133" spans="1:32" ht="11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</row>
    <row r="134" spans="1:32" ht="11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</row>
    <row r="135" spans="1:32" ht="11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</row>
    <row r="136" spans="1:32" ht="11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</row>
    <row r="137" spans="1:32" ht="11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</row>
    <row r="138" spans="1:32" ht="11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</row>
    <row r="139" spans="1:32" ht="11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</row>
    <row r="140" spans="1:32" ht="11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</row>
    <row r="141" spans="1:32" ht="11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</row>
    <row r="142" spans="1:32" ht="11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</row>
    <row r="143" spans="1:32" ht="11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</row>
    <row r="144" spans="1:32" ht="11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</row>
    <row r="145" spans="1:32" ht="11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</row>
    <row r="146" spans="1:32" ht="11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</row>
    <row r="147" spans="1:32" ht="11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</row>
    <row r="148" spans="1:32" ht="11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</row>
    <row r="149" spans="1:32" ht="11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</row>
    <row r="150" spans="1:32" ht="11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</row>
    <row r="151" spans="1:32" ht="11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</row>
    <row r="152" spans="1:32" ht="11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</row>
    <row r="153" spans="1:32" ht="11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</row>
    <row r="154" spans="1:32" ht="11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</row>
    <row r="155" spans="1:32" ht="11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</row>
    <row r="156" spans="1:32" ht="11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</row>
    <row r="157" spans="1:32" ht="11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</row>
    <row r="158" spans="1:32" ht="11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</row>
    <row r="159" spans="1:32" ht="11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</row>
    <row r="160" spans="1:32" ht="11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</row>
    <row r="161" spans="1:32" ht="11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</row>
    <row r="162" spans="1:32" ht="11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</row>
    <row r="163" spans="1:32" ht="11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</row>
    <row r="164" spans="1:32" ht="11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</row>
    <row r="165" spans="1:32" ht="11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</row>
    <row r="166" spans="1:32" ht="11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</row>
    <row r="167" spans="1:32" ht="11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</row>
    <row r="168" spans="1:32" ht="11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</row>
    <row r="169" spans="1:32" ht="11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</row>
    <row r="170" spans="1:32" ht="11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</row>
    <row r="171" spans="1:32" ht="11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</row>
    <row r="172" spans="1:32" ht="11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</row>
    <row r="173" spans="1:32" ht="11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</row>
    <row r="174" spans="1:32" ht="11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</row>
    <row r="175" spans="1:32" ht="11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</row>
    <row r="176" spans="1:32" ht="11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</row>
    <row r="177" spans="1:32" ht="11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</row>
    <row r="178" spans="1:32" ht="11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</row>
    <row r="179" spans="1:32" ht="11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</row>
    <row r="180" spans="1:32" ht="11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</row>
    <row r="181" spans="1:32" ht="11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</row>
    <row r="182" spans="1:32" ht="11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</row>
    <row r="183" spans="1:32" ht="11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</row>
    <row r="184" spans="1:32" ht="11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</row>
    <row r="185" spans="1:32" ht="11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</row>
    <row r="186" spans="1:32" ht="11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</row>
    <row r="187" spans="1:32" ht="11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</row>
    <row r="188" spans="1:32" ht="11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</row>
    <row r="189" spans="1:32" ht="11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</row>
    <row r="190" spans="1:32" ht="11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</row>
    <row r="191" spans="1:32" ht="11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</row>
    <row r="192" spans="1:32" ht="11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</row>
    <row r="193" spans="1:32" ht="11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</row>
    <row r="194" spans="1:32" ht="11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</row>
    <row r="195" spans="1:32" ht="11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</row>
    <row r="196" spans="1:32" ht="11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</row>
    <row r="197" spans="1:32" ht="11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</row>
    <row r="198" spans="1:32" ht="11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</row>
    <row r="199" spans="1:32" ht="11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</row>
    <row r="200" spans="1:32" ht="11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</row>
    <row r="201" spans="1:32" ht="11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</row>
    <row r="202" spans="1:32" ht="11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</row>
    <row r="203" spans="1:32" ht="11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</row>
    <row r="204" spans="1:32" ht="11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</row>
    <row r="205" spans="1:32" ht="11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</row>
    <row r="206" spans="1:32" ht="11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</row>
    <row r="207" spans="1:32" ht="11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</row>
    <row r="208" spans="1:32" ht="11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</row>
    <row r="209" spans="1:32" ht="11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</row>
    <row r="210" spans="1:32" ht="11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</row>
    <row r="211" spans="1:32" ht="11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</row>
    <row r="212" spans="1:32" ht="11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</row>
    <row r="213" spans="1:32" ht="11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</row>
    <row r="214" spans="1:32" ht="11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</row>
    <row r="215" spans="1:32" ht="11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</row>
    <row r="216" spans="1:32" ht="11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</row>
    <row r="217" spans="1:32" ht="11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</row>
    <row r="218" spans="1:32" ht="11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</row>
    <row r="219" spans="1:32" ht="11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</row>
    <row r="220" spans="1:32" ht="11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</row>
    <row r="221" spans="1:32" ht="11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</row>
    <row r="222" spans="1:32" ht="11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</row>
    <row r="223" spans="1:32" ht="11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</row>
    <row r="224" spans="1:32" ht="11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</row>
    <row r="225" spans="1:32" ht="11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</row>
    <row r="226" spans="1:32" ht="11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</row>
    <row r="227" spans="1:32" ht="11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</row>
    <row r="228" spans="1:32" ht="11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</row>
    <row r="229" spans="1:32" ht="11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</row>
    <row r="230" spans="1:32" ht="11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</row>
    <row r="231" spans="1:32" ht="11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</row>
    <row r="232" spans="1:32" ht="11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</row>
    <row r="233" spans="1:32" ht="11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</row>
    <row r="234" spans="1:32" ht="11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</row>
    <row r="235" spans="1:32" ht="11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</row>
    <row r="236" spans="1:32" ht="11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</row>
    <row r="237" spans="1:32" ht="11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</row>
    <row r="238" spans="1:32" ht="11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</row>
    <row r="239" spans="1:32" ht="11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</row>
    <row r="240" spans="1:32" ht="11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</row>
    <row r="241" spans="1:32" ht="11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</row>
    <row r="242" spans="1:32" ht="11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</row>
    <row r="243" spans="1:32" ht="11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</row>
    <row r="244" spans="1:32" ht="11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</row>
    <row r="245" spans="1:32" ht="11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</row>
    <row r="246" spans="1:32" ht="11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</row>
    <row r="247" spans="1:32" ht="11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</row>
    <row r="248" spans="1:32" ht="11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</row>
    <row r="249" spans="1:32" ht="11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</row>
    <row r="250" spans="1:32" ht="11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</row>
    <row r="251" spans="1:32" ht="11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</row>
    <row r="252" spans="1:32" ht="11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</row>
    <row r="253" spans="1:32" ht="11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</row>
    <row r="254" spans="1:32" ht="11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</row>
    <row r="255" spans="1:32" ht="11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</row>
    <row r="256" spans="1:32" ht="11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</row>
    <row r="257" spans="1:32" ht="11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</row>
    <row r="258" spans="1:32" ht="11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</row>
    <row r="259" spans="1:32" ht="11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</row>
    <row r="260" spans="1:32" ht="11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</row>
    <row r="261" spans="1:32" ht="11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</row>
    <row r="262" spans="1:32" ht="11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</row>
    <row r="263" spans="1:32" ht="11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</row>
    <row r="264" spans="1:32" ht="11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</row>
    <row r="265" spans="1:32" ht="11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</row>
    <row r="266" spans="1:32" ht="11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</row>
    <row r="267" spans="1:32" ht="11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</row>
    <row r="268" spans="1:32" ht="11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</row>
    <row r="269" spans="1:32" ht="11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</row>
    <row r="270" spans="1:32" ht="11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</row>
    <row r="271" spans="1:32" ht="11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</row>
    <row r="272" spans="1:32" ht="11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</row>
    <row r="273" spans="1:32" ht="11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</row>
    <row r="274" spans="1:32" ht="11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</row>
    <row r="275" spans="1:32" ht="11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</row>
    <row r="276" spans="1:32" ht="11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</row>
    <row r="277" spans="1:32" ht="11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</row>
    <row r="278" spans="1:32" ht="11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</row>
    <row r="279" spans="1:32" ht="11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</row>
    <row r="280" spans="1:32" ht="11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</row>
    <row r="281" spans="1:32" ht="11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</row>
    <row r="282" spans="1:32" ht="11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</row>
    <row r="283" spans="1:32" ht="11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</row>
    <row r="284" spans="1:32" ht="11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</row>
    <row r="285" spans="1:32" ht="11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</row>
    <row r="286" spans="1:32" ht="11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</row>
    <row r="287" spans="1:32" ht="11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</row>
    <row r="288" spans="1:32" ht="11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</row>
    <row r="289" spans="1:32" ht="11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</row>
    <row r="290" spans="1:32" ht="11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</row>
    <row r="291" spans="1:32" ht="11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</row>
    <row r="292" spans="1:32" ht="11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</row>
    <row r="293" spans="1:32" ht="11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</row>
    <row r="294" spans="1:32" ht="11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  <row r="295" spans="1:32" ht="11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</row>
    <row r="296" spans="1:32" ht="11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</row>
    <row r="297" spans="1:32" ht="11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</row>
    <row r="298" spans="1:32" ht="11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</row>
    <row r="299" spans="1:32" ht="11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</row>
    <row r="300" spans="1:32" ht="11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</row>
    <row r="301" spans="1:32" ht="11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</row>
    <row r="302" spans="1:32" ht="11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</row>
    <row r="303" spans="1:32" ht="11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</row>
    <row r="304" spans="1:32" ht="11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</row>
    <row r="305" spans="1:32" ht="11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</row>
    <row r="306" spans="1:32" ht="11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</row>
    <row r="307" spans="1:32" ht="11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</row>
    <row r="308" spans="1:32" ht="11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</row>
    <row r="309" spans="1:32" ht="11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</row>
    <row r="310" spans="1:32" ht="11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</row>
    <row r="311" spans="1:32" ht="11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</row>
    <row r="312" spans="1:32" ht="11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</row>
    <row r="313" spans="1:32" ht="11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</row>
    <row r="314" spans="1:32" ht="11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</row>
    <row r="315" spans="1:32" ht="11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</row>
    <row r="316" spans="1:32" ht="11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</row>
    <row r="317" spans="1:32" ht="11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</row>
    <row r="318" spans="1:32" ht="11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</row>
    <row r="319" spans="1:32" ht="11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</row>
    <row r="320" spans="1:32" ht="11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</row>
    <row r="321" spans="1:32" ht="11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</row>
    <row r="322" spans="1:32" ht="11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</row>
    <row r="323" spans="1:32" ht="11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</row>
    <row r="324" spans="1:32" ht="11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</row>
    <row r="325" spans="1:32" ht="11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</row>
    <row r="326" spans="1:32" ht="11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</row>
    <row r="327" spans="1:32" ht="11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</row>
    <row r="328" spans="1:32" ht="11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</row>
    <row r="329" spans="1:32" ht="11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</row>
    <row r="330" spans="1:32" ht="11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</row>
    <row r="331" spans="1:32" ht="11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</row>
    <row r="332" spans="1:32" ht="11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</row>
    <row r="333" spans="1:32" ht="11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</row>
    <row r="334" spans="1:32" ht="11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</row>
    <row r="335" spans="1:32" ht="11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</row>
    <row r="336" spans="1:32" ht="11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</row>
    <row r="337" spans="1:32" ht="11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</row>
    <row r="338" spans="1:32" ht="11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</row>
    <row r="339" spans="1:32" ht="11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</row>
    <row r="340" spans="1:32" ht="11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</row>
    <row r="341" spans="1:32" ht="11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</row>
    <row r="342" spans="1:32" ht="11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</row>
    <row r="343" spans="1:32" ht="11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</row>
    <row r="344" spans="1:32" ht="11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</row>
    <row r="345" spans="1:32" ht="11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</row>
    <row r="346" spans="1:32" ht="11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</row>
    <row r="347" spans="1:32" ht="11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</row>
    <row r="348" spans="1:32" ht="11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</row>
    <row r="349" spans="1:32" ht="11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</row>
    <row r="350" spans="1:32" ht="11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</row>
    <row r="351" spans="1:32" ht="11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</row>
    <row r="352" spans="1:32" ht="11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</row>
    <row r="353" spans="1:32" ht="11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</row>
    <row r="354" spans="1:32" ht="11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</row>
    <row r="355" spans="1:32" ht="11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</row>
    <row r="356" spans="1:32" ht="11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</row>
    <row r="357" spans="1:32" ht="11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</row>
    <row r="358" spans="1:32" ht="11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</row>
    <row r="359" spans="1:32" ht="11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</row>
    <row r="360" spans="1:32" ht="11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</row>
    <row r="361" spans="1:32" ht="11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</row>
    <row r="362" spans="1:32" ht="11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</row>
    <row r="363" spans="1:32" ht="11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</row>
    <row r="364" spans="1:32" ht="11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</row>
    <row r="365" spans="1:32" ht="11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</row>
    <row r="366" spans="1:32" ht="11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</row>
    <row r="367" spans="1:32" ht="11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</row>
    <row r="368" spans="1:32" ht="11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</row>
    <row r="369" spans="1:32" ht="11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</row>
    <row r="370" spans="1:32" ht="11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</row>
    <row r="371" spans="1:32" ht="11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</row>
    <row r="372" spans="1:32" ht="11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</row>
    <row r="373" spans="1:32" ht="11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</row>
    <row r="374" spans="1:32" ht="11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</row>
    <row r="375" spans="1:32" ht="11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</row>
    <row r="376" spans="1:32" ht="11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</row>
    <row r="377" spans="1:32" ht="11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</row>
    <row r="378" spans="1:32" ht="11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</row>
    <row r="379" spans="1:32" ht="11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</row>
    <row r="380" spans="1:32" ht="11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</row>
    <row r="381" spans="1:32" ht="11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</row>
    <row r="382" spans="1:32" ht="11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</row>
    <row r="383" spans="1:32" ht="11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</row>
    <row r="384" spans="1:32" ht="11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</row>
    <row r="385" spans="1:32" ht="11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</row>
    <row r="386" spans="1:32" ht="11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</row>
    <row r="387" spans="1:32" ht="11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</row>
    <row r="388" spans="1:32" ht="11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</row>
    <row r="389" spans="1:32" ht="11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</row>
    <row r="390" spans="1:32" ht="11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</row>
    <row r="391" spans="1:32" ht="11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</row>
    <row r="392" spans="1:32" ht="11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</row>
    <row r="393" spans="1:32" ht="11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</row>
    <row r="394" spans="1:32" ht="11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</row>
    <row r="395" spans="1:32" ht="11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</row>
    <row r="396" spans="1:32" ht="11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</row>
    <row r="397" spans="1:32" ht="11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</row>
    <row r="398" spans="1:32" ht="11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</row>
    <row r="399" spans="1:32" ht="11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</row>
    <row r="400" spans="1:32" ht="11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</row>
    <row r="401" spans="1:32" ht="11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</row>
    <row r="402" spans="1:32" ht="11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</row>
    <row r="403" spans="1:32" ht="11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</row>
    <row r="404" spans="1:32" ht="11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</row>
    <row r="405" spans="1:32" ht="11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</row>
    <row r="406" spans="1:32" ht="11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</row>
    <row r="407" spans="1:32" ht="11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</row>
    <row r="408" spans="1:32" ht="11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</row>
    <row r="409" spans="1:32" ht="11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</row>
    <row r="410" spans="1:32" ht="11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</row>
    <row r="411" spans="1:32" ht="11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</row>
    <row r="412" spans="1:32" ht="11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</row>
    <row r="413" spans="1:32" ht="11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</row>
    <row r="414" spans="1:32" ht="11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</row>
    <row r="415" spans="1:32" ht="11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</row>
    <row r="416" spans="1:32" ht="11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</row>
    <row r="417" spans="1:32" ht="11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</row>
    <row r="418" spans="1:32" ht="11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</row>
    <row r="419" spans="1:32" ht="11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</row>
    <row r="420" spans="1:32" ht="11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</row>
    <row r="421" spans="1:32" ht="11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</row>
    <row r="422" spans="1:32" ht="11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</row>
    <row r="423" spans="1:32" ht="11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</row>
    <row r="424" spans="1:32" ht="11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</row>
    <row r="425" spans="1:32" ht="11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</row>
    <row r="426" spans="1:32" ht="11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</row>
    <row r="427" spans="1:32" ht="11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</row>
    <row r="428" spans="1:32" ht="11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</row>
    <row r="429" spans="1:32" ht="11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</row>
    <row r="430" spans="1:32" ht="11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</row>
    <row r="431" spans="1:32" ht="11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</row>
    <row r="432" spans="1:32" ht="11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</row>
    <row r="433" spans="1:32" ht="11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</row>
    <row r="434" spans="1:32" ht="11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</row>
    <row r="435" spans="1:32" ht="11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</row>
    <row r="436" spans="1:32" ht="11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</row>
    <row r="437" spans="1:32" ht="11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</row>
    <row r="438" spans="1:32" ht="11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</row>
    <row r="439" spans="1:32" ht="11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</row>
    <row r="440" spans="1:32" ht="11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</row>
    <row r="441" spans="1:32" ht="11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</row>
    <row r="442" spans="1:32" ht="11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</row>
    <row r="443" spans="1:32" ht="11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</row>
    <row r="444" spans="1:32" ht="11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</row>
    <row r="445" spans="1:32" ht="11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</row>
    <row r="446" spans="1:32" ht="11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</row>
    <row r="447" spans="1:32" ht="11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</row>
    <row r="448" spans="1:32" ht="11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</row>
    <row r="449" spans="1:32" ht="11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</row>
    <row r="450" spans="1:32" ht="11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</row>
    <row r="451" spans="1:32" ht="11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</row>
    <row r="452" spans="1:32" ht="11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</row>
    <row r="453" spans="1:32" ht="11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</row>
    <row r="454" spans="1:32" ht="11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</row>
    <row r="455" spans="1:32" ht="11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</row>
    <row r="456" spans="1:32" ht="11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</row>
    <row r="457" spans="1:32" ht="11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</row>
    <row r="458" spans="1:32" ht="11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</row>
    <row r="459" spans="1:32" ht="11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</row>
    <row r="460" spans="1:32" ht="11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</row>
    <row r="461" spans="1:32" ht="11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</row>
    <row r="462" spans="1:32" ht="11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</row>
    <row r="463" spans="1:32" ht="11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</row>
    <row r="464" spans="1:32" ht="11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</row>
    <row r="465" spans="1:32" ht="11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</row>
    <row r="466" spans="1:32" ht="11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</row>
    <row r="467" spans="1:32" ht="11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</row>
    <row r="468" spans="1:32" ht="11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</row>
    <row r="469" spans="1:32" ht="11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</row>
    <row r="470" spans="1:32" ht="11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</row>
    <row r="471" spans="1:32" ht="11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</row>
    <row r="472" spans="1:32" ht="11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</row>
    <row r="473" spans="1:32" ht="11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</row>
    <row r="474" spans="1:32" ht="11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</row>
    <row r="475" spans="1:32" ht="11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</row>
    <row r="476" spans="1:32" ht="11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</row>
    <row r="477" spans="1:32" ht="11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</row>
    <row r="478" spans="1:32" ht="11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</row>
    <row r="479" spans="1:32" ht="11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</row>
    <row r="480" spans="1:32" ht="11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</row>
    <row r="481" spans="1:32" ht="11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</row>
    <row r="482" spans="1:32" ht="11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</row>
    <row r="483" spans="1:32" ht="11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</row>
    <row r="484" spans="1:32" ht="11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</row>
    <row r="485" spans="1:32" ht="11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</row>
    <row r="486" spans="1:32" ht="11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</row>
    <row r="487" spans="1:32" ht="11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</row>
    <row r="488" spans="1:32" ht="11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</row>
    <row r="489" spans="1:32" ht="11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</row>
    <row r="490" spans="1:32" ht="11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</row>
    <row r="491" spans="1:32" ht="11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</row>
    <row r="492" spans="1:32" ht="11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</row>
    <row r="493" spans="1:32" ht="11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</row>
    <row r="494" spans="1:32" ht="11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</row>
    <row r="495" spans="1:32" ht="11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</row>
    <row r="496" spans="1:32" ht="11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</row>
    <row r="497" spans="1:32" ht="11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</row>
    <row r="498" spans="1:32" ht="11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</row>
    <row r="499" spans="1:32" ht="11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</row>
    <row r="500" spans="1:32" ht="11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</row>
    <row r="501" spans="1:32" ht="11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</row>
    <row r="502" spans="1:32" ht="11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</row>
    <row r="503" spans="1:32" ht="11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</row>
    <row r="504" spans="1:32" ht="11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</row>
    <row r="505" spans="1:32" ht="11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</row>
    <row r="506" spans="1:32" ht="11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</row>
    <row r="507" spans="1:32" ht="11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</row>
    <row r="508" spans="1:32" ht="11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</row>
    <row r="509" spans="1:32" ht="11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</row>
    <row r="510" spans="1:32" ht="11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</row>
    <row r="511" spans="1:32" ht="11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</row>
    <row r="512" spans="1:32" ht="11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</row>
    <row r="513" spans="1:32" ht="11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</row>
    <row r="514" spans="1:32" ht="11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</row>
    <row r="515" spans="1:32" ht="11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</row>
    <row r="516" spans="1:32" ht="11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</row>
    <row r="517" spans="1:32" ht="11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</row>
    <row r="518" spans="1:32" ht="11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</row>
    <row r="519" spans="1:32" ht="11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</row>
    <row r="520" spans="1:32" ht="11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</row>
    <row r="521" spans="1:32" ht="11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</row>
    <row r="522" spans="1:32" ht="11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</row>
    <row r="523" spans="1:32" ht="11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</row>
    <row r="524" spans="1:32" ht="11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</row>
    <row r="525" spans="1:32" ht="11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</row>
    <row r="526" spans="1:32" ht="11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</row>
    <row r="527" spans="1:32" ht="11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</row>
    <row r="528" spans="1:32" ht="11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</row>
    <row r="529" spans="1:32" ht="11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</row>
    <row r="530" spans="1:32" ht="11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</row>
    <row r="531" spans="1:32" ht="11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</row>
    <row r="532" spans="1:32" ht="11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</row>
    <row r="533" spans="1:32" ht="11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</row>
    <row r="534" spans="1:32" ht="11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</row>
    <row r="535" spans="1:32" ht="11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</row>
    <row r="536" spans="1:32" ht="11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</row>
    <row r="537" spans="1:32" ht="11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</row>
    <row r="538" spans="1:32" ht="11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</row>
    <row r="539" spans="1:32" ht="11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</row>
    <row r="540" spans="1:32" ht="11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</row>
    <row r="541" spans="1:32" ht="11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</row>
    <row r="542" spans="1:32" ht="11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</row>
    <row r="543" spans="1:32" ht="11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</row>
    <row r="544" spans="1:32" ht="11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</row>
    <row r="545" spans="1:32" ht="11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</row>
    <row r="546" spans="1:32" ht="11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</row>
    <row r="547" spans="1:32" ht="11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</row>
    <row r="548" spans="1:32" ht="11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</row>
    <row r="549" spans="1:32" ht="11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</row>
    <row r="550" spans="1:32" ht="11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</row>
    <row r="551" spans="1:32" ht="11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</row>
    <row r="552" spans="1:32" ht="11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</row>
    <row r="553" spans="1:32" ht="11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</row>
    <row r="554" spans="1:32" ht="11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</row>
    <row r="555" spans="1:32" ht="11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</row>
    <row r="556" spans="1:32" ht="11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</row>
    <row r="557" spans="1:32" ht="11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</row>
    <row r="558" spans="1:32" ht="11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</row>
    <row r="559" spans="1:32" ht="11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</row>
    <row r="560" spans="1:32" ht="11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</row>
    <row r="561" spans="1:32" ht="11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</row>
    <row r="562" spans="1:32" ht="11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</row>
    <row r="563" spans="1:32" ht="11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</row>
    <row r="564" spans="1:32" ht="11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</row>
    <row r="565" spans="1:32" ht="11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</row>
    <row r="566" spans="1:32" ht="11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</row>
    <row r="567" spans="1:32" ht="11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</row>
    <row r="568" spans="1:32" ht="11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</row>
    <row r="569" spans="1:32" ht="11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</row>
    <row r="570" spans="1:32" ht="11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</row>
    <row r="571" spans="1:32" ht="11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</row>
    <row r="572" spans="1:32" ht="11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</row>
    <row r="573" spans="1:32" ht="11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</row>
    <row r="574" spans="1:32" ht="11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</row>
    <row r="575" spans="1:32" ht="11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</row>
    <row r="576" spans="1:32" ht="11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</row>
    <row r="577" spans="1:32" ht="11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</row>
    <row r="578" spans="1:32" ht="11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</row>
    <row r="579" spans="1:32" ht="11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</row>
    <row r="580" spans="1:32" ht="11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</row>
    <row r="581" spans="1:32" ht="11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</row>
    <row r="582" spans="1:32" ht="11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</row>
    <row r="583" spans="1:32" ht="11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</row>
    <row r="584" spans="1:32" ht="11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</row>
    <row r="585" spans="1:32" ht="11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</row>
    <row r="586" spans="1:32" ht="11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</row>
    <row r="587" spans="1:32" ht="11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</row>
    <row r="588" spans="1:32" ht="11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</row>
    <row r="589" spans="1:32" ht="11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</row>
    <row r="590" spans="1:32" ht="11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</row>
    <row r="591" spans="1:32" ht="11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</row>
    <row r="592" spans="1:32" ht="11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</row>
    <row r="593" spans="1:32" ht="11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</row>
    <row r="594" spans="1:32" ht="11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</row>
    <row r="595" spans="1:32" ht="11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</row>
    <row r="596" spans="1:32" ht="11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</row>
    <row r="597" spans="1:32" ht="11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</row>
    <row r="598" spans="1:32" ht="11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</row>
    <row r="599" spans="1:32" ht="11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</row>
    <row r="600" spans="1:32" ht="11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</row>
    <row r="601" spans="1:32" ht="11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</row>
    <row r="602" spans="1:32" ht="11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</row>
    <row r="603" spans="1:32" ht="11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</row>
    <row r="604" spans="1:32" ht="11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</row>
    <row r="605" spans="1:32" ht="11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</row>
    <row r="606" spans="1:32" ht="11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</row>
    <row r="607" spans="1:32" ht="11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</row>
    <row r="608" spans="1:32" ht="11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</row>
    <row r="609" spans="1:32" ht="11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</row>
    <row r="610" spans="1:32" ht="11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</row>
    <row r="611" spans="1:32" ht="11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</row>
    <row r="612" spans="1:32" ht="11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</row>
    <row r="613" spans="1:32" ht="11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</row>
    <row r="614" spans="1:32" ht="11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</row>
    <row r="615" spans="1:32" ht="11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</row>
    <row r="616" spans="1:32" ht="11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</row>
    <row r="617" spans="1:32" ht="11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</row>
    <row r="618" spans="1:32" ht="11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</row>
    <row r="619" spans="1:32" ht="11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</row>
    <row r="620" spans="1:32" ht="11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</row>
    <row r="621" spans="1:32" ht="11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</row>
    <row r="622" spans="1:32" ht="11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</row>
    <row r="623" spans="1:32" ht="11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</row>
    <row r="624" spans="1:32" ht="11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</row>
    <row r="625" spans="1:32" ht="11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</row>
    <row r="626" spans="1:32" ht="11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</row>
    <row r="627" spans="1:32" ht="11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</row>
    <row r="628" spans="1:32" ht="11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</row>
    <row r="629" spans="1:32" ht="11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</row>
    <row r="630" spans="1:32" ht="11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</row>
    <row r="631" spans="1:32" ht="11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</row>
    <row r="632" spans="1:32" ht="11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</row>
    <row r="633" spans="1:32" ht="11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</row>
    <row r="634" spans="1:32" ht="11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</row>
    <row r="635" spans="1:32" ht="11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</row>
    <row r="636" spans="1:32" ht="11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</row>
    <row r="637" spans="1:32" ht="11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</row>
    <row r="638" spans="1:32" ht="11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</row>
    <row r="639" spans="1:32" ht="11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</row>
    <row r="640" spans="1:32" ht="11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</row>
    <row r="641" spans="1:32" ht="11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</row>
    <row r="642" spans="1:32" ht="11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</row>
    <row r="643" spans="1:32" ht="11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</row>
    <row r="644" spans="1:32" ht="11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</row>
    <row r="645" spans="1:32" ht="11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</row>
    <row r="646" spans="1:32" ht="11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</row>
    <row r="647" spans="1:32" ht="11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</row>
    <row r="648" spans="1:32" ht="11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</row>
    <row r="649" spans="1:32" ht="11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</row>
    <row r="650" spans="1:32" ht="11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</row>
    <row r="651" spans="1:32" ht="11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</row>
    <row r="652" spans="1:32" ht="11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</row>
    <row r="653" spans="1:32" ht="11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</row>
    <row r="654" spans="1:32" ht="11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</row>
    <row r="655" spans="1:32" ht="11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</row>
    <row r="656" spans="1:32" ht="11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</row>
    <row r="657" spans="1:32" ht="11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</row>
    <row r="658" spans="1:32" ht="11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</row>
    <row r="659" spans="1:32" ht="11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</row>
    <row r="660" spans="1:32" ht="11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</row>
    <row r="661" spans="1:32" ht="11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</row>
    <row r="662" spans="1:32" ht="11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</row>
    <row r="663" spans="1:32" ht="11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</row>
    <row r="664" spans="1:32" ht="11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</row>
    <row r="665" spans="1:32" ht="11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</row>
    <row r="666" spans="1:32" ht="11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</row>
    <row r="667" spans="1:32" ht="11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</row>
    <row r="668" spans="1:32" ht="11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</row>
    <row r="669" spans="1:32" ht="11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</row>
    <row r="670" spans="1:32" ht="11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</row>
    <row r="671" spans="1:32" ht="11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</row>
    <row r="672" spans="1:32" ht="11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</row>
    <row r="673" spans="1:32" ht="11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</row>
    <row r="674" spans="1:32" ht="11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</row>
    <row r="675" spans="1:32" ht="11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</row>
    <row r="676" spans="1:32" ht="11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</row>
    <row r="677" spans="1:32" ht="11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</row>
    <row r="678" spans="1:32" ht="11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</row>
    <row r="679" spans="1:32" ht="11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</row>
    <row r="680" spans="1:32" ht="11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</row>
    <row r="681" spans="1:32" ht="11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</row>
    <row r="682" spans="1:32" ht="11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</row>
    <row r="683" spans="1:32" ht="11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</row>
    <row r="684" spans="1:32" ht="11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</row>
    <row r="685" spans="1:32" ht="11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</row>
    <row r="686" spans="1:32" ht="11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</row>
    <row r="687" spans="1:32" ht="11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</row>
    <row r="688" spans="1:32" ht="11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</row>
    <row r="689" spans="1:32" ht="11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</row>
    <row r="690" spans="1:32" ht="11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</row>
    <row r="691" spans="1:32" ht="11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</row>
    <row r="692" spans="1:32" ht="11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</row>
    <row r="693" spans="1:32" ht="11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</row>
    <row r="694" spans="1:32" ht="11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</row>
    <row r="695" spans="1:32" ht="11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</row>
    <row r="696" spans="1:32" ht="11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</row>
    <row r="697" spans="1:32" ht="11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</row>
    <row r="698" spans="1:32" ht="11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</row>
    <row r="699" spans="1:32" ht="11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</row>
    <row r="700" spans="1:32" ht="11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</row>
    <row r="701" spans="1:32" ht="11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</row>
    <row r="702" spans="1:32" ht="11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</row>
    <row r="703" spans="1:32" ht="11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</row>
    <row r="704" spans="1:32" ht="11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</row>
    <row r="705" spans="1:32" ht="11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</row>
    <row r="706" spans="1:32" ht="11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</row>
    <row r="707" spans="1:32" ht="11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</row>
    <row r="708" spans="1:32" ht="11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</row>
    <row r="709" spans="1:32" ht="11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</row>
    <row r="710" spans="1:32" ht="11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</row>
    <row r="711" spans="1:32" ht="11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</row>
    <row r="712" spans="1:32" ht="11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</row>
    <row r="713" spans="1:32" ht="11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</row>
    <row r="714" spans="1:32" ht="11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</row>
    <row r="715" spans="1:32" ht="11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</row>
    <row r="716" spans="1:32" ht="11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</row>
    <row r="717" spans="1:32" ht="11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</row>
    <row r="718" spans="1:32" ht="11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</row>
    <row r="719" spans="1:32" ht="11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</row>
    <row r="720" spans="1:32" ht="11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</row>
    <row r="721" spans="1:32" ht="11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</row>
    <row r="722" spans="1:32" ht="11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</row>
    <row r="723" spans="1:32" ht="11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</row>
    <row r="724" spans="1:32" ht="11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</row>
    <row r="725" spans="1:32" ht="11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</row>
    <row r="726" spans="1:32" ht="11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</row>
    <row r="727" spans="1:32" ht="11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</row>
    <row r="728" spans="1:32" ht="11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</row>
    <row r="729" spans="1:32" ht="11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</row>
    <row r="730" spans="1:32" ht="11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</row>
    <row r="731" spans="1:32" ht="11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</row>
    <row r="732" spans="1:32" ht="11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</row>
    <row r="733" spans="1:32" ht="11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</row>
    <row r="734" spans="1:32" ht="11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</row>
    <row r="735" spans="1:32" ht="11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</row>
    <row r="736" spans="1:32" ht="11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</row>
    <row r="737" spans="1:32" ht="11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</row>
    <row r="738" spans="1:32" ht="11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</row>
    <row r="739" spans="1:32" ht="11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</row>
    <row r="740" spans="1:32" ht="11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</row>
    <row r="741" spans="1:32" ht="11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</row>
    <row r="742" spans="1:32" ht="11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</row>
    <row r="743" spans="1:32" ht="11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</row>
    <row r="744" spans="1:32" ht="11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</row>
    <row r="745" spans="1:32" ht="11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</row>
    <row r="746" spans="1:32" ht="11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</row>
    <row r="747" spans="1:32" ht="11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</row>
    <row r="748" spans="1:32" ht="11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</row>
    <row r="749" spans="1:32" ht="11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</row>
    <row r="750" spans="1:32" ht="11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</row>
    <row r="751" spans="1:32" ht="11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</row>
    <row r="752" spans="1:32" ht="11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</row>
    <row r="753" spans="1:32" ht="11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</row>
    <row r="754" spans="1:32" ht="11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</row>
    <row r="755" spans="1:32" ht="11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</row>
    <row r="756" spans="1:32" ht="11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</row>
    <row r="757" spans="1:32" ht="11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</row>
    <row r="758" spans="1:32" ht="11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</row>
    <row r="759" spans="1:32" ht="11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</row>
    <row r="760" spans="1:32" ht="11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</row>
    <row r="761" spans="1:32" ht="11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</row>
    <row r="762" spans="1:32" ht="11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</row>
    <row r="763" spans="1:32" ht="11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</row>
    <row r="764" spans="1:32" ht="11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</row>
    <row r="765" spans="1:32" ht="11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</row>
    <row r="766" spans="1:32" ht="11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</row>
    <row r="767" spans="1:32" ht="11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</row>
    <row r="768" spans="1:32" ht="11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</row>
    <row r="769" spans="1:32" ht="11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</row>
    <row r="770" spans="1:32" ht="11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</row>
    <row r="771" spans="1:32" ht="11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</row>
    <row r="772" spans="1:32" ht="11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</row>
    <row r="773" spans="1:32" ht="11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</row>
    <row r="774" spans="1:32" ht="11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</row>
    <row r="775" spans="1:32" ht="11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</row>
    <row r="776" spans="1:32" ht="11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</row>
    <row r="777" spans="1:32" ht="11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</row>
    <row r="778" spans="1:32" ht="11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</row>
    <row r="779" spans="1:32" ht="11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</row>
    <row r="780" spans="1:32" ht="11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</row>
    <row r="781" spans="1:32" ht="11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</row>
    <row r="782" spans="1:32" ht="11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</row>
    <row r="783" spans="1:32" ht="11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</row>
    <row r="784" spans="1:32" ht="11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</row>
    <row r="785" spans="1:32" ht="11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</row>
    <row r="786" spans="1:32" ht="11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</row>
    <row r="787" spans="1:32" ht="11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</row>
    <row r="788" spans="1:32" ht="11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</row>
    <row r="789" spans="1:32" ht="11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</row>
    <row r="790" spans="1:32" ht="11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</row>
    <row r="791" spans="1:32" ht="11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</row>
    <row r="792" spans="1:32" ht="11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</row>
    <row r="793" spans="1:32" ht="11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</row>
    <row r="794" spans="1:32" ht="11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</row>
    <row r="795" spans="1:32" ht="11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</row>
    <row r="796" spans="1:32" ht="11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</row>
    <row r="797" spans="1:32" ht="11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</row>
    <row r="798" spans="1:32" ht="11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</row>
    <row r="799" spans="1:32" ht="11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</row>
    <row r="800" spans="1:32" ht="11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</row>
    <row r="801" spans="1:32" ht="11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</row>
    <row r="802" spans="1:32" ht="11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</row>
    <row r="803" spans="1:32" ht="11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</row>
    <row r="804" spans="1:32" ht="11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</row>
    <row r="805" spans="1:32" ht="11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</row>
    <row r="806" spans="1:32" ht="11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</row>
    <row r="807" spans="1:32" ht="11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</row>
    <row r="808" spans="1:32" ht="11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</row>
    <row r="809" spans="1:32" ht="11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</row>
    <row r="810" spans="1:32" ht="11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</row>
    <row r="811" spans="1:32" ht="11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</row>
    <row r="812" spans="1:32" ht="11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</row>
    <row r="813" spans="1:32" ht="11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</row>
    <row r="814" spans="1:32" ht="11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</row>
    <row r="815" spans="1:32" ht="11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</row>
    <row r="816" spans="1:32" ht="11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</row>
    <row r="817" spans="1:32" ht="11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</row>
    <row r="818" spans="1:32" ht="11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</row>
    <row r="819" spans="1:32" ht="11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</row>
    <row r="820" spans="1:32" ht="11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</row>
    <row r="821" spans="1:32" ht="11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</row>
    <row r="822" spans="1:32" ht="11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</row>
    <row r="823" spans="1:32" ht="11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</row>
    <row r="824" spans="1:32" ht="11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</row>
    <row r="825" spans="1:32" ht="11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</row>
    <row r="826" spans="1:32" ht="11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</row>
    <row r="827" spans="1:32" ht="11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</row>
    <row r="828" spans="1:32" ht="11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</row>
    <row r="829" spans="1:32" ht="11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</row>
    <row r="830" spans="1:32" ht="11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</row>
    <row r="831" spans="1:32" ht="11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</row>
    <row r="832" spans="1:32" ht="11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</row>
    <row r="833" spans="1:32" ht="11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</row>
    <row r="834" spans="1:32" ht="11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</row>
    <row r="835" spans="1:32" ht="11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</row>
    <row r="836" spans="1:32" ht="11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</row>
    <row r="837" spans="1:32" ht="11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</row>
    <row r="838" spans="1:32" ht="11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</row>
    <row r="839" spans="1:32" ht="11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</row>
    <row r="840" spans="1:32" ht="11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</row>
    <row r="841" spans="1:32" ht="11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</row>
    <row r="842" spans="1:32" ht="11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</row>
    <row r="843" spans="1:32" ht="11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</row>
    <row r="844" spans="1:32" ht="11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</row>
    <row r="845" spans="1:32" ht="11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</row>
    <row r="846" spans="1:32" ht="11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</row>
    <row r="847" spans="1:32" ht="11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</row>
    <row r="848" spans="1:32" ht="11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</row>
    <row r="849" spans="1:32" ht="11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</row>
    <row r="850" spans="1:32" ht="11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</row>
    <row r="851" spans="1:32" ht="11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</row>
    <row r="852" spans="1:32" ht="11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</row>
    <row r="853" spans="1:32" ht="11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</row>
    <row r="854" spans="1:32" ht="11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</row>
    <row r="855" spans="1:32" ht="11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</row>
    <row r="856" spans="1:32" ht="11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</row>
    <row r="857" spans="1:32" ht="11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</row>
    <row r="858" spans="1:32" ht="11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</row>
    <row r="859" spans="1:32" ht="11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</row>
    <row r="860" spans="1:32" ht="11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</row>
    <row r="861" spans="1:32" ht="11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</row>
    <row r="862" spans="1:32" ht="11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</row>
    <row r="863" spans="1:32" ht="11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</row>
    <row r="864" spans="1:32" ht="11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</row>
    <row r="865" spans="1:32" ht="11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</row>
    <row r="866" spans="1:32" ht="11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</row>
    <row r="867" spans="1:32" ht="11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</row>
    <row r="868" spans="1:32" ht="11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</row>
    <row r="869" spans="1:32" ht="11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</row>
    <row r="870" spans="1:32" ht="11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</row>
    <row r="871" spans="1:32" ht="11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</row>
    <row r="872" spans="1:32" ht="11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</row>
    <row r="873" spans="1:32" ht="11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</row>
    <row r="874" spans="1:32" ht="11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</row>
    <row r="875" spans="1:32" ht="11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</row>
    <row r="876" spans="1:32" ht="11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</row>
    <row r="877" spans="1:32" ht="11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</row>
    <row r="878" spans="1:32" ht="11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</row>
    <row r="879" spans="1:32" ht="11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</row>
    <row r="880" spans="1:32" ht="11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</row>
    <row r="881" spans="1:32" ht="11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</row>
    <row r="882" spans="1:32" ht="11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</row>
    <row r="883" spans="1:32" ht="11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</row>
    <row r="884" spans="1:32" ht="11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</row>
    <row r="885" spans="1:32" ht="11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</row>
    <row r="886" spans="1:32" ht="11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</row>
    <row r="887" spans="1:32" ht="11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</row>
    <row r="888" spans="1:32" ht="11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</row>
    <row r="889" spans="1:32" ht="11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</row>
    <row r="890" spans="1:32" ht="11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</row>
    <row r="891" spans="1:32" ht="11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</row>
    <row r="892" spans="1:32" ht="11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</row>
    <row r="893" spans="1:32" ht="11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</row>
    <row r="894" spans="1:32" ht="11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</row>
    <row r="895" spans="1:32" ht="11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</row>
    <row r="896" spans="1:32" ht="11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</row>
    <row r="897" spans="1:32" ht="11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</row>
    <row r="898" spans="1:32" ht="11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</row>
    <row r="899" spans="1:32" ht="11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</row>
    <row r="900" spans="1:32" ht="11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</row>
    <row r="901" spans="1:32" ht="11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</row>
    <row r="902" spans="1:32" ht="11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</row>
    <row r="903" spans="1:32" ht="11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</row>
    <row r="904" spans="1:32" ht="11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</row>
    <row r="905" spans="1:32" ht="11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</row>
    <row r="906" spans="1:32" ht="11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</row>
    <row r="907" spans="1:32" ht="11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</row>
    <row r="908" spans="1:32" ht="11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</row>
    <row r="909" spans="1:32" ht="11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</row>
    <row r="910" spans="1:32" ht="11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</row>
    <row r="911" spans="1:32" ht="11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</row>
    <row r="912" spans="1:32" ht="11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</row>
    <row r="913" spans="1:32" ht="11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</row>
    <row r="914" spans="1:32" ht="11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</row>
    <row r="915" spans="1:32" ht="11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</row>
    <row r="916" spans="1:32" ht="11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</row>
    <row r="917" spans="1:32" ht="11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</row>
    <row r="918" spans="1:32" ht="11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</row>
    <row r="919" spans="1:32" ht="11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</row>
    <row r="920" spans="1:32" ht="11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</row>
    <row r="921" spans="1:32" ht="11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</row>
    <row r="922" spans="1:32" ht="11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</row>
    <row r="923" spans="1:32" ht="11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</row>
    <row r="924" spans="1:32" ht="11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</row>
    <row r="925" spans="1:32" ht="11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</row>
    <row r="926" spans="1:32" ht="11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</row>
    <row r="927" spans="1:32" ht="11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</row>
    <row r="928" spans="1:32" ht="11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</row>
    <row r="929" spans="1:32" ht="11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</row>
    <row r="930" spans="1:32" ht="11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</row>
    <row r="931" spans="1:32" ht="11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</row>
    <row r="932" spans="1:32" ht="11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</row>
    <row r="933" spans="1:32" ht="11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</row>
    <row r="934" spans="1:32" ht="11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</row>
    <row r="935" spans="1:32" ht="11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</row>
    <row r="936" spans="1:32" ht="11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</row>
    <row r="937" spans="1:32" ht="11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</row>
    <row r="938" spans="1:32" ht="11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</row>
    <row r="939" spans="1:32" ht="11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</row>
    <row r="940" spans="1:32" ht="11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</row>
    <row r="941" spans="1:32" ht="11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</row>
    <row r="942" spans="1:32" ht="11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</row>
    <row r="943" spans="1:32" ht="11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</row>
    <row r="944" spans="1:32" ht="11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</row>
    <row r="945" spans="1:32" ht="11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</row>
    <row r="946" spans="1:32" ht="11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</row>
    <row r="947" spans="1:32" ht="11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</row>
    <row r="948" spans="1:32" ht="11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</row>
    <row r="949" spans="1:32" ht="11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</row>
    <row r="950" spans="1:32" ht="11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</row>
    <row r="951" spans="1:32" ht="11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</row>
    <row r="952" spans="1:32" ht="11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</row>
    <row r="953" spans="1:32" ht="11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</row>
    <row r="954" spans="1:32" ht="11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</row>
    <row r="955" spans="1:32" ht="11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</row>
    <row r="956" spans="1:32" ht="11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</row>
    <row r="957" spans="1:32" ht="11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</row>
    <row r="958" spans="1:32" ht="11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</row>
    <row r="959" spans="1:32" ht="11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</row>
    <row r="960" spans="1:32" ht="11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</row>
    <row r="961" spans="1:32" ht="11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</row>
    <row r="962" spans="1:32" ht="11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</row>
    <row r="963" spans="1:32" ht="11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</row>
    <row r="964" spans="1:32" ht="11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</row>
    <row r="965" spans="1:32" ht="11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</row>
    <row r="966" spans="1:32" ht="11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</row>
    <row r="967" spans="1:32" ht="11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</row>
    <row r="968" spans="1:32" ht="11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</row>
    <row r="969" spans="1:32" ht="11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</row>
    <row r="970" spans="1:32" ht="11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</row>
    <row r="971" spans="1:32" ht="11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</row>
    <row r="972" spans="1:32" ht="11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</row>
    <row r="973" spans="1:32" ht="11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</row>
    <row r="974" spans="1:32" ht="11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</row>
    <row r="975" spans="1:32" ht="11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</row>
    <row r="976" spans="1:32" ht="11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</row>
    <row r="977" spans="1:32" ht="11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</row>
    <row r="978" spans="1:32" ht="11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</row>
    <row r="979" spans="1:32" ht="11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</row>
    <row r="980" spans="1:32" ht="11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</row>
    <row r="981" spans="1:32" ht="11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</row>
    <row r="982" spans="1:32" ht="11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</row>
    <row r="983" spans="1:32" ht="11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</row>
    <row r="984" spans="1:32" ht="11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</row>
    <row r="985" spans="1:32" ht="11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</row>
    <row r="986" spans="1:32" ht="11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</row>
    <row r="987" spans="1:32" ht="11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</row>
    <row r="988" spans="1:32" ht="11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</row>
    <row r="989" spans="1:32" ht="11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</row>
    <row r="990" spans="1:32" ht="11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</row>
    <row r="991" spans="1:32" ht="11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</row>
    <row r="992" spans="1:32" ht="11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</row>
    <row r="993" spans="1:32" ht="11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</row>
    <row r="994" spans="1:32" ht="11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</row>
    <row r="995" spans="1:32" ht="11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</row>
    <row r="996" spans="1:32" ht="11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</row>
    <row r="997" spans="1:32" ht="11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</row>
  </sheetData>
  <mergeCells count="30">
    <mergeCell ref="O46:P46"/>
    <mergeCell ref="O47:P47"/>
    <mergeCell ref="O32:P32"/>
    <mergeCell ref="O33:P33"/>
    <mergeCell ref="O34:P34"/>
    <mergeCell ref="O35:P35"/>
    <mergeCell ref="B45:D45"/>
    <mergeCell ref="E45:G45"/>
    <mergeCell ref="H45:J45"/>
    <mergeCell ref="K45:M45"/>
    <mergeCell ref="O18:P18"/>
    <mergeCell ref="O19:P19"/>
    <mergeCell ref="O20:P20"/>
    <mergeCell ref="O21:P21"/>
    <mergeCell ref="B31:D31"/>
    <mergeCell ref="E31:G31"/>
    <mergeCell ref="H31:J31"/>
    <mergeCell ref="K31:M31"/>
    <mergeCell ref="O6:P6"/>
    <mergeCell ref="O7:P7"/>
    <mergeCell ref="B17:D17"/>
    <mergeCell ref="E17:G17"/>
    <mergeCell ref="H17:J17"/>
    <mergeCell ref="K17:M17"/>
    <mergeCell ref="O5:P5"/>
    <mergeCell ref="B3:D3"/>
    <mergeCell ref="E3:G3"/>
    <mergeCell ref="H3:J3"/>
    <mergeCell ref="K3:M3"/>
    <mergeCell ref="O4:P4"/>
  </mergeCells>
  <pageMargins left="0.7" right="0.7" top="0.75" bottom="0.75" header="0" footer="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A91C2-2C2F-4595-B4E6-775832C05B74}">
  <dimension ref="A1:AF997"/>
  <sheetViews>
    <sheetView zoomScale="80" zoomScaleNormal="80" workbookViewId="0"/>
  </sheetViews>
  <sheetFormatPr defaultColWidth="14.44140625" defaultRowHeight="15" customHeight="1"/>
  <cols>
    <col min="1" max="32" width="9" style="4" customWidth="1"/>
    <col min="33" max="16384" width="14.44140625" style="4"/>
  </cols>
  <sheetData>
    <row r="1" spans="1:32" ht="14.2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3"/>
      <c r="AE1" s="3"/>
      <c r="AF1" s="3"/>
    </row>
    <row r="2" spans="1:32" ht="11.25" customHeight="1">
      <c r="A2" s="17" t="s">
        <v>26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2"/>
      <c r="T2" s="3"/>
      <c r="U2" s="3"/>
      <c r="V2" s="3"/>
      <c r="W2" s="2"/>
      <c r="X2" s="2"/>
      <c r="Y2" s="2"/>
      <c r="Z2" s="2"/>
      <c r="AA2" s="2"/>
      <c r="AB2" s="2"/>
      <c r="AC2" s="2"/>
      <c r="AD2" s="2"/>
      <c r="AE2" s="2"/>
      <c r="AF2" s="2"/>
    </row>
    <row r="3" spans="1:32" ht="11.25" customHeight="1">
      <c r="A3" s="6"/>
      <c r="B3" s="26" t="s">
        <v>14</v>
      </c>
      <c r="C3" s="27"/>
      <c r="D3" s="28"/>
      <c r="E3" s="29" t="s">
        <v>8</v>
      </c>
      <c r="F3" s="30"/>
      <c r="G3" s="31"/>
      <c r="H3" s="32" t="s">
        <v>18</v>
      </c>
      <c r="I3" s="33"/>
      <c r="J3" s="34"/>
      <c r="K3" s="35" t="s">
        <v>19</v>
      </c>
      <c r="L3" s="36"/>
      <c r="M3" s="37"/>
      <c r="N3" s="6"/>
      <c r="O3" s="6"/>
      <c r="P3" s="6"/>
      <c r="Q3" s="7" t="s">
        <v>4</v>
      </c>
      <c r="R3" s="8" t="s">
        <v>0</v>
      </c>
      <c r="S3" s="2"/>
      <c r="T3" s="3"/>
      <c r="U3" s="3"/>
      <c r="V3" s="3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ht="11.25" customHeight="1">
      <c r="A4" s="9" t="s">
        <v>5</v>
      </c>
      <c r="B4" s="7" t="s">
        <v>1</v>
      </c>
      <c r="C4" s="7" t="s">
        <v>2</v>
      </c>
      <c r="D4" s="7" t="s">
        <v>3</v>
      </c>
      <c r="E4" s="7" t="s">
        <v>1</v>
      </c>
      <c r="F4" s="7" t="s">
        <v>2</v>
      </c>
      <c r="G4" s="7" t="s">
        <v>3</v>
      </c>
      <c r="H4" s="7" t="s">
        <v>1</v>
      </c>
      <c r="I4" s="7" t="s">
        <v>2</v>
      </c>
      <c r="J4" s="7" t="s">
        <v>3</v>
      </c>
      <c r="K4" s="7" t="s">
        <v>1</v>
      </c>
      <c r="L4" s="7" t="s">
        <v>2</v>
      </c>
      <c r="M4" s="7" t="s">
        <v>3</v>
      </c>
      <c r="N4" s="6"/>
      <c r="O4" s="38" t="s">
        <v>14</v>
      </c>
      <c r="P4" s="39"/>
      <c r="Q4" s="7">
        <f>AVERAGE(D5:D14)</f>
        <v>0.19791666666666666</v>
      </c>
      <c r="R4" s="7">
        <f>STDEV(D5:D14)/SQRT(6)</f>
        <v>4.4736453912240036E-2</v>
      </c>
      <c r="S4" s="2"/>
      <c r="T4" s="3"/>
      <c r="U4" s="3"/>
      <c r="V4" s="3"/>
      <c r="W4" s="2"/>
      <c r="X4" s="2"/>
      <c r="Y4" s="2"/>
      <c r="Z4" s="2"/>
      <c r="AA4" s="2"/>
      <c r="AB4" s="2"/>
      <c r="AC4" s="2"/>
      <c r="AD4" s="2"/>
      <c r="AE4" s="2"/>
      <c r="AF4" s="2"/>
    </row>
    <row r="5" spans="1:32" ht="11.25" customHeight="1">
      <c r="A5" s="7">
        <v>1</v>
      </c>
      <c r="B5" s="7">
        <v>7</v>
      </c>
      <c r="C5" s="7">
        <v>24</v>
      </c>
      <c r="D5" s="7">
        <f t="shared" ref="D5:D8" si="0">B5/C5</f>
        <v>0.29166666666666669</v>
      </c>
      <c r="E5" s="7">
        <v>7</v>
      </c>
      <c r="F5" s="7">
        <v>24</v>
      </c>
      <c r="G5" s="7">
        <f t="shared" ref="G5:G8" si="1">E5/F5</f>
        <v>0.29166666666666669</v>
      </c>
      <c r="H5" s="18">
        <v>1</v>
      </c>
      <c r="I5" s="7">
        <v>24</v>
      </c>
      <c r="J5" s="7">
        <f t="shared" ref="J5:J8" si="2">H5/I5</f>
        <v>4.1666666666666664E-2</v>
      </c>
      <c r="K5" s="18">
        <v>0</v>
      </c>
      <c r="L5" s="7">
        <v>24</v>
      </c>
      <c r="M5" s="7">
        <f t="shared" ref="M5:M8" si="3">K5/L5</f>
        <v>0</v>
      </c>
      <c r="N5" s="6"/>
      <c r="O5" s="24" t="s">
        <v>7</v>
      </c>
      <c r="P5" s="25"/>
      <c r="Q5" s="7">
        <f>AVERAGE(G5:G14)</f>
        <v>0.1875</v>
      </c>
      <c r="R5" s="7">
        <f>STDEV(D6:D15)/SQRT(6)</f>
        <v>4.5005143738943487E-2</v>
      </c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2" ht="11.25" customHeight="1">
      <c r="A6" s="7">
        <v>2</v>
      </c>
      <c r="B6" s="7">
        <v>5</v>
      </c>
      <c r="C6" s="7">
        <v>24</v>
      </c>
      <c r="D6" s="7">
        <f t="shared" si="0"/>
        <v>0.20833333333333334</v>
      </c>
      <c r="E6" s="7">
        <v>5</v>
      </c>
      <c r="F6" s="7">
        <v>24</v>
      </c>
      <c r="G6" s="7">
        <f t="shared" si="1"/>
        <v>0.20833333333333334</v>
      </c>
      <c r="H6" s="18">
        <v>8</v>
      </c>
      <c r="I6" s="7">
        <v>24</v>
      </c>
      <c r="J6" s="7">
        <f t="shared" si="2"/>
        <v>0.33333333333333331</v>
      </c>
      <c r="K6" s="18">
        <v>7</v>
      </c>
      <c r="L6" s="7">
        <v>24</v>
      </c>
      <c r="M6" s="7">
        <f t="shared" si="3"/>
        <v>0.29166666666666669</v>
      </c>
      <c r="N6" s="6"/>
      <c r="O6" s="40" t="s">
        <v>18</v>
      </c>
      <c r="P6" s="40"/>
      <c r="Q6" s="7">
        <f>AVERAGE(J5:J14)</f>
        <v>0.20833333333333334</v>
      </c>
      <c r="R6" s="7">
        <f>STDEV(J5:J14)/SQRT(6)</f>
        <v>6.9444444444444434E-2</v>
      </c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</row>
    <row r="7" spans="1:32" ht="11.25" customHeight="1">
      <c r="A7" s="7">
        <v>3</v>
      </c>
      <c r="B7" s="7">
        <v>1</v>
      </c>
      <c r="C7" s="7">
        <v>24</v>
      </c>
      <c r="D7" s="7">
        <f t="shared" si="0"/>
        <v>4.1666666666666664E-2</v>
      </c>
      <c r="E7" s="7">
        <v>1</v>
      </c>
      <c r="F7" s="7">
        <v>24</v>
      </c>
      <c r="G7" s="7">
        <f t="shared" si="1"/>
        <v>4.1666666666666664E-2</v>
      </c>
      <c r="H7" s="18">
        <v>9</v>
      </c>
      <c r="I7" s="7">
        <v>24</v>
      </c>
      <c r="J7" s="7">
        <f t="shared" si="2"/>
        <v>0.375</v>
      </c>
      <c r="K7" s="18">
        <v>8</v>
      </c>
      <c r="L7" s="7">
        <v>24</v>
      </c>
      <c r="M7" s="7">
        <f t="shared" si="3"/>
        <v>0.33333333333333331</v>
      </c>
      <c r="N7" s="6"/>
      <c r="O7" s="41" t="s">
        <v>19</v>
      </c>
      <c r="P7" s="41"/>
      <c r="Q7" s="7">
        <f>AVERAGE(M5:M14)</f>
        <v>0.1875</v>
      </c>
      <c r="R7" s="7">
        <f>STDEV(M5:M14)/SQRT(6)</f>
        <v>6.2884619014843185E-2</v>
      </c>
      <c r="S7" s="2"/>
      <c r="T7" s="2"/>
      <c r="U7" s="5" t="s">
        <v>4</v>
      </c>
      <c r="V7" s="2"/>
      <c r="W7" s="2"/>
      <c r="X7" s="2"/>
      <c r="Y7" s="2"/>
      <c r="Z7" s="1" t="s">
        <v>0</v>
      </c>
      <c r="AA7" s="2"/>
      <c r="AB7" s="2"/>
      <c r="AC7" s="2"/>
      <c r="AD7" s="2"/>
      <c r="AE7" s="2"/>
      <c r="AF7" s="2"/>
    </row>
    <row r="8" spans="1:32" ht="11.25" customHeight="1">
      <c r="A8" s="7">
        <v>4</v>
      </c>
      <c r="B8" s="7">
        <v>6</v>
      </c>
      <c r="C8" s="7">
        <v>24</v>
      </c>
      <c r="D8" s="7">
        <f t="shared" si="0"/>
        <v>0.25</v>
      </c>
      <c r="E8" s="7">
        <v>5</v>
      </c>
      <c r="F8" s="7">
        <v>24</v>
      </c>
      <c r="G8" s="7">
        <f t="shared" si="1"/>
        <v>0.20833333333333334</v>
      </c>
      <c r="H8" s="18">
        <v>2</v>
      </c>
      <c r="I8" s="7">
        <v>24</v>
      </c>
      <c r="J8" s="7">
        <f t="shared" si="2"/>
        <v>8.3333333333333329E-2</v>
      </c>
      <c r="K8" s="18">
        <v>3</v>
      </c>
      <c r="L8" s="7">
        <v>24</v>
      </c>
      <c r="M8" s="7">
        <f t="shared" si="3"/>
        <v>0.125</v>
      </c>
      <c r="N8" s="6"/>
      <c r="O8" s="6"/>
      <c r="P8" s="6"/>
      <c r="Q8" s="6"/>
      <c r="R8" s="6"/>
      <c r="S8" s="2"/>
      <c r="T8" s="1"/>
      <c r="U8" s="1">
        <v>10</v>
      </c>
      <c r="V8" s="1">
        <v>50</v>
      </c>
      <c r="W8" s="1">
        <v>100</v>
      </c>
      <c r="X8" s="16">
        <v>500</v>
      </c>
      <c r="Y8" s="1"/>
      <c r="Z8" s="1">
        <v>10</v>
      </c>
      <c r="AA8" s="1">
        <v>50</v>
      </c>
      <c r="AB8" s="1">
        <v>100</v>
      </c>
      <c r="AC8" s="16">
        <v>500</v>
      </c>
      <c r="AD8" s="2"/>
      <c r="AE8" s="2"/>
      <c r="AF8" s="2"/>
    </row>
    <row r="9" spans="1:32" ht="11.25" customHeight="1">
      <c r="A9" s="7">
        <v>5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6"/>
      <c r="O9" s="6"/>
      <c r="P9" s="6"/>
      <c r="Q9" s="6"/>
      <c r="R9" s="6"/>
      <c r="S9" s="2"/>
      <c r="T9" s="21" t="s">
        <v>20</v>
      </c>
      <c r="U9" s="2">
        <f t="shared" ref="U9:U10" si="4">Q4</f>
        <v>0.19791666666666666</v>
      </c>
      <c r="V9" s="2">
        <f t="shared" ref="V9:V12" si="5">Q18</f>
        <v>0.51041666666666663</v>
      </c>
      <c r="W9" s="2">
        <f t="shared" ref="W9:W12" si="6">Q32</f>
        <v>0.67708333333333337</v>
      </c>
      <c r="X9" s="12">
        <f t="shared" ref="X9:X12" si="7">Q46</f>
        <v>0</v>
      </c>
      <c r="Y9" s="2"/>
      <c r="Z9" s="2">
        <f t="shared" ref="Z9:Z12" si="8">R4</f>
        <v>4.4736453912240036E-2</v>
      </c>
      <c r="AA9" s="2">
        <f t="shared" ref="AA9:AA12" si="9">R18</f>
        <v>4.4736453912240182E-2</v>
      </c>
      <c r="AB9" s="2">
        <f t="shared" ref="AB9:AB12" si="10">R32</f>
        <v>5.9536209025979996E-2</v>
      </c>
      <c r="AC9" s="12">
        <f t="shared" ref="AC9" si="11">R46</f>
        <v>0</v>
      </c>
      <c r="AD9" s="2"/>
      <c r="AE9" s="2"/>
      <c r="AF9" s="2"/>
    </row>
    <row r="10" spans="1:32" ht="11.25" customHeight="1">
      <c r="A10" s="7">
        <v>6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6"/>
      <c r="O10" s="6"/>
      <c r="P10" s="6"/>
      <c r="Q10" s="6"/>
      <c r="R10" s="6"/>
      <c r="S10" s="2"/>
      <c r="T10" s="22" t="s">
        <v>21</v>
      </c>
      <c r="U10" s="2">
        <f t="shared" si="4"/>
        <v>0.1875</v>
      </c>
      <c r="V10" s="2">
        <f t="shared" si="5"/>
        <v>0.48958333333333331</v>
      </c>
      <c r="W10" s="2">
        <f t="shared" si="6"/>
        <v>0.6875</v>
      </c>
      <c r="X10" s="12">
        <f t="shared" si="7"/>
        <v>0</v>
      </c>
      <c r="Y10" s="2"/>
      <c r="Z10" s="2">
        <f t="shared" si="8"/>
        <v>4.5005143738943487E-2</v>
      </c>
      <c r="AA10" s="2">
        <f t="shared" si="9"/>
        <v>5.4680610236193236E-2</v>
      </c>
      <c r="AB10" s="2">
        <f t="shared" si="10"/>
        <v>7.0819715466566416E-2</v>
      </c>
      <c r="AC10" s="12">
        <f>R47</f>
        <v>0</v>
      </c>
      <c r="AD10" s="2"/>
      <c r="AE10" s="2"/>
      <c r="AF10" s="2"/>
    </row>
    <row r="11" spans="1:32" ht="11.25" customHeight="1">
      <c r="A11" s="7">
        <v>7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6"/>
      <c r="O11" s="6"/>
      <c r="P11" s="6"/>
      <c r="Q11" s="6"/>
      <c r="R11" s="6"/>
      <c r="S11" s="2"/>
      <c r="T11" s="20" t="s">
        <v>22</v>
      </c>
      <c r="U11" s="2">
        <f>Q6</f>
        <v>0.20833333333333334</v>
      </c>
      <c r="V11" s="2">
        <f t="shared" si="5"/>
        <v>0.53125</v>
      </c>
      <c r="W11" s="2">
        <f t="shared" si="6"/>
        <v>0.67708333333333337</v>
      </c>
      <c r="X11" s="12">
        <f t="shared" si="7"/>
        <v>0</v>
      </c>
      <c r="Y11" s="2"/>
      <c r="Z11" s="2">
        <f t="shared" si="8"/>
        <v>6.9444444444444434E-2</v>
      </c>
      <c r="AA11" s="2">
        <f t="shared" si="9"/>
        <v>4.8858497498160729E-2</v>
      </c>
      <c r="AB11" s="2">
        <f t="shared" si="10"/>
        <v>5.9536209025979996E-2</v>
      </c>
      <c r="AC11" s="12">
        <f t="shared" ref="AC11:AC12" si="12">R48</f>
        <v>0</v>
      </c>
      <c r="AD11" s="2"/>
      <c r="AE11" s="2"/>
      <c r="AF11" s="2"/>
    </row>
    <row r="12" spans="1:32" ht="11.25" customHeight="1">
      <c r="A12" s="7">
        <v>8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6"/>
      <c r="O12" s="6"/>
      <c r="P12" s="6"/>
      <c r="Q12" s="6"/>
      <c r="R12" s="6"/>
      <c r="S12" s="2"/>
      <c r="T12" s="23" t="s">
        <v>23</v>
      </c>
      <c r="U12" s="2">
        <f>Q7</f>
        <v>0.1875</v>
      </c>
      <c r="V12" s="2">
        <f t="shared" si="5"/>
        <v>0.52083333333333337</v>
      </c>
      <c r="W12" s="2">
        <f t="shared" si="6"/>
        <v>0.66666666666666663</v>
      </c>
      <c r="X12" s="12">
        <f t="shared" si="7"/>
        <v>0</v>
      </c>
      <c r="Y12" s="2"/>
      <c r="Z12" s="2">
        <f t="shared" si="8"/>
        <v>6.2884619014843185E-2</v>
      </c>
      <c r="AA12" s="2">
        <f t="shared" si="9"/>
        <v>5.2887313235165968E-2</v>
      </c>
      <c r="AB12" s="2">
        <f t="shared" si="10"/>
        <v>7.2168783648703397E-2</v>
      </c>
      <c r="AC12" s="12">
        <f t="shared" si="12"/>
        <v>0</v>
      </c>
      <c r="AD12" s="2"/>
      <c r="AE12" s="2"/>
      <c r="AF12" s="2"/>
    </row>
    <row r="13" spans="1:32" ht="11.25" customHeight="1">
      <c r="A13" s="7">
        <v>9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6"/>
      <c r="O13" s="6"/>
      <c r="P13" s="6"/>
      <c r="Q13" s="6"/>
      <c r="R13" s="6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</row>
    <row r="14" spans="1:32" ht="11.25" customHeight="1">
      <c r="A14" s="7">
        <v>10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6"/>
      <c r="O14" s="6"/>
      <c r="P14" s="6"/>
      <c r="Q14" s="6"/>
      <c r="R14" s="6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</row>
    <row r="15" spans="1:32" ht="11.2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</row>
    <row r="16" spans="1:32" ht="11.25" customHeight="1">
      <c r="A16" s="5" t="s">
        <v>13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1:32" ht="11.25" customHeight="1">
      <c r="A17" s="6"/>
      <c r="B17" s="26" t="s">
        <v>15</v>
      </c>
      <c r="C17" s="27"/>
      <c r="D17" s="28"/>
      <c r="E17" s="29" t="s">
        <v>9</v>
      </c>
      <c r="F17" s="30"/>
      <c r="G17" s="31"/>
      <c r="H17" s="42" t="s">
        <v>15</v>
      </c>
      <c r="I17" s="33"/>
      <c r="J17" s="34"/>
      <c r="K17" s="43" t="s">
        <v>9</v>
      </c>
      <c r="L17" s="36"/>
      <c r="M17" s="37"/>
      <c r="N17" s="6"/>
      <c r="O17" s="6"/>
      <c r="P17" s="6"/>
      <c r="Q17" s="7" t="s">
        <v>4</v>
      </c>
      <c r="R17" s="8" t="s">
        <v>0</v>
      </c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spans="1:32" ht="11.25" customHeight="1">
      <c r="A18" s="9" t="s">
        <v>5</v>
      </c>
      <c r="B18" s="7" t="s">
        <v>1</v>
      </c>
      <c r="C18" s="7" t="s">
        <v>2</v>
      </c>
      <c r="D18" s="7" t="s">
        <v>3</v>
      </c>
      <c r="E18" s="7" t="s">
        <v>1</v>
      </c>
      <c r="F18" s="7" t="s">
        <v>2</v>
      </c>
      <c r="G18" s="7" t="s">
        <v>3</v>
      </c>
      <c r="H18" s="7" t="s">
        <v>1</v>
      </c>
      <c r="I18" s="7" t="s">
        <v>2</v>
      </c>
      <c r="J18" s="7" t="s">
        <v>3</v>
      </c>
      <c r="K18" s="7" t="s">
        <v>1</v>
      </c>
      <c r="L18" s="7" t="s">
        <v>2</v>
      </c>
      <c r="M18" s="7" t="s">
        <v>3</v>
      </c>
      <c r="N18" s="6"/>
      <c r="O18" s="38" t="s">
        <v>14</v>
      </c>
      <c r="P18" s="39"/>
      <c r="Q18" s="7">
        <f>AVERAGE(D19:D28)</f>
        <v>0.51041666666666663</v>
      </c>
      <c r="R18" s="7">
        <f>STDEV(D19:D28)/SQRT(6)</f>
        <v>4.4736453912240182E-2</v>
      </c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spans="1:32" ht="11.25" customHeight="1">
      <c r="A19" s="7">
        <v>1</v>
      </c>
      <c r="B19" s="7">
        <v>12</v>
      </c>
      <c r="C19" s="7">
        <v>24</v>
      </c>
      <c r="D19" s="7">
        <f t="shared" ref="D19:D22" si="13">B19/C19</f>
        <v>0.5</v>
      </c>
      <c r="E19" s="19">
        <v>11</v>
      </c>
      <c r="F19" s="7">
        <v>24</v>
      </c>
      <c r="G19" s="7">
        <f t="shared" ref="G19:G22" si="14">E19/F19</f>
        <v>0.45833333333333331</v>
      </c>
      <c r="H19" s="19">
        <v>9</v>
      </c>
      <c r="I19" s="7">
        <v>24</v>
      </c>
      <c r="J19" s="7">
        <f t="shared" ref="J19:J22" si="15">H19/I19</f>
        <v>0.375</v>
      </c>
      <c r="K19" s="19">
        <v>8</v>
      </c>
      <c r="L19" s="7">
        <v>24</v>
      </c>
      <c r="M19" s="7">
        <f t="shared" ref="M19:M22" si="16">K19/L19</f>
        <v>0.33333333333333331</v>
      </c>
      <c r="N19" s="6"/>
      <c r="O19" s="44" t="s">
        <v>7</v>
      </c>
      <c r="P19" s="25"/>
      <c r="Q19" s="7">
        <f>AVERAGE(G19:G28)</f>
        <v>0.48958333333333331</v>
      </c>
      <c r="R19" s="7">
        <f>STDEV(D20:D29)/SQRT(6)</f>
        <v>5.4680610236193236E-2</v>
      </c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spans="1:32" ht="11.25" customHeight="1">
      <c r="A20" s="7">
        <v>2</v>
      </c>
      <c r="B20" s="7">
        <v>11</v>
      </c>
      <c r="C20" s="7">
        <v>24</v>
      </c>
      <c r="D20" s="7">
        <f t="shared" si="13"/>
        <v>0.45833333333333331</v>
      </c>
      <c r="E20" s="19">
        <v>12</v>
      </c>
      <c r="F20" s="7">
        <v>24</v>
      </c>
      <c r="G20" s="7">
        <f t="shared" si="14"/>
        <v>0.5</v>
      </c>
      <c r="H20" s="19">
        <v>12</v>
      </c>
      <c r="I20" s="7">
        <v>24</v>
      </c>
      <c r="J20" s="7">
        <f t="shared" si="15"/>
        <v>0.5</v>
      </c>
      <c r="K20" s="19">
        <v>13</v>
      </c>
      <c r="L20" s="7">
        <v>24</v>
      </c>
      <c r="M20" s="7">
        <f t="shared" si="16"/>
        <v>0.54166666666666663</v>
      </c>
      <c r="N20" s="6"/>
      <c r="O20" s="40" t="s">
        <v>18</v>
      </c>
      <c r="P20" s="40"/>
      <c r="Q20" s="7">
        <f>AVERAGE(J19:J28)</f>
        <v>0.53125</v>
      </c>
      <c r="R20" s="7">
        <f>STDEV(J19:J28)/SQRT(6)</f>
        <v>4.8858497498160729E-2</v>
      </c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spans="1:32" ht="11.25" customHeight="1">
      <c r="A21" s="7">
        <v>3</v>
      </c>
      <c r="B21" s="7">
        <v>10</v>
      </c>
      <c r="C21" s="7">
        <v>24</v>
      </c>
      <c r="D21" s="7">
        <f t="shared" si="13"/>
        <v>0.41666666666666669</v>
      </c>
      <c r="E21" s="19">
        <v>9</v>
      </c>
      <c r="F21" s="7">
        <v>24</v>
      </c>
      <c r="G21" s="7">
        <f t="shared" si="14"/>
        <v>0.375</v>
      </c>
      <c r="H21" s="19">
        <v>15</v>
      </c>
      <c r="I21" s="7">
        <v>24</v>
      </c>
      <c r="J21" s="7">
        <f t="shared" si="15"/>
        <v>0.625</v>
      </c>
      <c r="K21" s="19">
        <v>15</v>
      </c>
      <c r="L21" s="7">
        <v>24</v>
      </c>
      <c r="M21" s="7">
        <f t="shared" si="16"/>
        <v>0.625</v>
      </c>
      <c r="N21" s="6"/>
      <c r="O21" s="45" t="s">
        <v>19</v>
      </c>
      <c r="P21" s="45"/>
      <c r="Q21" s="7">
        <f>AVERAGE(M19:M28)</f>
        <v>0.52083333333333337</v>
      </c>
      <c r="R21" s="7">
        <f>STDEV(M19:M28)/SQRT(6)</f>
        <v>5.2887313235165968E-2</v>
      </c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spans="1:32" ht="11.25" customHeight="1">
      <c r="A22" s="7">
        <v>4</v>
      </c>
      <c r="B22" s="7">
        <v>16</v>
      </c>
      <c r="C22" s="7">
        <v>24</v>
      </c>
      <c r="D22" s="7">
        <f t="shared" si="13"/>
        <v>0.66666666666666663</v>
      </c>
      <c r="E22" s="19">
        <v>15</v>
      </c>
      <c r="F22" s="7">
        <v>24</v>
      </c>
      <c r="G22" s="7">
        <f t="shared" si="14"/>
        <v>0.625</v>
      </c>
      <c r="H22" s="19">
        <v>15</v>
      </c>
      <c r="I22" s="7">
        <v>24</v>
      </c>
      <c r="J22" s="7">
        <f t="shared" si="15"/>
        <v>0.625</v>
      </c>
      <c r="K22" s="19">
        <v>14</v>
      </c>
      <c r="L22" s="7">
        <v>24</v>
      </c>
      <c r="M22" s="7">
        <f t="shared" si="16"/>
        <v>0.58333333333333337</v>
      </c>
      <c r="N22" s="6"/>
      <c r="O22" s="6"/>
      <c r="P22" s="6"/>
      <c r="Q22" s="6"/>
      <c r="R22" s="6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spans="1:32" ht="11.25" customHeight="1">
      <c r="A23" s="7">
        <v>5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6"/>
      <c r="O23" s="6"/>
      <c r="P23" s="6"/>
      <c r="Q23" s="6"/>
      <c r="R23" s="6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spans="1:32" ht="11.25" customHeight="1">
      <c r="A24" s="7">
        <v>6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6"/>
      <c r="O24" s="6"/>
      <c r="P24" s="6"/>
      <c r="Q24" s="6"/>
      <c r="R24" s="6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spans="1:32" ht="11.25" customHeight="1">
      <c r="A25" s="7">
        <v>7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6"/>
      <c r="O25" s="6"/>
      <c r="P25" s="6"/>
      <c r="Q25" s="6"/>
      <c r="R25" s="6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 spans="1:32" ht="11.25" customHeight="1">
      <c r="A26" s="7">
        <v>8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6"/>
      <c r="O26" s="6"/>
      <c r="P26" s="6"/>
      <c r="Q26" s="6"/>
      <c r="R26" s="6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spans="1:32" ht="11.25" customHeight="1">
      <c r="A27" s="7">
        <v>9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6"/>
      <c r="O27" s="6"/>
      <c r="P27" s="6"/>
      <c r="Q27" s="6"/>
      <c r="R27" s="6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spans="1:32" ht="11.25" customHeight="1">
      <c r="A28" s="7">
        <v>10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6"/>
      <c r="O28" s="6"/>
      <c r="P28" s="6"/>
      <c r="Q28" s="6"/>
      <c r="R28" s="6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spans="1:32" ht="11.2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spans="1:32" ht="11.25" customHeight="1">
      <c r="A30" s="5" t="s">
        <v>13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</row>
    <row r="31" spans="1:32" ht="11.25" customHeight="1">
      <c r="A31" s="6"/>
      <c r="B31" s="26" t="s">
        <v>16</v>
      </c>
      <c r="C31" s="27"/>
      <c r="D31" s="28"/>
      <c r="E31" s="29" t="s">
        <v>10</v>
      </c>
      <c r="F31" s="30"/>
      <c r="G31" s="31"/>
      <c r="H31" s="42" t="s">
        <v>16</v>
      </c>
      <c r="I31" s="33"/>
      <c r="J31" s="34"/>
      <c r="K31" s="43" t="s">
        <v>10</v>
      </c>
      <c r="L31" s="36"/>
      <c r="M31" s="37"/>
      <c r="N31" s="6"/>
      <c r="O31" s="6"/>
      <c r="P31" s="6"/>
      <c r="Q31" s="7" t="s">
        <v>4</v>
      </c>
      <c r="R31" s="8" t="s">
        <v>0</v>
      </c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2" ht="11.25" customHeight="1">
      <c r="A32" s="9" t="s">
        <v>5</v>
      </c>
      <c r="B32" s="7" t="s">
        <v>1</v>
      </c>
      <c r="C32" s="7" t="s">
        <v>2</v>
      </c>
      <c r="D32" s="7" t="s">
        <v>3</v>
      </c>
      <c r="E32" s="7" t="s">
        <v>1</v>
      </c>
      <c r="F32" s="7" t="s">
        <v>2</v>
      </c>
      <c r="G32" s="7" t="s">
        <v>3</v>
      </c>
      <c r="H32" s="7" t="s">
        <v>1</v>
      </c>
      <c r="I32" s="7" t="s">
        <v>2</v>
      </c>
      <c r="J32" s="7" t="s">
        <v>3</v>
      </c>
      <c r="K32" s="7" t="s">
        <v>1</v>
      </c>
      <c r="L32" s="7" t="s">
        <v>2</v>
      </c>
      <c r="M32" s="7" t="s">
        <v>3</v>
      </c>
      <c r="N32" s="6"/>
      <c r="O32" s="46" t="s">
        <v>14</v>
      </c>
      <c r="P32" s="39"/>
      <c r="Q32" s="7">
        <f>AVERAGE(D33:D42)</f>
        <v>0.67708333333333337</v>
      </c>
      <c r="R32" s="7">
        <f>STDEV(D33:D42)/SQRT(6)</f>
        <v>5.9536209025979996E-2</v>
      </c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ht="11.25" customHeight="1">
      <c r="A33" s="7">
        <v>1</v>
      </c>
      <c r="B33" s="50">
        <v>15</v>
      </c>
      <c r="C33" s="7">
        <v>24</v>
      </c>
      <c r="D33" s="7">
        <f t="shared" ref="D33:D36" si="17">B33/C33</f>
        <v>0.625</v>
      </c>
      <c r="E33" s="49">
        <v>16</v>
      </c>
      <c r="F33" s="7">
        <v>24</v>
      </c>
      <c r="G33" s="7">
        <f t="shared" ref="G33:G36" si="18">E33/F33</f>
        <v>0.66666666666666663</v>
      </c>
      <c r="H33" s="19">
        <v>15</v>
      </c>
      <c r="I33" s="7">
        <v>24</v>
      </c>
      <c r="J33" s="7">
        <f t="shared" ref="J33:J36" si="19">H33/I33</f>
        <v>0.625</v>
      </c>
      <c r="K33" s="19">
        <v>14</v>
      </c>
      <c r="L33" s="7">
        <v>24</v>
      </c>
      <c r="M33" s="7">
        <f t="shared" ref="M33:M36" si="20">K33/L33</f>
        <v>0.58333333333333337</v>
      </c>
      <c r="N33" s="6"/>
      <c r="O33" s="44" t="s">
        <v>7</v>
      </c>
      <c r="P33" s="25"/>
      <c r="Q33" s="7">
        <f>AVERAGE(G33:G42)</f>
        <v>0.6875</v>
      </c>
      <c r="R33" s="7">
        <f>STDEV(D34:D43)/SQRT(6)</f>
        <v>7.0819715466566416E-2</v>
      </c>
      <c r="S33" s="2"/>
      <c r="T33" s="2"/>
      <c r="U33" s="2" t="s">
        <v>17</v>
      </c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ht="11.25" customHeight="1">
      <c r="A34" s="7">
        <v>2</v>
      </c>
      <c r="B34" s="50">
        <v>18</v>
      </c>
      <c r="C34" s="7">
        <v>24</v>
      </c>
      <c r="D34" s="7">
        <f t="shared" si="17"/>
        <v>0.75</v>
      </c>
      <c r="E34" s="49">
        <v>18</v>
      </c>
      <c r="F34" s="7">
        <v>24</v>
      </c>
      <c r="G34" s="7">
        <f t="shared" si="18"/>
        <v>0.75</v>
      </c>
      <c r="H34" s="19">
        <v>12</v>
      </c>
      <c r="I34" s="7">
        <v>24</v>
      </c>
      <c r="J34" s="7">
        <f t="shared" si="19"/>
        <v>0.5</v>
      </c>
      <c r="K34" s="19">
        <v>11</v>
      </c>
      <c r="L34" s="7">
        <v>24</v>
      </c>
      <c r="M34" s="7">
        <f t="shared" si="20"/>
        <v>0.45833333333333331</v>
      </c>
      <c r="N34" s="6"/>
      <c r="O34" s="40" t="s">
        <v>18</v>
      </c>
      <c r="P34" s="40"/>
      <c r="Q34" s="7">
        <f>AVERAGE(J33:J42)</f>
        <v>0.67708333333333337</v>
      </c>
      <c r="R34" s="7">
        <f>STDEV(J33:J42)/SQRT(6)</f>
        <v>5.9536209025979996E-2</v>
      </c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ht="11.25" customHeight="1">
      <c r="A35" s="7">
        <v>3</v>
      </c>
      <c r="B35" s="50">
        <v>12</v>
      </c>
      <c r="C35" s="7">
        <v>24</v>
      </c>
      <c r="D35" s="7">
        <f t="shared" si="17"/>
        <v>0.5</v>
      </c>
      <c r="E35" s="49">
        <v>11</v>
      </c>
      <c r="F35" s="7">
        <v>24</v>
      </c>
      <c r="G35" s="7">
        <f t="shared" si="18"/>
        <v>0.45833333333333331</v>
      </c>
      <c r="H35" s="19">
        <v>20</v>
      </c>
      <c r="I35" s="7">
        <v>24</v>
      </c>
      <c r="J35" s="7">
        <f t="shared" si="19"/>
        <v>0.83333333333333337</v>
      </c>
      <c r="K35" s="19">
        <v>20</v>
      </c>
      <c r="L35" s="7">
        <v>24</v>
      </c>
      <c r="M35" s="7">
        <f t="shared" si="20"/>
        <v>0.83333333333333337</v>
      </c>
      <c r="N35" s="6"/>
      <c r="O35" s="45" t="s">
        <v>19</v>
      </c>
      <c r="P35" s="45"/>
      <c r="Q35" s="7">
        <f>AVERAGE(M33:M42)</f>
        <v>0.66666666666666663</v>
      </c>
      <c r="R35" s="7">
        <f>STDEV(M33:M42)/SQRT(6)</f>
        <v>7.2168783648703397E-2</v>
      </c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1.25" customHeight="1">
      <c r="A36" s="7">
        <v>4</v>
      </c>
      <c r="B36" s="50">
        <v>20</v>
      </c>
      <c r="C36" s="7">
        <v>24</v>
      </c>
      <c r="D36" s="7">
        <f t="shared" si="17"/>
        <v>0.83333333333333337</v>
      </c>
      <c r="E36" s="49">
        <v>21</v>
      </c>
      <c r="F36" s="7">
        <v>24</v>
      </c>
      <c r="G36" s="7">
        <f t="shared" si="18"/>
        <v>0.875</v>
      </c>
      <c r="H36" s="19">
        <v>18</v>
      </c>
      <c r="I36" s="7">
        <v>24</v>
      </c>
      <c r="J36" s="7">
        <f t="shared" si="19"/>
        <v>0.75</v>
      </c>
      <c r="K36" s="19">
        <v>19</v>
      </c>
      <c r="L36" s="7">
        <v>24</v>
      </c>
      <c r="M36" s="7">
        <f t="shared" si="20"/>
        <v>0.79166666666666663</v>
      </c>
      <c r="N36" s="6"/>
      <c r="O36" s="6"/>
      <c r="P36" s="6"/>
      <c r="Q36" s="6"/>
      <c r="R36" s="6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ht="11.25" customHeight="1">
      <c r="A37" s="7">
        <v>5</v>
      </c>
      <c r="B37" s="7"/>
      <c r="C37" s="7"/>
      <c r="D37" s="7"/>
      <c r="E37" s="50"/>
      <c r="F37" s="7"/>
      <c r="G37" s="7"/>
      <c r="H37" s="7"/>
      <c r="I37" s="7"/>
      <c r="J37" s="7"/>
      <c r="K37" s="7"/>
      <c r="L37" s="7"/>
      <c r="M37" s="7"/>
      <c r="N37" s="6"/>
      <c r="O37" s="6"/>
      <c r="P37" s="6"/>
      <c r="Q37" s="6"/>
      <c r="R37" s="6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</row>
    <row r="38" spans="1:32" ht="11.25" customHeight="1">
      <c r="A38" s="7">
        <v>6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6"/>
      <c r="O38" s="6"/>
      <c r="P38" s="6"/>
      <c r="Q38" s="6"/>
      <c r="R38" s="6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</row>
    <row r="39" spans="1:32" ht="11.25" customHeight="1">
      <c r="A39" s="7">
        <v>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6"/>
      <c r="O39" s="6"/>
      <c r="P39" s="6"/>
      <c r="Q39" s="6"/>
      <c r="R39" s="6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</row>
    <row r="40" spans="1:32" ht="11.25" customHeight="1">
      <c r="A40" s="7">
        <v>8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6"/>
      <c r="O40" s="6"/>
      <c r="P40" s="6"/>
      <c r="Q40" s="6"/>
      <c r="R40" s="6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</row>
    <row r="41" spans="1:32" ht="11.25" customHeight="1">
      <c r="A41" s="7">
        <v>9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6"/>
      <c r="O41" s="6"/>
      <c r="P41" s="6"/>
      <c r="Q41" s="6"/>
      <c r="R41" s="6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</row>
    <row r="42" spans="1:32" ht="11.25" customHeight="1">
      <c r="A42" s="7">
        <v>10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6"/>
      <c r="O42" s="6"/>
      <c r="P42" s="6"/>
      <c r="Q42" s="6"/>
      <c r="R42" s="6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 spans="1:32" ht="11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ht="11.25" customHeight="1">
      <c r="A44" s="10" t="s">
        <v>13</v>
      </c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2"/>
      <c r="O44" s="12"/>
      <c r="P44" s="12"/>
      <c r="Q44" s="12"/>
      <c r="R44" s="1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ht="11.25" customHeight="1">
      <c r="A45" s="11"/>
      <c r="B45" s="43" t="s">
        <v>6</v>
      </c>
      <c r="C45" s="36"/>
      <c r="D45" s="37"/>
      <c r="E45" s="43" t="s">
        <v>11</v>
      </c>
      <c r="F45" s="36"/>
      <c r="G45" s="37"/>
      <c r="H45" s="43" t="s">
        <v>6</v>
      </c>
      <c r="I45" s="36"/>
      <c r="J45" s="37"/>
      <c r="K45" s="43" t="s">
        <v>11</v>
      </c>
      <c r="L45" s="36"/>
      <c r="M45" s="37"/>
      <c r="N45" s="12"/>
      <c r="O45" s="11"/>
      <c r="P45" s="11"/>
      <c r="Q45" s="13" t="s">
        <v>4</v>
      </c>
      <c r="R45" s="14" t="s">
        <v>0</v>
      </c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ht="11.25" customHeight="1">
      <c r="A46" s="15" t="s">
        <v>5</v>
      </c>
      <c r="B46" s="13" t="s">
        <v>1</v>
      </c>
      <c r="C46" s="13" t="s">
        <v>2</v>
      </c>
      <c r="D46" s="13" t="s">
        <v>3</v>
      </c>
      <c r="E46" s="13" t="s">
        <v>1</v>
      </c>
      <c r="F46" s="13" t="s">
        <v>2</v>
      </c>
      <c r="G46" s="13" t="s">
        <v>3</v>
      </c>
      <c r="H46" s="13" t="s">
        <v>1</v>
      </c>
      <c r="I46" s="13" t="s">
        <v>2</v>
      </c>
      <c r="J46" s="13" t="s">
        <v>3</v>
      </c>
      <c r="K46" s="13" t="s">
        <v>1</v>
      </c>
      <c r="L46" s="13" t="s">
        <v>2</v>
      </c>
      <c r="M46" s="13" t="s">
        <v>3</v>
      </c>
      <c r="N46" s="12"/>
      <c r="O46" s="43" t="s">
        <v>6</v>
      </c>
      <c r="P46" s="37"/>
      <c r="Q46" s="13">
        <f>AVERAGE(D47:D56)</f>
        <v>0</v>
      </c>
      <c r="R46" s="13">
        <f>STDEV(D47:D56)/SQRT(6)</f>
        <v>0</v>
      </c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ht="11.25" customHeight="1">
      <c r="A47" s="13">
        <v>1</v>
      </c>
      <c r="B47" s="13"/>
      <c r="C47" s="13">
        <v>24</v>
      </c>
      <c r="D47" s="13">
        <f t="shared" ref="D47:D52" si="21">B47/C47</f>
        <v>0</v>
      </c>
      <c r="E47" s="13"/>
      <c r="F47" s="13">
        <v>24</v>
      </c>
      <c r="G47" s="13">
        <f t="shared" ref="G47:G52" si="22">E47/F47</f>
        <v>0</v>
      </c>
      <c r="H47" s="13"/>
      <c r="I47" s="13">
        <v>24</v>
      </c>
      <c r="J47" s="13">
        <f t="shared" ref="J47:J52" si="23">H47/I47</f>
        <v>0</v>
      </c>
      <c r="K47" s="13"/>
      <c r="L47" s="13">
        <v>24</v>
      </c>
      <c r="M47" s="13">
        <f t="shared" ref="M47:M52" si="24">K47/L47</f>
        <v>0</v>
      </c>
      <c r="N47" s="12"/>
      <c r="O47" s="43" t="s">
        <v>12</v>
      </c>
      <c r="P47" s="37"/>
      <c r="Q47" s="13">
        <f>AVERAGE(G47:G56)</f>
        <v>0</v>
      </c>
      <c r="R47" s="13">
        <f>STDEV(D48:D57)/SQRT(6)</f>
        <v>0</v>
      </c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ht="11.25" customHeight="1">
      <c r="A48" s="13">
        <v>2</v>
      </c>
      <c r="B48" s="13"/>
      <c r="C48" s="13">
        <v>24</v>
      </c>
      <c r="D48" s="13">
        <f t="shared" si="21"/>
        <v>0</v>
      </c>
      <c r="E48" s="13"/>
      <c r="F48" s="13">
        <v>24</v>
      </c>
      <c r="G48" s="13">
        <f t="shared" si="22"/>
        <v>0</v>
      </c>
      <c r="H48" s="13"/>
      <c r="I48" s="13">
        <v>24</v>
      </c>
      <c r="J48" s="13">
        <f t="shared" si="23"/>
        <v>0</v>
      </c>
      <c r="K48" s="13"/>
      <c r="L48" s="13">
        <v>24</v>
      </c>
      <c r="M48" s="13">
        <f t="shared" si="24"/>
        <v>0</v>
      </c>
      <c r="N48" s="12"/>
      <c r="O48" s="12"/>
      <c r="P48" s="12"/>
      <c r="Q48" s="13">
        <f>AVERAGE(J47:J56)</f>
        <v>0</v>
      </c>
      <c r="R48" s="13">
        <f>STDEV(J47:J56)/SQRT(6)</f>
        <v>0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ht="11.25" customHeight="1">
      <c r="A49" s="13">
        <v>3</v>
      </c>
      <c r="B49" s="13"/>
      <c r="C49" s="13">
        <v>24</v>
      </c>
      <c r="D49" s="13">
        <f t="shared" si="21"/>
        <v>0</v>
      </c>
      <c r="E49" s="13"/>
      <c r="F49" s="13">
        <v>24</v>
      </c>
      <c r="G49" s="13">
        <f t="shared" si="22"/>
        <v>0</v>
      </c>
      <c r="H49" s="13"/>
      <c r="I49" s="13">
        <v>24</v>
      </c>
      <c r="J49" s="13">
        <f t="shared" si="23"/>
        <v>0</v>
      </c>
      <c r="K49" s="13"/>
      <c r="L49" s="13">
        <v>24</v>
      </c>
      <c r="M49" s="13">
        <f t="shared" si="24"/>
        <v>0</v>
      </c>
      <c r="N49" s="12"/>
      <c r="O49" s="11"/>
      <c r="P49" s="12"/>
      <c r="Q49" s="13">
        <f>AVERAGE(M47:M56)</f>
        <v>0</v>
      </c>
      <c r="R49" s="13">
        <f>STDEV(M47:M56)/SQRT(6)</f>
        <v>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spans="1:32" ht="11.25" customHeight="1">
      <c r="A50" s="13">
        <v>4</v>
      </c>
      <c r="B50" s="13"/>
      <c r="C50" s="13">
        <v>24</v>
      </c>
      <c r="D50" s="13">
        <f t="shared" si="21"/>
        <v>0</v>
      </c>
      <c r="E50" s="13"/>
      <c r="F50" s="13">
        <v>24</v>
      </c>
      <c r="G50" s="13">
        <f t="shared" si="22"/>
        <v>0</v>
      </c>
      <c r="H50" s="13"/>
      <c r="I50" s="13">
        <v>24</v>
      </c>
      <c r="J50" s="13">
        <f t="shared" si="23"/>
        <v>0</v>
      </c>
      <c r="K50" s="13"/>
      <c r="L50" s="13">
        <v>24</v>
      </c>
      <c r="M50" s="13">
        <f t="shared" si="24"/>
        <v>0</v>
      </c>
      <c r="N50" s="12"/>
      <c r="O50" s="12"/>
      <c r="P50" s="12"/>
      <c r="Q50" s="12"/>
      <c r="R50" s="1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</row>
    <row r="51" spans="1:32" ht="11.25" customHeight="1">
      <c r="A51" s="13">
        <v>5</v>
      </c>
      <c r="B51" s="13"/>
      <c r="C51" s="13">
        <v>24</v>
      </c>
      <c r="D51" s="13">
        <f t="shared" si="21"/>
        <v>0</v>
      </c>
      <c r="E51" s="13"/>
      <c r="F51" s="13">
        <v>24</v>
      </c>
      <c r="G51" s="13">
        <f t="shared" si="22"/>
        <v>0</v>
      </c>
      <c r="H51" s="13"/>
      <c r="I51" s="13">
        <v>24</v>
      </c>
      <c r="J51" s="13">
        <f t="shared" si="23"/>
        <v>0</v>
      </c>
      <c r="K51" s="13"/>
      <c r="L51" s="13">
        <v>24</v>
      </c>
      <c r="M51" s="13">
        <f t="shared" si="24"/>
        <v>0</v>
      </c>
      <c r="N51" s="12"/>
      <c r="O51" s="12"/>
      <c r="P51" s="12"/>
      <c r="Q51" s="12"/>
      <c r="R51" s="1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</row>
    <row r="52" spans="1:32" ht="11.25" customHeight="1">
      <c r="A52" s="13">
        <v>6</v>
      </c>
      <c r="B52" s="13"/>
      <c r="C52" s="13">
        <v>24</v>
      </c>
      <c r="D52" s="13">
        <f t="shared" si="21"/>
        <v>0</v>
      </c>
      <c r="E52" s="13"/>
      <c r="F52" s="13">
        <v>24</v>
      </c>
      <c r="G52" s="13">
        <f t="shared" si="22"/>
        <v>0</v>
      </c>
      <c r="H52" s="13"/>
      <c r="I52" s="13">
        <v>24</v>
      </c>
      <c r="J52" s="13">
        <f t="shared" si="23"/>
        <v>0</v>
      </c>
      <c r="K52" s="13"/>
      <c r="L52" s="13">
        <v>24</v>
      </c>
      <c r="M52" s="13">
        <f t="shared" si="24"/>
        <v>0</v>
      </c>
      <c r="N52" s="12"/>
      <c r="O52" s="12"/>
      <c r="P52" s="12"/>
      <c r="Q52" s="12"/>
      <c r="R52" s="1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</row>
    <row r="53" spans="1:32" ht="11.25" customHeight="1">
      <c r="A53" s="13">
        <v>7</v>
      </c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2"/>
      <c r="O53" s="12"/>
      <c r="P53" s="12"/>
      <c r="Q53" s="12"/>
      <c r="R53" s="1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</row>
    <row r="54" spans="1:32" ht="11.25" customHeight="1">
      <c r="A54" s="13">
        <v>8</v>
      </c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2"/>
      <c r="O54" s="12"/>
      <c r="P54" s="12"/>
      <c r="Q54" s="12"/>
      <c r="R54" s="1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</row>
    <row r="55" spans="1:32" ht="11.25" customHeight="1">
      <c r="A55" s="13">
        <v>9</v>
      </c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2"/>
      <c r="O55" s="12"/>
      <c r="P55" s="12"/>
      <c r="Q55" s="12"/>
      <c r="R55" s="1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</row>
    <row r="56" spans="1:32" ht="11.25" customHeight="1">
      <c r="A56" s="13">
        <v>10</v>
      </c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2"/>
      <c r="O56" s="12"/>
      <c r="P56" s="12"/>
      <c r="Q56" s="12"/>
      <c r="R56" s="1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</row>
    <row r="57" spans="1:32" ht="11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</row>
    <row r="58" spans="1:32" ht="11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</row>
    <row r="59" spans="1:32" ht="11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</row>
    <row r="60" spans="1:32" ht="11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</row>
    <row r="61" spans="1:32" ht="11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</row>
    <row r="62" spans="1:32" ht="11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</row>
    <row r="63" spans="1:32" ht="11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</row>
    <row r="64" spans="1:32" ht="11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</row>
    <row r="65" spans="1:32" ht="11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</row>
    <row r="66" spans="1:32" ht="11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</row>
    <row r="67" spans="1:32" ht="11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</row>
    <row r="68" spans="1:32" ht="11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</row>
    <row r="69" spans="1:32" ht="11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</row>
    <row r="70" spans="1:32" ht="11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</row>
    <row r="71" spans="1:32" ht="11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</row>
    <row r="72" spans="1:32" ht="11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</row>
    <row r="73" spans="1:32" ht="11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</row>
    <row r="74" spans="1:32" ht="11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</row>
    <row r="75" spans="1:32" ht="11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</row>
    <row r="76" spans="1:32" ht="11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</row>
    <row r="77" spans="1:32" ht="11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</row>
    <row r="78" spans="1:32" ht="11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</row>
    <row r="79" spans="1:32" ht="11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</row>
    <row r="80" spans="1:32" ht="11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</row>
    <row r="81" spans="1:32" ht="11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</row>
    <row r="82" spans="1:32" ht="11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</row>
    <row r="83" spans="1:32" ht="11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</row>
    <row r="84" spans="1:32" ht="11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</row>
    <row r="85" spans="1:32" ht="11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</row>
    <row r="86" spans="1:32" ht="11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</row>
    <row r="87" spans="1:32" ht="11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</row>
    <row r="88" spans="1:32" ht="11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</row>
    <row r="89" spans="1:32" ht="11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</row>
    <row r="90" spans="1:32" ht="11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</row>
    <row r="91" spans="1:32" ht="11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</row>
    <row r="92" spans="1:32" ht="11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</row>
    <row r="93" spans="1:32" ht="11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</row>
    <row r="94" spans="1:32" ht="11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</row>
    <row r="95" spans="1:32" ht="11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</row>
    <row r="96" spans="1:32" ht="11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</row>
    <row r="97" spans="1:32" ht="11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</row>
    <row r="98" spans="1:32" ht="11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</row>
    <row r="99" spans="1:32" ht="11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</row>
    <row r="100" spans="1:32" ht="11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</row>
    <row r="101" spans="1:32" ht="11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</row>
    <row r="102" spans="1:32" ht="11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</row>
    <row r="103" spans="1:32" ht="11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</row>
    <row r="104" spans="1:32" ht="11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</row>
    <row r="105" spans="1:32" ht="11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</row>
    <row r="106" spans="1:32" ht="11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</row>
    <row r="107" spans="1:32" ht="11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</row>
    <row r="108" spans="1:32" ht="11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</row>
    <row r="109" spans="1:32" ht="11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</row>
    <row r="110" spans="1:32" ht="11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</row>
    <row r="111" spans="1:32" ht="11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</row>
    <row r="112" spans="1:32" ht="11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</row>
    <row r="113" spans="1:32" ht="11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</row>
    <row r="114" spans="1:32" ht="11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</row>
    <row r="115" spans="1:32" ht="11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</row>
    <row r="116" spans="1:32" ht="11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</row>
    <row r="117" spans="1:32" ht="11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</row>
    <row r="118" spans="1:32" ht="11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</row>
    <row r="119" spans="1:32" ht="11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</row>
    <row r="120" spans="1:32" ht="11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</row>
    <row r="121" spans="1:32" ht="11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</row>
    <row r="122" spans="1:32" ht="11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</row>
    <row r="123" spans="1:32" ht="11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</row>
    <row r="124" spans="1:32" ht="11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</row>
    <row r="125" spans="1:32" ht="11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</row>
    <row r="126" spans="1:32" ht="11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</row>
    <row r="127" spans="1:32" ht="11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</row>
    <row r="128" spans="1:32" ht="11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</row>
    <row r="129" spans="1:32" ht="11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</row>
    <row r="130" spans="1:32" ht="11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</row>
    <row r="131" spans="1:32" ht="11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</row>
    <row r="132" spans="1:32" ht="11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</row>
    <row r="133" spans="1:32" ht="11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</row>
    <row r="134" spans="1:32" ht="11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</row>
    <row r="135" spans="1:32" ht="11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</row>
    <row r="136" spans="1:32" ht="11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</row>
    <row r="137" spans="1:32" ht="11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</row>
    <row r="138" spans="1:32" ht="11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</row>
    <row r="139" spans="1:32" ht="11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</row>
    <row r="140" spans="1:32" ht="11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</row>
    <row r="141" spans="1:32" ht="11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</row>
    <row r="142" spans="1:32" ht="11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</row>
    <row r="143" spans="1:32" ht="11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</row>
    <row r="144" spans="1:32" ht="11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</row>
    <row r="145" spans="1:32" ht="11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</row>
    <row r="146" spans="1:32" ht="11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</row>
    <row r="147" spans="1:32" ht="11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</row>
    <row r="148" spans="1:32" ht="11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</row>
    <row r="149" spans="1:32" ht="11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</row>
    <row r="150" spans="1:32" ht="11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</row>
    <row r="151" spans="1:32" ht="11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</row>
    <row r="152" spans="1:32" ht="11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</row>
    <row r="153" spans="1:32" ht="11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</row>
    <row r="154" spans="1:32" ht="11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</row>
    <row r="155" spans="1:32" ht="11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</row>
    <row r="156" spans="1:32" ht="11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</row>
    <row r="157" spans="1:32" ht="11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</row>
    <row r="158" spans="1:32" ht="11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</row>
    <row r="159" spans="1:32" ht="11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</row>
    <row r="160" spans="1:32" ht="11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</row>
    <row r="161" spans="1:32" ht="11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</row>
    <row r="162" spans="1:32" ht="11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</row>
    <row r="163" spans="1:32" ht="11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</row>
    <row r="164" spans="1:32" ht="11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</row>
    <row r="165" spans="1:32" ht="11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</row>
    <row r="166" spans="1:32" ht="11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</row>
    <row r="167" spans="1:32" ht="11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</row>
    <row r="168" spans="1:32" ht="11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</row>
    <row r="169" spans="1:32" ht="11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</row>
    <row r="170" spans="1:32" ht="11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</row>
    <row r="171" spans="1:32" ht="11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</row>
    <row r="172" spans="1:32" ht="11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</row>
    <row r="173" spans="1:32" ht="11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</row>
    <row r="174" spans="1:32" ht="11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</row>
    <row r="175" spans="1:32" ht="11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</row>
    <row r="176" spans="1:32" ht="11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</row>
    <row r="177" spans="1:32" ht="11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</row>
    <row r="178" spans="1:32" ht="11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</row>
    <row r="179" spans="1:32" ht="11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</row>
    <row r="180" spans="1:32" ht="11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</row>
    <row r="181" spans="1:32" ht="11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</row>
    <row r="182" spans="1:32" ht="11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</row>
    <row r="183" spans="1:32" ht="11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</row>
    <row r="184" spans="1:32" ht="11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</row>
    <row r="185" spans="1:32" ht="11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</row>
    <row r="186" spans="1:32" ht="11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</row>
    <row r="187" spans="1:32" ht="11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</row>
    <row r="188" spans="1:32" ht="11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</row>
    <row r="189" spans="1:32" ht="11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</row>
    <row r="190" spans="1:32" ht="11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</row>
    <row r="191" spans="1:32" ht="11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</row>
    <row r="192" spans="1:32" ht="11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</row>
    <row r="193" spans="1:32" ht="11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</row>
    <row r="194" spans="1:32" ht="11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</row>
    <row r="195" spans="1:32" ht="11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</row>
    <row r="196" spans="1:32" ht="11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</row>
    <row r="197" spans="1:32" ht="11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</row>
    <row r="198" spans="1:32" ht="11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</row>
    <row r="199" spans="1:32" ht="11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</row>
    <row r="200" spans="1:32" ht="11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</row>
    <row r="201" spans="1:32" ht="11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</row>
    <row r="202" spans="1:32" ht="11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</row>
    <row r="203" spans="1:32" ht="11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</row>
    <row r="204" spans="1:32" ht="11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</row>
    <row r="205" spans="1:32" ht="11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</row>
    <row r="206" spans="1:32" ht="11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</row>
    <row r="207" spans="1:32" ht="11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</row>
    <row r="208" spans="1:32" ht="11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</row>
    <row r="209" spans="1:32" ht="11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</row>
    <row r="210" spans="1:32" ht="11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</row>
    <row r="211" spans="1:32" ht="11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</row>
    <row r="212" spans="1:32" ht="11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</row>
    <row r="213" spans="1:32" ht="11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</row>
    <row r="214" spans="1:32" ht="11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</row>
    <row r="215" spans="1:32" ht="11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</row>
    <row r="216" spans="1:32" ht="11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</row>
    <row r="217" spans="1:32" ht="11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</row>
    <row r="218" spans="1:32" ht="11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</row>
    <row r="219" spans="1:32" ht="11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</row>
    <row r="220" spans="1:32" ht="11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</row>
    <row r="221" spans="1:32" ht="11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</row>
    <row r="222" spans="1:32" ht="11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</row>
    <row r="223" spans="1:32" ht="11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</row>
    <row r="224" spans="1:32" ht="11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</row>
    <row r="225" spans="1:32" ht="11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</row>
    <row r="226" spans="1:32" ht="11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</row>
    <row r="227" spans="1:32" ht="11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</row>
    <row r="228" spans="1:32" ht="11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</row>
    <row r="229" spans="1:32" ht="11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</row>
    <row r="230" spans="1:32" ht="11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</row>
    <row r="231" spans="1:32" ht="11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</row>
    <row r="232" spans="1:32" ht="11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</row>
    <row r="233" spans="1:32" ht="11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</row>
    <row r="234" spans="1:32" ht="11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</row>
    <row r="235" spans="1:32" ht="11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</row>
    <row r="236" spans="1:32" ht="11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</row>
    <row r="237" spans="1:32" ht="11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</row>
    <row r="238" spans="1:32" ht="11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</row>
    <row r="239" spans="1:32" ht="11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</row>
    <row r="240" spans="1:32" ht="11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</row>
    <row r="241" spans="1:32" ht="11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</row>
    <row r="242" spans="1:32" ht="11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</row>
    <row r="243" spans="1:32" ht="11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</row>
    <row r="244" spans="1:32" ht="11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</row>
    <row r="245" spans="1:32" ht="11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</row>
    <row r="246" spans="1:32" ht="11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</row>
    <row r="247" spans="1:32" ht="11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</row>
    <row r="248" spans="1:32" ht="11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</row>
    <row r="249" spans="1:32" ht="11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</row>
    <row r="250" spans="1:32" ht="11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</row>
    <row r="251" spans="1:32" ht="11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</row>
    <row r="252" spans="1:32" ht="11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</row>
    <row r="253" spans="1:32" ht="11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</row>
    <row r="254" spans="1:32" ht="11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</row>
    <row r="255" spans="1:32" ht="11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</row>
    <row r="256" spans="1:32" ht="11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</row>
    <row r="257" spans="1:32" ht="11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</row>
    <row r="258" spans="1:32" ht="11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</row>
    <row r="259" spans="1:32" ht="11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</row>
    <row r="260" spans="1:32" ht="11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</row>
    <row r="261" spans="1:32" ht="11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</row>
    <row r="262" spans="1:32" ht="11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</row>
    <row r="263" spans="1:32" ht="11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</row>
    <row r="264" spans="1:32" ht="11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</row>
    <row r="265" spans="1:32" ht="11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</row>
    <row r="266" spans="1:32" ht="11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</row>
    <row r="267" spans="1:32" ht="11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</row>
    <row r="268" spans="1:32" ht="11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</row>
    <row r="269" spans="1:32" ht="11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</row>
    <row r="270" spans="1:32" ht="11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</row>
    <row r="271" spans="1:32" ht="11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</row>
    <row r="272" spans="1:32" ht="11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</row>
    <row r="273" spans="1:32" ht="11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</row>
    <row r="274" spans="1:32" ht="11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</row>
    <row r="275" spans="1:32" ht="11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</row>
    <row r="276" spans="1:32" ht="11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</row>
    <row r="277" spans="1:32" ht="11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</row>
    <row r="278" spans="1:32" ht="11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</row>
    <row r="279" spans="1:32" ht="11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</row>
    <row r="280" spans="1:32" ht="11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</row>
    <row r="281" spans="1:32" ht="11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</row>
    <row r="282" spans="1:32" ht="11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</row>
    <row r="283" spans="1:32" ht="11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</row>
    <row r="284" spans="1:32" ht="11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</row>
    <row r="285" spans="1:32" ht="11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</row>
    <row r="286" spans="1:32" ht="11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</row>
    <row r="287" spans="1:32" ht="11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</row>
    <row r="288" spans="1:32" ht="11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</row>
    <row r="289" spans="1:32" ht="11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</row>
    <row r="290" spans="1:32" ht="11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</row>
    <row r="291" spans="1:32" ht="11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</row>
    <row r="292" spans="1:32" ht="11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</row>
    <row r="293" spans="1:32" ht="11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</row>
    <row r="294" spans="1:32" ht="11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  <row r="295" spans="1:32" ht="11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</row>
    <row r="296" spans="1:32" ht="11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</row>
    <row r="297" spans="1:32" ht="11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</row>
    <row r="298" spans="1:32" ht="11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</row>
    <row r="299" spans="1:32" ht="11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</row>
    <row r="300" spans="1:32" ht="11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</row>
    <row r="301" spans="1:32" ht="11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</row>
    <row r="302" spans="1:32" ht="11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</row>
    <row r="303" spans="1:32" ht="11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</row>
    <row r="304" spans="1:32" ht="11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</row>
    <row r="305" spans="1:32" ht="11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</row>
    <row r="306" spans="1:32" ht="11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</row>
    <row r="307" spans="1:32" ht="11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</row>
    <row r="308" spans="1:32" ht="11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</row>
    <row r="309" spans="1:32" ht="11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</row>
    <row r="310" spans="1:32" ht="11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</row>
    <row r="311" spans="1:32" ht="11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</row>
    <row r="312" spans="1:32" ht="11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</row>
    <row r="313" spans="1:32" ht="11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</row>
    <row r="314" spans="1:32" ht="11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</row>
    <row r="315" spans="1:32" ht="11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</row>
    <row r="316" spans="1:32" ht="11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</row>
    <row r="317" spans="1:32" ht="11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</row>
    <row r="318" spans="1:32" ht="11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</row>
    <row r="319" spans="1:32" ht="11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</row>
    <row r="320" spans="1:32" ht="11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</row>
    <row r="321" spans="1:32" ht="11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</row>
    <row r="322" spans="1:32" ht="11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</row>
    <row r="323" spans="1:32" ht="11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</row>
    <row r="324" spans="1:32" ht="11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</row>
    <row r="325" spans="1:32" ht="11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</row>
    <row r="326" spans="1:32" ht="11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</row>
    <row r="327" spans="1:32" ht="11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</row>
    <row r="328" spans="1:32" ht="11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</row>
    <row r="329" spans="1:32" ht="11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</row>
    <row r="330" spans="1:32" ht="11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</row>
    <row r="331" spans="1:32" ht="11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</row>
    <row r="332" spans="1:32" ht="11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</row>
    <row r="333" spans="1:32" ht="11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</row>
    <row r="334" spans="1:32" ht="11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</row>
    <row r="335" spans="1:32" ht="11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</row>
    <row r="336" spans="1:32" ht="11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</row>
    <row r="337" spans="1:32" ht="11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</row>
    <row r="338" spans="1:32" ht="11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</row>
    <row r="339" spans="1:32" ht="11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</row>
    <row r="340" spans="1:32" ht="11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</row>
    <row r="341" spans="1:32" ht="11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</row>
    <row r="342" spans="1:32" ht="11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</row>
    <row r="343" spans="1:32" ht="11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</row>
    <row r="344" spans="1:32" ht="11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</row>
    <row r="345" spans="1:32" ht="11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</row>
    <row r="346" spans="1:32" ht="11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</row>
    <row r="347" spans="1:32" ht="11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</row>
    <row r="348" spans="1:32" ht="11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</row>
    <row r="349" spans="1:32" ht="11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</row>
    <row r="350" spans="1:32" ht="11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</row>
    <row r="351" spans="1:32" ht="11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</row>
    <row r="352" spans="1:32" ht="11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</row>
    <row r="353" spans="1:32" ht="11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</row>
    <row r="354" spans="1:32" ht="11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</row>
    <row r="355" spans="1:32" ht="11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</row>
    <row r="356" spans="1:32" ht="11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</row>
    <row r="357" spans="1:32" ht="11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</row>
    <row r="358" spans="1:32" ht="11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</row>
    <row r="359" spans="1:32" ht="11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</row>
    <row r="360" spans="1:32" ht="11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</row>
    <row r="361" spans="1:32" ht="11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</row>
    <row r="362" spans="1:32" ht="11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</row>
    <row r="363" spans="1:32" ht="11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</row>
    <row r="364" spans="1:32" ht="11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</row>
    <row r="365" spans="1:32" ht="11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</row>
    <row r="366" spans="1:32" ht="11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</row>
    <row r="367" spans="1:32" ht="11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</row>
    <row r="368" spans="1:32" ht="11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</row>
    <row r="369" spans="1:32" ht="11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</row>
    <row r="370" spans="1:32" ht="11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</row>
    <row r="371" spans="1:32" ht="11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</row>
    <row r="372" spans="1:32" ht="11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</row>
    <row r="373" spans="1:32" ht="11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</row>
    <row r="374" spans="1:32" ht="11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</row>
    <row r="375" spans="1:32" ht="11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</row>
    <row r="376" spans="1:32" ht="11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</row>
    <row r="377" spans="1:32" ht="11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</row>
    <row r="378" spans="1:32" ht="11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</row>
    <row r="379" spans="1:32" ht="11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</row>
    <row r="380" spans="1:32" ht="11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</row>
    <row r="381" spans="1:32" ht="11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</row>
    <row r="382" spans="1:32" ht="11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</row>
    <row r="383" spans="1:32" ht="11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</row>
    <row r="384" spans="1:32" ht="11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</row>
    <row r="385" spans="1:32" ht="11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</row>
    <row r="386" spans="1:32" ht="11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</row>
    <row r="387" spans="1:32" ht="11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</row>
    <row r="388" spans="1:32" ht="11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</row>
    <row r="389" spans="1:32" ht="11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</row>
    <row r="390" spans="1:32" ht="11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</row>
    <row r="391" spans="1:32" ht="11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</row>
    <row r="392" spans="1:32" ht="11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</row>
    <row r="393" spans="1:32" ht="11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</row>
    <row r="394" spans="1:32" ht="11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</row>
    <row r="395" spans="1:32" ht="11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</row>
    <row r="396" spans="1:32" ht="11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</row>
    <row r="397" spans="1:32" ht="11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</row>
    <row r="398" spans="1:32" ht="11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</row>
    <row r="399" spans="1:32" ht="11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</row>
    <row r="400" spans="1:32" ht="11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</row>
    <row r="401" spans="1:32" ht="11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</row>
    <row r="402" spans="1:32" ht="11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</row>
    <row r="403" spans="1:32" ht="11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</row>
    <row r="404" spans="1:32" ht="11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</row>
    <row r="405" spans="1:32" ht="11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</row>
    <row r="406" spans="1:32" ht="11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</row>
    <row r="407" spans="1:32" ht="11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</row>
    <row r="408" spans="1:32" ht="11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</row>
    <row r="409" spans="1:32" ht="11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</row>
    <row r="410" spans="1:32" ht="11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</row>
    <row r="411" spans="1:32" ht="11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</row>
    <row r="412" spans="1:32" ht="11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</row>
    <row r="413" spans="1:32" ht="11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</row>
    <row r="414" spans="1:32" ht="11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</row>
    <row r="415" spans="1:32" ht="11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</row>
    <row r="416" spans="1:32" ht="11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</row>
    <row r="417" spans="1:32" ht="11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</row>
    <row r="418" spans="1:32" ht="11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</row>
    <row r="419" spans="1:32" ht="11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</row>
    <row r="420" spans="1:32" ht="11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</row>
    <row r="421" spans="1:32" ht="11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</row>
    <row r="422" spans="1:32" ht="11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</row>
    <row r="423" spans="1:32" ht="11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</row>
    <row r="424" spans="1:32" ht="11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</row>
    <row r="425" spans="1:32" ht="11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</row>
    <row r="426" spans="1:32" ht="11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</row>
    <row r="427" spans="1:32" ht="11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</row>
    <row r="428" spans="1:32" ht="11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</row>
    <row r="429" spans="1:32" ht="11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</row>
    <row r="430" spans="1:32" ht="11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</row>
    <row r="431" spans="1:32" ht="11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</row>
    <row r="432" spans="1:32" ht="11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</row>
    <row r="433" spans="1:32" ht="11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</row>
    <row r="434" spans="1:32" ht="11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</row>
    <row r="435" spans="1:32" ht="11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</row>
    <row r="436" spans="1:32" ht="11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</row>
    <row r="437" spans="1:32" ht="11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</row>
    <row r="438" spans="1:32" ht="11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</row>
    <row r="439" spans="1:32" ht="11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</row>
    <row r="440" spans="1:32" ht="11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</row>
    <row r="441" spans="1:32" ht="11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</row>
    <row r="442" spans="1:32" ht="11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</row>
    <row r="443" spans="1:32" ht="11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</row>
    <row r="444" spans="1:32" ht="11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</row>
    <row r="445" spans="1:32" ht="11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</row>
    <row r="446" spans="1:32" ht="11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</row>
    <row r="447" spans="1:32" ht="11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</row>
    <row r="448" spans="1:32" ht="11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</row>
    <row r="449" spans="1:32" ht="11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</row>
    <row r="450" spans="1:32" ht="11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</row>
    <row r="451" spans="1:32" ht="11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</row>
    <row r="452" spans="1:32" ht="11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</row>
    <row r="453" spans="1:32" ht="11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</row>
    <row r="454" spans="1:32" ht="11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</row>
    <row r="455" spans="1:32" ht="11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</row>
    <row r="456" spans="1:32" ht="11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</row>
    <row r="457" spans="1:32" ht="11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</row>
    <row r="458" spans="1:32" ht="11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</row>
    <row r="459" spans="1:32" ht="11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</row>
    <row r="460" spans="1:32" ht="11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</row>
    <row r="461" spans="1:32" ht="11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</row>
    <row r="462" spans="1:32" ht="11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</row>
    <row r="463" spans="1:32" ht="11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</row>
    <row r="464" spans="1:32" ht="11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</row>
    <row r="465" spans="1:32" ht="11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</row>
    <row r="466" spans="1:32" ht="11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</row>
    <row r="467" spans="1:32" ht="11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</row>
    <row r="468" spans="1:32" ht="11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</row>
    <row r="469" spans="1:32" ht="11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</row>
    <row r="470" spans="1:32" ht="11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</row>
    <row r="471" spans="1:32" ht="11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</row>
    <row r="472" spans="1:32" ht="11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</row>
    <row r="473" spans="1:32" ht="11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</row>
    <row r="474" spans="1:32" ht="11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</row>
    <row r="475" spans="1:32" ht="11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</row>
    <row r="476" spans="1:32" ht="11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</row>
    <row r="477" spans="1:32" ht="11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</row>
    <row r="478" spans="1:32" ht="11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</row>
    <row r="479" spans="1:32" ht="11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</row>
    <row r="480" spans="1:32" ht="11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</row>
    <row r="481" spans="1:32" ht="11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</row>
    <row r="482" spans="1:32" ht="11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</row>
    <row r="483" spans="1:32" ht="11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</row>
    <row r="484" spans="1:32" ht="11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</row>
    <row r="485" spans="1:32" ht="11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</row>
    <row r="486" spans="1:32" ht="11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</row>
    <row r="487" spans="1:32" ht="11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</row>
    <row r="488" spans="1:32" ht="11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</row>
    <row r="489" spans="1:32" ht="11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</row>
    <row r="490" spans="1:32" ht="11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</row>
    <row r="491" spans="1:32" ht="11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</row>
    <row r="492" spans="1:32" ht="11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</row>
    <row r="493" spans="1:32" ht="11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</row>
    <row r="494" spans="1:32" ht="11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</row>
    <row r="495" spans="1:32" ht="11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</row>
    <row r="496" spans="1:32" ht="11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</row>
    <row r="497" spans="1:32" ht="11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</row>
    <row r="498" spans="1:32" ht="11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</row>
    <row r="499" spans="1:32" ht="11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</row>
    <row r="500" spans="1:32" ht="11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</row>
    <row r="501" spans="1:32" ht="11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</row>
    <row r="502" spans="1:32" ht="11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</row>
    <row r="503" spans="1:32" ht="11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</row>
    <row r="504" spans="1:32" ht="11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</row>
    <row r="505" spans="1:32" ht="11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</row>
    <row r="506" spans="1:32" ht="11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</row>
    <row r="507" spans="1:32" ht="11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</row>
    <row r="508" spans="1:32" ht="11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</row>
    <row r="509" spans="1:32" ht="11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</row>
    <row r="510" spans="1:32" ht="11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</row>
    <row r="511" spans="1:32" ht="11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</row>
    <row r="512" spans="1:32" ht="11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</row>
    <row r="513" spans="1:32" ht="11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</row>
    <row r="514" spans="1:32" ht="11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</row>
    <row r="515" spans="1:32" ht="11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</row>
    <row r="516" spans="1:32" ht="11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</row>
    <row r="517" spans="1:32" ht="11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</row>
    <row r="518" spans="1:32" ht="11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</row>
    <row r="519" spans="1:32" ht="11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</row>
    <row r="520" spans="1:32" ht="11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</row>
    <row r="521" spans="1:32" ht="11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</row>
    <row r="522" spans="1:32" ht="11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</row>
    <row r="523" spans="1:32" ht="11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</row>
    <row r="524" spans="1:32" ht="11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</row>
    <row r="525" spans="1:32" ht="11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</row>
    <row r="526" spans="1:32" ht="11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</row>
    <row r="527" spans="1:32" ht="11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</row>
    <row r="528" spans="1:32" ht="11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</row>
    <row r="529" spans="1:32" ht="11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</row>
    <row r="530" spans="1:32" ht="11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</row>
    <row r="531" spans="1:32" ht="11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</row>
    <row r="532" spans="1:32" ht="11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</row>
    <row r="533" spans="1:32" ht="11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</row>
    <row r="534" spans="1:32" ht="11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</row>
    <row r="535" spans="1:32" ht="11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</row>
    <row r="536" spans="1:32" ht="11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</row>
    <row r="537" spans="1:32" ht="11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</row>
    <row r="538" spans="1:32" ht="11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</row>
    <row r="539" spans="1:32" ht="11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</row>
    <row r="540" spans="1:32" ht="11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</row>
    <row r="541" spans="1:32" ht="11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</row>
    <row r="542" spans="1:32" ht="11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</row>
    <row r="543" spans="1:32" ht="11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</row>
    <row r="544" spans="1:32" ht="11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</row>
    <row r="545" spans="1:32" ht="11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</row>
    <row r="546" spans="1:32" ht="11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</row>
    <row r="547" spans="1:32" ht="11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</row>
    <row r="548" spans="1:32" ht="11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</row>
    <row r="549" spans="1:32" ht="11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</row>
    <row r="550" spans="1:32" ht="11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</row>
    <row r="551" spans="1:32" ht="11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</row>
    <row r="552" spans="1:32" ht="11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</row>
    <row r="553" spans="1:32" ht="11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</row>
    <row r="554" spans="1:32" ht="11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</row>
    <row r="555" spans="1:32" ht="11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</row>
    <row r="556" spans="1:32" ht="11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</row>
    <row r="557" spans="1:32" ht="11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</row>
    <row r="558" spans="1:32" ht="11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</row>
    <row r="559" spans="1:32" ht="11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</row>
    <row r="560" spans="1:32" ht="11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</row>
    <row r="561" spans="1:32" ht="11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</row>
    <row r="562" spans="1:32" ht="11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</row>
    <row r="563" spans="1:32" ht="11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</row>
    <row r="564" spans="1:32" ht="11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</row>
    <row r="565" spans="1:32" ht="11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</row>
    <row r="566" spans="1:32" ht="11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</row>
    <row r="567" spans="1:32" ht="11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</row>
    <row r="568" spans="1:32" ht="11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</row>
    <row r="569" spans="1:32" ht="11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</row>
    <row r="570" spans="1:32" ht="11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</row>
    <row r="571" spans="1:32" ht="11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</row>
    <row r="572" spans="1:32" ht="11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</row>
    <row r="573" spans="1:32" ht="11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</row>
    <row r="574" spans="1:32" ht="11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</row>
    <row r="575" spans="1:32" ht="11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</row>
    <row r="576" spans="1:32" ht="11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</row>
    <row r="577" spans="1:32" ht="11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</row>
    <row r="578" spans="1:32" ht="11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</row>
    <row r="579" spans="1:32" ht="11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</row>
    <row r="580" spans="1:32" ht="11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</row>
    <row r="581" spans="1:32" ht="11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</row>
    <row r="582" spans="1:32" ht="11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</row>
    <row r="583" spans="1:32" ht="11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</row>
    <row r="584" spans="1:32" ht="11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</row>
    <row r="585" spans="1:32" ht="11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</row>
    <row r="586" spans="1:32" ht="11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</row>
    <row r="587" spans="1:32" ht="11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</row>
    <row r="588" spans="1:32" ht="11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</row>
    <row r="589" spans="1:32" ht="11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</row>
    <row r="590" spans="1:32" ht="11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</row>
    <row r="591" spans="1:32" ht="11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</row>
    <row r="592" spans="1:32" ht="11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</row>
    <row r="593" spans="1:32" ht="11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</row>
    <row r="594" spans="1:32" ht="11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</row>
    <row r="595" spans="1:32" ht="11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</row>
    <row r="596" spans="1:32" ht="11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</row>
    <row r="597" spans="1:32" ht="11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</row>
    <row r="598" spans="1:32" ht="11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</row>
    <row r="599" spans="1:32" ht="11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</row>
    <row r="600" spans="1:32" ht="11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</row>
    <row r="601" spans="1:32" ht="11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</row>
    <row r="602" spans="1:32" ht="11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</row>
    <row r="603" spans="1:32" ht="11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</row>
    <row r="604" spans="1:32" ht="11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</row>
    <row r="605" spans="1:32" ht="11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</row>
    <row r="606" spans="1:32" ht="11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</row>
    <row r="607" spans="1:32" ht="11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</row>
    <row r="608" spans="1:32" ht="11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</row>
    <row r="609" spans="1:32" ht="11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</row>
    <row r="610" spans="1:32" ht="11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</row>
    <row r="611" spans="1:32" ht="11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</row>
    <row r="612" spans="1:32" ht="11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</row>
    <row r="613" spans="1:32" ht="11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</row>
    <row r="614" spans="1:32" ht="11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</row>
    <row r="615" spans="1:32" ht="11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</row>
    <row r="616" spans="1:32" ht="11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</row>
    <row r="617" spans="1:32" ht="11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</row>
    <row r="618" spans="1:32" ht="11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</row>
    <row r="619" spans="1:32" ht="11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</row>
    <row r="620" spans="1:32" ht="11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</row>
    <row r="621" spans="1:32" ht="11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</row>
    <row r="622" spans="1:32" ht="11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</row>
    <row r="623" spans="1:32" ht="11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</row>
    <row r="624" spans="1:32" ht="11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</row>
    <row r="625" spans="1:32" ht="11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</row>
    <row r="626" spans="1:32" ht="11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</row>
    <row r="627" spans="1:32" ht="11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</row>
    <row r="628" spans="1:32" ht="11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</row>
    <row r="629" spans="1:32" ht="11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</row>
    <row r="630" spans="1:32" ht="11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</row>
    <row r="631" spans="1:32" ht="11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</row>
    <row r="632" spans="1:32" ht="11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</row>
    <row r="633" spans="1:32" ht="11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</row>
    <row r="634" spans="1:32" ht="11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</row>
    <row r="635" spans="1:32" ht="11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</row>
    <row r="636" spans="1:32" ht="11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</row>
    <row r="637" spans="1:32" ht="11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</row>
    <row r="638" spans="1:32" ht="11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</row>
    <row r="639" spans="1:32" ht="11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</row>
    <row r="640" spans="1:32" ht="11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</row>
    <row r="641" spans="1:32" ht="11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</row>
    <row r="642" spans="1:32" ht="11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</row>
    <row r="643" spans="1:32" ht="11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</row>
    <row r="644" spans="1:32" ht="11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</row>
    <row r="645" spans="1:32" ht="11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</row>
    <row r="646" spans="1:32" ht="11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</row>
    <row r="647" spans="1:32" ht="11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</row>
    <row r="648" spans="1:32" ht="11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</row>
    <row r="649" spans="1:32" ht="11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</row>
    <row r="650" spans="1:32" ht="11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</row>
    <row r="651" spans="1:32" ht="11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</row>
    <row r="652" spans="1:32" ht="11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</row>
    <row r="653" spans="1:32" ht="11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</row>
    <row r="654" spans="1:32" ht="11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</row>
    <row r="655" spans="1:32" ht="11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</row>
    <row r="656" spans="1:32" ht="11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</row>
    <row r="657" spans="1:32" ht="11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</row>
    <row r="658" spans="1:32" ht="11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</row>
    <row r="659" spans="1:32" ht="11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</row>
    <row r="660" spans="1:32" ht="11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</row>
    <row r="661" spans="1:32" ht="11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</row>
    <row r="662" spans="1:32" ht="11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</row>
    <row r="663" spans="1:32" ht="11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</row>
    <row r="664" spans="1:32" ht="11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</row>
    <row r="665" spans="1:32" ht="11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</row>
    <row r="666" spans="1:32" ht="11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</row>
    <row r="667" spans="1:32" ht="11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</row>
    <row r="668" spans="1:32" ht="11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</row>
    <row r="669" spans="1:32" ht="11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</row>
    <row r="670" spans="1:32" ht="11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</row>
    <row r="671" spans="1:32" ht="11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</row>
    <row r="672" spans="1:32" ht="11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</row>
    <row r="673" spans="1:32" ht="11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</row>
    <row r="674" spans="1:32" ht="11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</row>
    <row r="675" spans="1:32" ht="11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</row>
    <row r="676" spans="1:32" ht="11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</row>
    <row r="677" spans="1:32" ht="11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</row>
    <row r="678" spans="1:32" ht="11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</row>
    <row r="679" spans="1:32" ht="11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</row>
    <row r="680" spans="1:32" ht="11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</row>
    <row r="681" spans="1:32" ht="11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</row>
    <row r="682" spans="1:32" ht="11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</row>
    <row r="683" spans="1:32" ht="11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</row>
    <row r="684" spans="1:32" ht="11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</row>
    <row r="685" spans="1:32" ht="11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</row>
    <row r="686" spans="1:32" ht="11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</row>
    <row r="687" spans="1:32" ht="11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</row>
    <row r="688" spans="1:32" ht="11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</row>
    <row r="689" spans="1:32" ht="11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</row>
    <row r="690" spans="1:32" ht="11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</row>
    <row r="691" spans="1:32" ht="11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</row>
    <row r="692" spans="1:32" ht="11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</row>
    <row r="693" spans="1:32" ht="11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</row>
    <row r="694" spans="1:32" ht="11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</row>
    <row r="695" spans="1:32" ht="11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</row>
    <row r="696" spans="1:32" ht="11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</row>
    <row r="697" spans="1:32" ht="11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</row>
    <row r="698" spans="1:32" ht="11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</row>
    <row r="699" spans="1:32" ht="11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</row>
    <row r="700" spans="1:32" ht="11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</row>
    <row r="701" spans="1:32" ht="11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</row>
    <row r="702" spans="1:32" ht="11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</row>
    <row r="703" spans="1:32" ht="11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</row>
    <row r="704" spans="1:32" ht="11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</row>
    <row r="705" spans="1:32" ht="11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</row>
    <row r="706" spans="1:32" ht="11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</row>
    <row r="707" spans="1:32" ht="11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</row>
    <row r="708" spans="1:32" ht="11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</row>
    <row r="709" spans="1:32" ht="11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</row>
    <row r="710" spans="1:32" ht="11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</row>
    <row r="711" spans="1:32" ht="11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</row>
    <row r="712" spans="1:32" ht="11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</row>
    <row r="713" spans="1:32" ht="11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</row>
    <row r="714" spans="1:32" ht="11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</row>
    <row r="715" spans="1:32" ht="11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</row>
    <row r="716" spans="1:32" ht="11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</row>
    <row r="717" spans="1:32" ht="11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</row>
    <row r="718" spans="1:32" ht="11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</row>
    <row r="719" spans="1:32" ht="11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</row>
    <row r="720" spans="1:32" ht="11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</row>
    <row r="721" spans="1:32" ht="11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</row>
    <row r="722" spans="1:32" ht="11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</row>
    <row r="723" spans="1:32" ht="11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</row>
    <row r="724" spans="1:32" ht="11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</row>
    <row r="725" spans="1:32" ht="11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</row>
    <row r="726" spans="1:32" ht="11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</row>
    <row r="727" spans="1:32" ht="11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</row>
    <row r="728" spans="1:32" ht="11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</row>
    <row r="729" spans="1:32" ht="11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</row>
    <row r="730" spans="1:32" ht="11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</row>
    <row r="731" spans="1:32" ht="11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</row>
    <row r="732" spans="1:32" ht="11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</row>
    <row r="733" spans="1:32" ht="11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</row>
    <row r="734" spans="1:32" ht="11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</row>
    <row r="735" spans="1:32" ht="11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</row>
    <row r="736" spans="1:32" ht="11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</row>
    <row r="737" spans="1:32" ht="11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</row>
    <row r="738" spans="1:32" ht="11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</row>
    <row r="739" spans="1:32" ht="11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</row>
    <row r="740" spans="1:32" ht="11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</row>
    <row r="741" spans="1:32" ht="11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</row>
    <row r="742" spans="1:32" ht="11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</row>
    <row r="743" spans="1:32" ht="11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</row>
    <row r="744" spans="1:32" ht="11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</row>
    <row r="745" spans="1:32" ht="11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</row>
    <row r="746" spans="1:32" ht="11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</row>
    <row r="747" spans="1:32" ht="11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</row>
    <row r="748" spans="1:32" ht="11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</row>
    <row r="749" spans="1:32" ht="11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</row>
    <row r="750" spans="1:32" ht="11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</row>
    <row r="751" spans="1:32" ht="11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</row>
    <row r="752" spans="1:32" ht="11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</row>
    <row r="753" spans="1:32" ht="11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</row>
    <row r="754" spans="1:32" ht="11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</row>
    <row r="755" spans="1:32" ht="11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</row>
    <row r="756" spans="1:32" ht="11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</row>
    <row r="757" spans="1:32" ht="11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</row>
    <row r="758" spans="1:32" ht="11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</row>
    <row r="759" spans="1:32" ht="11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</row>
    <row r="760" spans="1:32" ht="11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</row>
    <row r="761" spans="1:32" ht="11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</row>
    <row r="762" spans="1:32" ht="11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</row>
    <row r="763" spans="1:32" ht="11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</row>
    <row r="764" spans="1:32" ht="11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</row>
    <row r="765" spans="1:32" ht="11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</row>
    <row r="766" spans="1:32" ht="11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</row>
    <row r="767" spans="1:32" ht="11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</row>
    <row r="768" spans="1:32" ht="11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</row>
    <row r="769" spans="1:32" ht="11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</row>
    <row r="770" spans="1:32" ht="11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</row>
    <row r="771" spans="1:32" ht="11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</row>
    <row r="772" spans="1:32" ht="11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</row>
    <row r="773" spans="1:32" ht="11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</row>
    <row r="774" spans="1:32" ht="11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</row>
    <row r="775" spans="1:32" ht="11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</row>
    <row r="776" spans="1:32" ht="11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</row>
    <row r="777" spans="1:32" ht="11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</row>
    <row r="778" spans="1:32" ht="11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</row>
    <row r="779" spans="1:32" ht="11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</row>
    <row r="780" spans="1:32" ht="11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</row>
    <row r="781" spans="1:32" ht="11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</row>
    <row r="782" spans="1:32" ht="11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</row>
    <row r="783" spans="1:32" ht="11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</row>
    <row r="784" spans="1:32" ht="11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</row>
    <row r="785" spans="1:32" ht="11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</row>
    <row r="786" spans="1:32" ht="11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</row>
    <row r="787" spans="1:32" ht="11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</row>
    <row r="788" spans="1:32" ht="11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</row>
    <row r="789" spans="1:32" ht="11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</row>
    <row r="790" spans="1:32" ht="11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</row>
    <row r="791" spans="1:32" ht="11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</row>
    <row r="792" spans="1:32" ht="11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</row>
    <row r="793" spans="1:32" ht="11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</row>
    <row r="794" spans="1:32" ht="11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</row>
    <row r="795" spans="1:32" ht="11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</row>
    <row r="796" spans="1:32" ht="11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</row>
    <row r="797" spans="1:32" ht="11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</row>
    <row r="798" spans="1:32" ht="11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</row>
    <row r="799" spans="1:32" ht="11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</row>
    <row r="800" spans="1:32" ht="11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</row>
    <row r="801" spans="1:32" ht="11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</row>
    <row r="802" spans="1:32" ht="11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</row>
    <row r="803" spans="1:32" ht="11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</row>
    <row r="804" spans="1:32" ht="11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</row>
    <row r="805" spans="1:32" ht="11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</row>
    <row r="806" spans="1:32" ht="11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</row>
    <row r="807" spans="1:32" ht="11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</row>
    <row r="808" spans="1:32" ht="11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</row>
    <row r="809" spans="1:32" ht="11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</row>
    <row r="810" spans="1:32" ht="11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</row>
    <row r="811" spans="1:32" ht="11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</row>
    <row r="812" spans="1:32" ht="11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</row>
    <row r="813" spans="1:32" ht="11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</row>
    <row r="814" spans="1:32" ht="11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</row>
    <row r="815" spans="1:32" ht="11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</row>
    <row r="816" spans="1:32" ht="11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</row>
    <row r="817" spans="1:32" ht="11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</row>
    <row r="818" spans="1:32" ht="11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</row>
    <row r="819" spans="1:32" ht="11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</row>
    <row r="820" spans="1:32" ht="11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</row>
    <row r="821" spans="1:32" ht="11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</row>
    <row r="822" spans="1:32" ht="11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</row>
    <row r="823" spans="1:32" ht="11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</row>
    <row r="824" spans="1:32" ht="11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</row>
    <row r="825" spans="1:32" ht="11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</row>
    <row r="826" spans="1:32" ht="11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</row>
    <row r="827" spans="1:32" ht="11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</row>
    <row r="828" spans="1:32" ht="11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</row>
    <row r="829" spans="1:32" ht="11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</row>
    <row r="830" spans="1:32" ht="11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</row>
    <row r="831" spans="1:32" ht="11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</row>
    <row r="832" spans="1:32" ht="11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</row>
    <row r="833" spans="1:32" ht="11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</row>
    <row r="834" spans="1:32" ht="11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</row>
    <row r="835" spans="1:32" ht="11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</row>
    <row r="836" spans="1:32" ht="11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</row>
    <row r="837" spans="1:32" ht="11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</row>
    <row r="838" spans="1:32" ht="11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</row>
    <row r="839" spans="1:32" ht="11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</row>
    <row r="840" spans="1:32" ht="11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</row>
    <row r="841" spans="1:32" ht="11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</row>
    <row r="842" spans="1:32" ht="11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</row>
    <row r="843" spans="1:32" ht="11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</row>
    <row r="844" spans="1:32" ht="11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</row>
    <row r="845" spans="1:32" ht="11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</row>
    <row r="846" spans="1:32" ht="11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</row>
    <row r="847" spans="1:32" ht="11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</row>
    <row r="848" spans="1:32" ht="11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</row>
    <row r="849" spans="1:32" ht="11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</row>
    <row r="850" spans="1:32" ht="11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</row>
    <row r="851" spans="1:32" ht="11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</row>
    <row r="852" spans="1:32" ht="11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</row>
    <row r="853" spans="1:32" ht="11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</row>
    <row r="854" spans="1:32" ht="11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</row>
    <row r="855" spans="1:32" ht="11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</row>
    <row r="856" spans="1:32" ht="11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</row>
    <row r="857" spans="1:32" ht="11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</row>
    <row r="858" spans="1:32" ht="11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</row>
    <row r="859" spans="1:32" ht="11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</row>
    <row r="860" spans="1:32" ht="11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</row>
    <row r="861" spans="1:32" ht="11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</row>
    <row r="862" spans="1:32" ht="11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</row>
    <row r="863" spans="1:32" ht="11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</row>
    <row r="864" spans="1:32" ht="11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</row>
    <row r="865" spans="1:32" ht="11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</row>
    <row r="866" spans="1:32" ht="11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</row>
    <row r="867" spans="1:32" ht="11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</row>
    <row r="868" spans="1:32" ht="11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</row>
    <row r="869" spans="1:32" ht="11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</row>
    <row r="870" spans="1:32" ht="11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</row>
    <row r="871" spans="1:32" ht="11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</row>
    <row r="872" spans="1:32" ht="11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</row>
    <row r="873" spans="1:32" ht="11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</row>
    <row r="874" spans="1:32" ht="11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</row>
    <row r="875" spans="1:32" ht="11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</row>
    <row r="876" spans="1:32" ht="11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</row>
    <row r="877" spans="1:32" ht="11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</row>
    <row r="878" spans="1:32" ht="11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</row>
    <row r="879" spans="1:32" ht="11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</row>
    <row r="880" spans="1:32" ht="11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</row>
    <row r="881" spans="1:32" ht="11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</row>
    <row r="882" spans="1:32" ht="11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</row>
    <row r="883" spans="1:32" ht="11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</row>
    <row r="884" spans="1:32" ht="11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</row>
    <row r="885" spans="1:32" ht="11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</row>
    <row r="886" spans="1:32" ht="11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</row>
    <row r="887" spans="1:32" ht="11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</row>
    <row r="888" spans="1:32" ht="11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</row>
    <row r="889" spans="1:32" ht="11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</row>
    <row r="890" spans="1:32" ht="11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</row>
    <row r="891" spans="1:32" ht="11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</row>
    <row r="892" spans="1:32" ht="11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</row>
    <row r="893" spans="1:32" ht="11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</row>
    <row r="894" spans="1:32" ht="11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</row>
    <row r="895" spans="1:32" ht="11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</row>
    <row r="896" spans="1:32" ht="11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</row>
    <row r="897" spans="1:32" ht="11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</row>
    <row r="898" spans="1:32" ht="11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</row>
    <row r="899" spans="1:32" ht="11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</row>
    <row r="900" spans="1:32" ht="11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</row>
    <row r="901" spans="1:32" ht="11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</row>
    <row r="902" spans="1:32" ht="11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</row>
    <row r="903" spans="1:32" ht="11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</row>
    <row r="904" spans="1:32" ht="11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</row>
    <row r="905" spans="1:32" ht="11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</row>
    <row r="906" spans="1:32" ht="11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</row>
    <row r="907" spans="1:32" ht="11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</row>
    <row r="908" spans="1:32" ht="11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</row>
    <row r="909" spans="1:32" ht="11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</row>
    <row r="910" spans="1:32" ht="11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</row>
    <row r="911" spans="1:32" ht="11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</row>
    <row r="912" spans="1:32" ht="11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</row>
    <row r="913" spans="1:32" ht="11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</row>
    <row r="914" spans="1:32" ht="11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</row>
    <row r="915" spans="1:32" ht="11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</row>
    <row r="916" spans="1:32" ht="11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</row>
    <row r="917" spans="1:32" ht="11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</row>
    <row r="918" spans="1:32" ht="11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</row>
    <row r="919" spans="1:32" ht="11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</row>
    <row r="920" spans="1:32" ht="11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</row>
    <row r="921" spans="1:32" ht="11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</row>
    <row r="922" spans="1:32" ht="11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</row>
    <row r="923" spans="1:32" ht="11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</row>
    <row r="924" spans="1:32" ht="11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</row>
    <row r="925" spans="1:32" ht="11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</row>
    <row r="926" spans="1:32" ht="11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</row>
    <row r="927" spans="1:32" ht="11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</row>
    <row r="928" spans="1:32" ht="11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</row>
    <row r="929" spans="1:32" ht="11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</row>
    <row r="930" spans="1:32" ht="11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</row>
    <row r="931" spans="1:32" ht="11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</row>
    <row r="932" spans="1:32" ht="11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</row>
    <row r="933" spans="1:32" ht="11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</row>
    <row r="934" spans="1:32" ht="11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</row>
    <row r="935" spans="1:32" ht="11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</row>
    <row r="936" spans="1:32" ht="11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</row>
    <row r="937" spans="1:32" ht="11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</row>
    <row r="938" spans="1:32" ht="11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</row>
    <row r="939" spans="1:32" ht="11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</row>
    <row r="940" spans="1:32" ht="11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</row>
    <row r="941" spans="1:32" ht="11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</row>
    <row r="942" spans="1:32" ht="11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</row>
    <row r="943" spans="1:32" ht="11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</row>
    <row r="944" spans="1:32" ht="11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</row>
    <row r="945" spans="1:32" ht="11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</row>
    <row r="946" spans="1:32" ht="11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</row>
    <row r="947" spans="1:32" ht="11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</row>
    <row r="948" spans="1:32" ht="11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</row>
    <row r="949" spans="1:32" ht="11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</row>
    <row r="950" spans="1:32" ht="11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</row>
    <row r="951" spans="1:32" ht="11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</row>
    <row r="952" spans="1:32" ht="11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</row>
    <row r="953" spans="1:32" ht="11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</row>
    <row r="954" spans="1:32" ht="11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</row>
    <row r="955" spans="1:32" ht="11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</row>
    <row r="956" spans="1:32" ht="11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</row>
    <row r="957" spans="1:32" ht="11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</row>
    <row r="958" spans="1:32" ht="11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</row>
    <row r="959" spans="1:32" ht="11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</row>
    <row r="960" spans="1:32" ht="11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</row>
    <row r="961" spans="1:32" ht="11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</row>
    <row r="962" spans="1:32" ht="11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</row>
    <row r="963" spans="1:32" ht="11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</row>
    <row r="964" spans="1:32" ht="11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</row>
    <row r="965" spans="1:32" ht="11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</row>
    <row r="966" spans="1:32" ht="11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</row>
    <row r="967" spans="1:32" ht="11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</row>
    <row r="968" spans="1:32" ht="11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</row>
    <row r="969" spans="1:32" ht="11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</row>
    <row r="970" spans="1:32" ht="11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</row>
    <row r="971" spans="1:32" ht="11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</row>
    <row r="972" spans="1:32" ht="11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</row>
    <row r="973" spans="1:32" ht="11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</row>
    <row r="974" spans="1:32" ht="11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</row>
    <row r="975" spans="1:32" ht="11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</row>
    <row r="976" spans="1:32" ht="11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</row>
    <row r="977" spans="1:32" ht="11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</row>
    <row r="978" spans="1:32" ht="11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</row>
    <row r="979" spans="1:32" ht="11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</row>
    <row r="980" spans="1:32" ht="11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</row>
    <row r="981" spans="1:32" ht="11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</row>
    <row r="982" spans="1:32" ht="11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</row>
    <row r="983" spans="1:32" ht="11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</row>
    <row r="984" spans="1:32" ht="11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</row>
    <row r="985" spans="1:32" ht="11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</row>
    <row r="986" spans="1:32" ht="11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</row>
    <row r="987" spans="1:32" ht="11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</row>
    <row r="988" spans="1:32" ht="11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</row>
    <row r="989" spans="1:32" ht="11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</row>
    <row r="990" spans="1:32" ht="11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</row>
    <row r="991" spans="1:32" ht="11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</row>
    <row r="992" spans="1:32" ht="11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</row>
    <row r="993" spans="1:32" ht="11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</row>
    <row r="994" spans="1:32" ht="11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</row>
    <row r="995" spans="1:32" ht="11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</row>
    <row r="996" spans="1:32" ht="11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</row>
    <row r="997" spans="1:32" ht="11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</row>
  </sheetData>
  <mergeCells count="30">
    <mergeCell ref="O46:P46"/>
    <mergeCell ref="O47:P47"/>
    <mergeCell ref="O32:P32"/>
    <mergeCell ref="O33:P33"/>
    <mergeCell ref="O34:P34"/>
    <mergeCell ref="O35:P35"/>
    <mergeCell ref="B45:D45"/>
    <mergeCell ref="E45:G45"/>
    <mergeCell ref="H45:J45"/>
    <mergeCell ref="K45:M45"/>
    <mergeCell ref="O18:P18"/>
    <mergeCell ref="O19:P19"/>
    <mergeCell ref="O20:P20"/>
    <mergeCell ref="O21:P21"/>
    <mergeCell ref="B31:D31"/>
    <mergeCell ref="E31:G31"/>
    <mergeCell ref="H31:J31"/>
    <mergeCell ref="K31:M31"/>
    <mergeCell ref="O6:P6"/>
    <mergeCell ref="O7:P7"/>
    <mergeCell ref="B17:D17"/>
    <mergeCell ref="E17:G17"/>
    <mergeCell ref="H17:J17"/>
    <mergeCell ref="K17:M17"/>
    <mergeCell ref="O5:P5"/>
    <mergeCell ref="B3:D3"/>
    <mergeCell ref="E3:G3"/>
    <mergeCell ref="H3:J3"/>
    <mergeCell ref="K3:M3"/>
    <mergeCell ref="O4:P4"/>
  </mergeCells>
  <pageMargins left="0.7" right="0.7" top="0.75" bottom="0.75" header="0" footer="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WT Kir2.1</vt:lpstr>
      <vt:lpstr>SS48944 FMIn</vt:lpstr>
      <vt:lpstr>SS47080 G2N-1</vt:lpstr>
      <vt:lpstr>SSS46885 TH-VUM</vt:lpstr>
      <vt:lpstr>SS31386 bract</vt:lpstr>
      <vt:lpstr>SS48947 clavicle</vt:lpstr>
      <vt:lpstr>SS50091 rattle</vt:lpstr>
      <vt:lpstr>SS47744 roundup</vt:lpstr>
      <vt:lpstr>SS37122 usnea</vt:lpstr>
      <vt:lpstr>SS35420 meteor</vt:lpstr>
      <vt:lpstr>Sheet2</vt:lpstr>
    </vt:vector>
  </TitlesOfParts>
  <Company>YONSEI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데실바(구강생물학교실)</dc:creator>
  <cp:lastModifiedBy>Dilan de Silva</cp:lastModifiedBy>
  <dcterms:created xsi:type="dcterms:W3CDTF">2022-02-16T08:52:50Z</dcterms:created>
  <dcterms:modified xsi:type="dcterms:W3CDTF">2026-01-17T05:06:11Z</dcterms:modified>
</cp:coreProperties>
</file>