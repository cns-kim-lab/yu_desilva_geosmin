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lan\My Drive (dilandesilvakr@gmail.com)\Yonsei - GMAIL\1. Geo_2025 - FLY RESEARCH\3. THIS WEEK REPORTs\x_THIS WEEK REPORT - 26.01.11\"/>
    </mc:Choice>
  </mc:AlternateContent>
  <xr:revisionPtr revIDLastSave="0" documentId="13_ncr:1_{469ED823-747E-403C-A84B-045C978C4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ir2.1 (T)" sheetId="18" r:id="rId1"/>
    <sheet name="SS47744 roundup (T)" sheetId="19" r:id="rId2"/>
    <sheet name="SS31345 fdg (T)" sheetId="15" r:id="rId3"/>
    <sheet name="SS31372 sink,sync (T)" sheetId="17" r:id="rId4"/>
    <sheet name="SS48944 FMIn (T)" sheetId="14" r:id="rId5"/>
    <sheet name="SS35420 meteor (T)" sheetId="20" r:id="rId6"/>
    <sheet name="Sheet2" sheetId="4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20" l="1"/>
  <c r="J52" i="20"/>
  <c r="G52" i="20"/>
  <c r="D52" i="20"/>
  <c r="M51" i="20"/>
  <c r="J51" i="20"/>
  <c r="G51" i="20"/>
  <c r="D51" i="20"/>
  <c r="M50" i="20"/>
  <c r="J50" i="20"/>
  <c r="G50" i="20"/>
  <c r="D50" i="20"/>
  <c r="M49" i="20"/>
  <c r="J49" i="20"/>
  <c r="G49" i="20"/>
  <c r="D49" i="20"/>
  <c r="M48" i="20"/>
  <c r="J48" i="20"/>
  <c r="Q48" i="20" s="1"/>
  <c r="X11" i="20" s="1"/>
  <c r="G48" i="20"/>
  <c r="D48" i="20"/>
  <c r="R47" i="20" s="1"/>
  <c r="AC10" i="20" s="1"/>
  <c r="M47" i="20"/>
  <c r="R49" i="20" s="1"/>
  <c r="AC12" i="20" s="1"/>
  <c r="J47" i="20"/>
  <c r="G47" i="20"/>
  <c r="Q47" i="20" s="1"/>
  <c r="X10" i="20" s="1"/>
  <c r="D47" i="20"/>
  <c r="M36" i="20"/>
  <c r="J36" i="20"/>
  <c r="G36" i="20"/>
  <c r="D36" i="20"/>
  <c r="M35" i="20"/>
  <c r="J35" i="20"/>
  <c r="G35" i="20"/>
  <c r="D35" i="20"/>
  <c r="M34" i="20"/>
  <c r="J34" i="20"/>
  <c r="R34" i="20" s="1"/>
  <c r="AB11" i="20" s="1"/>
  <c r="G34" i="20"/>
  <c r="D34" i="20"/>
  <c r="R33" i="20" s="1"/>
  <c r="AB10" i="20" s="1"/>
  <c r="M33" i="20"/>
  <c r="R35" i="20" s="1"/>
  <c r="AB12" i="20" s="1"/>
  <c r="J33" i="20"/>
  <c r="G33" i="20"/>
  <c r="Q33" i="20" s="1"/>
  <c r="W10" i="20" s="1"/>
  <c r="D33" i="20"/>
  <c r="M22" i="20"/>
  <c r="J22" i="20"/>
  <c r="G22" i="20"/>
  <c r="D22" i="20"/>
  <c r="M21" i="20"/>
  <c r="J21" i="20"/>
  <c r="G21" i="20"/>
  <c r="D21" i="20"/>
  <c r="M20" i="20"/>
  <c r="J20" i="20"/>
  <c r="Q20" i="20" s="1"/>
  <c r="V11" i="20" s="1"/>
  <c r="G20" i="20"/>
  <c r="D20" i="20"/>
  <c r="R19" i="20" s="1"/>
  <c r="AA10" i="20" s="1"/>
  <c r="M19" i="20"/>
  <c r="R21" i="20" s="1"/>
  <c r="AA12" i="20" s="1"/>
  <c r="J19" i="20"/>
  <c r="G19" i="20"/>
  <c r="Q19" i="20" s="1"/>
  <c r="V10" i="20" s="1"/>
  <c r="D19" i="20"/>
  <c r="M8" i="20"/>
  <c r="J8" i="20"/>
  <c r="G8" i="20"/>
  <c r="D8" i="20"/>
  <c r="M7" i="20"/>
  <c r="J7" i="20"/>
  <c r="G7" i="20"/>
  <c r="D7" i="20"/>
  <c r="M6" i="20"/>
  <c r="J6" i="20"/>
  <c r="G6" i="20"/>
  <c r="D6" i="20"/>
  <c r="R4" i="20" s="1"/>
  <c r="Z9" i="20" s="1"/>
  <c r="R5" i="20"/>
  <c r="Z10" i="20" s="1"/>
  <c r="Q5" i="20"/>
  <c r="U10" i="20" s="1"/>
  <c r="M5" i="20"/>
  <c r="R7" i="20" s="1"/>
  <c r="Z12" i="20" s="1"/>
  <c r="J5" i="20"/>
  <c r="R6" i="20" s="1"/>
  <c r="Z11" i="20" s="1"/>
  <c r="G5" i="20"/>
  <c r="D5" i="20"/>
  <c r="M52" i="19"/>
  <c r="J52" i="19"/>
  <c r="G52" i="19"/>
  <c r="D52" i="19"/>
  <c r="M51" i="19"/>
  <c r="J51" i="19"/>
  <c r="G51" i="19"/>
  <c r="D51" i="19"/>
  <c r="M50" i="19"/>
  <c r="J50" i="19"/>
  <c r="G50" i="19"/>
  <c r="D50" i="19"/>
  <c r="M49" i="19"/>
  <c r="J49" i="19"/>
  <c r="G49" i="19"/>
  <c r="D49" i="19"/>
  <c r="M48" i="19"/>
  <c r="J48" i="19"/>
  <c r="R48" i="19" s="1"/>
  <c r="AC11" i="19" s="1"/>
  <c r="G48" i="19"/>
  <c r="D48" i="19"/>
  <c r="R47" i="19" s="1"/>
  <c r="AC10" i="19" s="1"/>
  <c r="M47" i="19"/>
  <c r="R49" i="19" s="1"/>
  <c r="AC12" i="19" s="1"/>
  <c r="J47" i="19"/>
  <c r="G47" i="19"/>
  <c r="Q47" i="19" s="1"/>
  <c r="X10" i="19" s="1"/>
  <c r="D47" i="19"/>
  <c r="M36" i="19"/>
  <c r="J36" i="19"/>
  <c r="G36" i="19"/>
  <c r="D36" i="19"/>
  <c r="M35" i="19"/>
  <c r="J35" i="19"/>
  <c r="G35" i="19"/>
  <c r="D35" i="19"/>
  <c r="M34" i="19"/>
  <c r="J34" i="19"/>
  <c r="R34" i="19" s="1"/>
  <c r="AB11" i="19" s="1"/>
  <c r="G34" i="19"/>
  <c r="D34" i="19"/>
  <c r="R33" i="19" s="1"/>
  <c r="AB10" i="19" s="1"/>
  <c r="M33" i="19"/>
  <c r="R35" i="19" s="1"/>
  <c r="AB12" i="19" s="1"/>
  <c r="J33" i="19"/>
  <c r="G33" i="19"/>
  <c r="Q33" i="19" s="1"/>
  <c r="W10" i="19" s="1"/>
  <c r="D33" i="19"/>
  <c r="M22" i="19"/>
  <c r="J22" i="19"/>
  <c r="G22" i="19"/>
  <c r="D22" i="19"/>
  <c r="M21" i="19"/>
  <c r="J21" i="19"/>
  <c r="G21" i="19"/>
  <c r="D21" i="19"/>
  <c r="M20" i="19"/>
  <c r="J20" i="19"/>
  <c r="Q20" i="19" s="1"/>
  <c r="V11" i="19" s="1"/>
  <c r="G20" i="19"/>
  <c r="D20" i="19"/>
  <c r="R19" i="19" s="1"/>
  <c r="AA10" i="19" s="1"/>
  <c r="M19" i="19"/>
  <c r="R21" i="19" s="1"/>
  <c r="AA12" i="19" s="1"/>
  <c r="J19" i="19"/>
  <c r="G19" i="19"/>
  <c r="Q19" i="19" s="1"/>
  <c r="V10" i="19" s="1"/>
  <c r="D19" i="19"/>
  <c r="M8" i="19"/>
  <c r="J8" i="19"/>
  <c r="G8" i="19"/>
  <c r="D8" i="19"/>
  <c r="M7" i="19"/>
  <c r="J7" i="19"/>
  <c r="G7" i="19"/>
  <c r="D7" i="19"/>
  <c r="M6" i="19"/>
  <c r="J6" i="19"/>
  <c r="G6" i="19"/>
  <c r="D6" i="19"/>
  <c r="R4" i="19" s="1"/>
  <c r="Z9" i="19" s="1"/>
  <c r="R5" i="19"/>
  <c r="Z10" i="19" s="1"/>
  <c r="Q5" i="19"/>
  <c r="U10" i="19" s="1"/>
  <c r="M5" i="19"/>
  <c r="Q7" i="19" s="1"/>
  <c r="U12" i="19" s="1"/>
  <c r="J5" i="19"/>
  <c r="R6" i="19" s="1"/>
  <c r="Z11" i="19" s="1"/>
  <c r="G5" i="19"/>
  <c r="D5" i="19"/>
  <c r="Q4" i="19" s="1"/>
  <c r="U9" i="19" s="1"/>
  <c r="Q7" i="20" l="1"/>
  <c r="U12" i="20" s="1"/>
  <c r="Q34" i="20"/>
  <c r="W11" i="20" s="1"/>
  <c r="R18" i="20"/>
  <c r="AA9" i="20" s="1"/>
  <c r="R20" i="20"/>
  <c r="AA11" i="20" s="1"/>
  <c r="R32" i="20"/>
  <c r="AB9" i="20" s="1"/>
  <c r="R46" i="20"/>
  <c r="AC9" i="20" s="1"/>
  <c r="R48" i="20"/>
  <c r="AC11" i="20" s="1"/>
  <c r="Q32" i="20"/>
  <c r="W9" i="20" s="1"/>
  <c r="Q4" i="20"/>
  <c r="U9" i="20" s="1"/>
  <c r="Q6" i="20"/>
  <c r="U11" i="20" s="1"/>
  <c r="Q18" i="20"/>
  <c r="V9" i="20" s="1"/>
  <c r="Q21" i="20"/>
  <c r="V12" i="20" s="1"/>
  <c r="Q35" i="20"/>
  <c r="W12" i="20" s="1"/>
  <c r="Q49" i="20"/>
  <c r="X12" i="20" s="1"/>
  <c r="Q46" i="20"/>
  <c r="X9" i="20" s="1"/>
  <c r="R7" i="19"/>
  <c r="Z12" i="19" s="1"/>
  <c r="R20" i="19"/>
  <c r="AA11" i="19" s="1"/>
  <c r="Q48" i="19"/>
  <c r="X11" i="19" s="1"/>
  <c r="Q6" i="19"/>
  <c r="U11" i="19" s="1"/>
  <c r="Q34" i="19"/>
  <c r="W11" i="19" s="1"/>
  <c r="R32" i="19"/>
  <c r="AB9" i="19" s="1"/>
  <c r="Q18" i="19"/>
  <c r="V9" i="19" s="1"/>
  <c r="Q46" i="19"/>
  <c r="X9" i="19" s="1"/>
  <c r="R18" i="19"/>
  <c r="AA9" i="19" s="1"/>
  <c r="Q21" i="19"/>
  <c r="V12" i="19" s="1"/>
  <c r="Q35" i="19"/>
  <c r="W12" i="19" s="1"/>
  <c r="Q49" i="19"/>
  <c r="X12" i="19" s="1"/>
  <c r="Q32" i="19"/>
  <c r="W9" i="19" s="1"/>
  <c r="R46" i="19"/>
  <c r="AC9" i="19" s="1"/>
  <c r="M52" i="18" l="1"/>
  <c r="J52" i="18"/>
  <c r="G52" i="18"/>
  <c r="D52" i="18"/>
  <c r="M51" i="18"/>
  <c r="J51" i="18"/>
  <c r="G51" i="18"/>
  <c r="D51" i="18"/>
  <c r="M50" i="18"/>
  <c r="J50" i="18"/>
  <c r="G50" i="18"/>
  <c r="D50" i="18"/>
  <c r="R46" i="18" s="1"/>
  <c r="AC9" i="18" s="1"/>
  <c r="M49" i="18"/>
  <c r="J49" i="18"/>
  <c r="G49" i="18"/>
  <c r="D49" i="18"/>
  <c r="R48" i="18"/>
  <c r="AC11" i="18" s="1"/>
  <c r="M48" i="18"/>
  <c r="J48" i="18"/>
  <c r="G48" i="18"/>
  <c r="D48" i="18"/>
  <c r="M47" i="18"/>
  <c r="J47" i="18"/>
  <c r="G47" i="18"/>
  <c r="D47" i="18"/>
  <c r="M36" i="18"/>
  <c r="J36" i="18"/>
  <c r="G36" i="18"/>
  <c r="D36" i="18"/>
  <c r="M35" i="18"/>
  <c r="J35" i="18"/>
  <c r="G35" i="18"/>
  <c r="D35" i="18"/>
  <c r="M34" i="18"/>
  <c r="J34" i="18"/>
  <c r="G34" i="18"/>
  <c r="D34" i="18"/>
  <c r="M33" i="18"/>
  <c r="J33" i="18"/>
  <c r="Q34" i="18" s="1"/>
  <c r="W11" i="18" s="1"/>
  <c r="G33" i="18"/>
  <c r="D33" i="18"/>
  <c r="Q32" i="18" s="1"/>
  <c r="W9" i="18" s="1"/>
  <c r="R32" i="18"/>
  <c r="AB9" i="18" s="1"/>
  <c r="M22" i="18"/>
  <c r="J22" i="18"/>
  <c r="G22" i="18"/>
  <c r="D22" i="18"/>
  <c r="M21" i="18"/>
  <c r="J21" i="18"/>
  <c r="G21" i="18"/>
  <c r="D21" i="18"/>
  <c r="M20" i="18"/>
  <c r="J20" i="18"/>
  <c r="G20" i="18"/>
  <c r="Q19" i="18" s="1"/>
  <c r="V10" i="18" s="1"/>
  <c r="D20" i="18"/>
  <c r="M19" i="18"/>
  <c r="J19" i="18"/>
  <c r="Q20" i="18" s="1"/>
  <c r="V11" i="18" s="1"/>
  <c r="G19" i="18"/>
  <c r="D19" i="18"/>
  <c r="M8" i="18"/>
  <c r="J8" i="18"/>
  <c r="G8" i="18"/>
  <c r="D8" i="18"/>
  <c r="M7" i="18"/>
  <c r="J7" i="18"/>
  <c r="G7" i="18"/>
  <c r="D7" i="18"/>
  <c r="R5" i="18" s="1"/>
  <c r="Z10" i="18" s="1"/>
  <c r="M6" i="18"/>
  <c r="J6" i="18"/>
  <c r="G6" i="18"/>
  <c r="D6" i="18"/>
  <c r="M5" i="18"/>
  <c r="J5" i="18"/>
  <c r="G5" i="18"/>
  <c r="D5" i="18"/>
  <c r="R49" i="18" l="1"/>
  <c r="AC12" i="18" s="1"/>
  <c r="Q6" i="18"/>
  <c r="U11" i="18" s="1"/>
  <c r="Q33" i="18"/>
  <c r="W10" i="18" s="1"/>
  <c r="Q46" i="18"/>
  <c r="X9" i="18" s="1"/>
  <c r="R7" i="18"/>
  <c r="Z12" i="18" s="1"/>
  <c r="Q18" i="18"/>
  <c r="V9" i="18" s="1"/>
  <c r="Q48" i="18"/>
  <c r="X11" i="18" s="1"/>
  <c r="R33" i="18"/>
  <c r="AB10" i="18" s="1"/>
  <c r="R34" i="18"/>
  <c r="AB11" i="18" s="1"/>
  <c r="Q47" i="18"/>
  <c r="X10" i="18" s="1"/>
  <c r="R47" i="18"/>
  <c r="AC10" i="18" s="1"/>
  <c r="Q4" i="18"/>
  <c r="U9" i="18" s="1"/>
  <c r="R35" i="18"/>
  <c r="AB12" i="18" s="1"/>
  <c r="R20" i="18"/>
  <c r="AA11" i="18" s="1"/>
  <c r="R21" i="18"/>
  <c r="AA12" i="18" s="1"/>
  <c r="R6" i="18"/>
  <c r="Z11" i="18" s="1"/>
  <c r="Q5" i="18"/>
  <c r="U10" i="18" s="1"/>
  <c r="R4" i="18"/>
  <c r="Z9" i="18" s="1"/>
  <c r="R18" i="18"/>
  <c r="AA9" i="18" s="1"/>
  <c r="R19" i="18"/>
  <c r="AA10" i="18" s="1"/>
  <c r="Q21" i="18"/>
  <c r="V12" i="18" s="1"/>
  <c r="Q7" i="18"/>
  <c r="U12" i="18" s="1"/>
  <c r="Q35" i="18"/>
  <c r="W12" i="18" s="1"/>
  <c r="Q49" i="18"/>
  <c r="X12" i="18" s="1"/>
  <c r="M52" i="17"/>
  <c r="J52" i="17"/>
  <c r="G52" i="17"/>
  <c r="D52" i="17"/>
  <c r="M51" i="17"/>
  <c r="J51" i="17"/>
  <c r="G51" i="17"/>
  <c r="D51" i="17"/>
  <c r="M50" i="17"/>
  <c r="Q49" i="17" s="1"/>
  <c r="X12" i="17" s="1"/>
  <c r="J50" i="17"/>
  <c r="G50" i="17"/>
  <c r="D50" i="17"/>
  <c r="M49" i="17"/>
  <c r="J49" i="17"/>
  <c r="G49" i="17"/>
  <c r="D49" i="17"/>
  <c r="M48" i="17"/>
  <c r="J48" i="17"/>
  <c r="G48" i="17"/>
  <c r="D48" i="17"/>
  <c r="M47" i="17"/>
  <c r="J47" i="17"/>
  <c r="R48" i="17" s="1"/>
  <c r="AC11" i="17" s="1"/>
  <c r="G47" i="17"/>
  <c r="Q47" i="17" s="1"/>
  <c r="X10" i="17" s="1"/>
  <c r="D47" i="17"/>
  <c r="M36" i="17"/>
  <c r="J36" i="17"/>
  <c r="G36" i="17"/>
  <c r="D36" i="17"/>
  <c r="M35" i="17"/>
  <c r="J35" i="17"/>
  <c r="G35" i="17"/>
  <c r="D35" i="17"/>
  <c r="M34" i="17"/>
  <c r="J34" i="17"/>
  <c r="G34" i="17"/>
  <c r="D34" i="17"/>
  <c r="M33" i="17"/>
  <c r="J33" i="17"/>
  <c r="G33" i="17"/>
  <c r="Q33" i="17" s="1"/>
  <c r="W10" i="17" s="1"/>
  <c r="D33" i="17"/>
  <c r="M22" i="17"/>
  <c r="J22" i="17"/>
  <c r="G22" i="17"/>
  <c r="D22" i="17"/>
  <c r="M21" i="17"/>
  <c r="J21" i="17"/>
  <c r="G21" i="17"/>
  <c r="D21" i="17"/>
  <c r="M20" i="17"/>
  <c r="J20" i="17"/>
  <c r="G20" i="17"/>
  <c r="D20" i="17"/>
  <c r="M19" i="17"/>
  <c r="J19" i="17"/>
  <c r="G19" i="17"/>
  <c r="Q19" i="17" s="1"/>
  <c r="V10" i="17" s="1"/>
  <c r="D19" i="17"/>
  <c r="M8" i="17"/>
  <c r="R7" i="17" s="1"/>
  <c r="Z12" i="17" s="1"/>
  <c r="J8" i="17"/>
  <c r="G8" i="17"/>
  <c r="D8" i="17"/>
  <c r="M7" i="17"/>
  <c r="J7" i="17"/>
  <c r="G7" i="17"/>
  <c r="D7" i="17"/>
  <c r="M6" i="17"/>
  <c r="J6" i="17"/>
  <c r="G6" i="17"/>
  <c r="D6" i="17"/>
  <c r="Q5" i="17"/>
  <c r="U10" i="17" s="1"/>
  <c r="M5" i="17"/>
  <c r="J5" i="17"/>
  <c r="G5" i="17"/>
  <c r="D5" i="17"/>
  <c r="M52" i="15"/>
  <c r="J52" i="15"/>
  <c r="G52" i="15"/>
  <c r="D52" i="15"/>
  <c r="M51" i="15"/>
  <c r="J51" i="15"/>
  <c r="G51" i="15"/>
  <c r="D51" i="15"/>
  <c r="M50" i="15"/>
  <c r="J50" i="15"/>
  <c r="G50" i="15"/>
  <c r="D50" i="15"/>
  <c r="M49" i="15"/>
  <c r="J49" i="15"/>
  <c r="G49" i="15"/>
  <c r="D49" i="15"/>
  <c r="M48" i="15"/>
  <c r="R49" i="15" s="1"/>
  <c r="AC12" i="15" s="1"/>
  <c r="J48" i="15"/>
  <c r="G48" i="15"/>
  <c r="D48" i="15"/>
  <c r="M47" i="15"/>
  <c r="J47" i="15"/>
  <c r="G47" i="15"/>
  <c r="D47" i="15"/>
  <c r="R46" i="15" s="1"/>
  <c r="AC9" i="15" s="1"/>
  <c r="M36" i="15"/>
  <c r="J36" i="15"/>
  <c r="G36" i="15"/>
  <c r="D36" i="15"/>
  <c r="R32" i="15" s="1"/>
  <c r="AB9" i="15" s="1"/>
  <c r="M35" i="15"/>
  <c r="J35" i="15"/>
  <c r="G35" i="15"/>
  <c r="D35" i="15"/>
  <c r="M34" i="15"/>
  <c r="J34" i="15"/>
  <c r="G34" i="15"/>
  <c r="D34" i="15"/>
  <c r="M33" i="15"/>
  <c r="J33" i="15"/>
  <c r="G33" i="15"/>
  <c r="D33" i="15"/>
  <c r="M22" i="15"/>
  <c r="J22" i="15"/>
  <c r="G22" i="15"/>
  <c r="D22" i="15"/>
  <c r="M21" i="15"/>
  <c r="J21" i="15"/>
  <c r="G21" i="15"/>
  <c r="D21" i="15"/>
  <c r="M20" i="15"/>
  <c r="J20" i="15"/>
  <c r="G20" i="15"/>
  <c r="D20" i="15"/>
  <c r="M19" i="15"/>
  <c r="J19" i="15"/>
  <c r="G19" i="15"/>
  <c r="D19" i="15"/>
  <c r="M8" i="15"/>
  <c r="J8" i="15"/>
  <c r="G8" i="15"/>
  <c r="D8" i="15"/>
  <c r="M7" i="15"/>
  <c r="J7" i="15"/>
  <c r="G7" i="15"/>
  <c r="D7" i="15"/>
  <c r="R5" i="15" s="1"/>
  <c r="Z10" i="15" s="1"/>
  <c r="M6" i="15"/>
  <c r="R7" i="15" s="1"/>
  <c r="Z12" i="15" s="1"/>
  <c r="J6" i="15"/>
  <c r="G6" i="15"/>
  <c r="D6" i="15"/>
  <c r="M5" i="15"/>
  <c r="J5" i="15"/>
  <c r="G5" i="15"/>
  <c r="D5" i="15"/>
  <c r="R49" i="17" l="1"/>
  <c r="AC12" i="17" s="1"/>
  <c r="Q7" i="15"/>
  <c r="U12" i="15" s="1"/>
  <c r="R34" i="17"/>
  <c r="AB11" i="17" s="1"/>
  <c r="R47" i="17"/>
  <c r="AC10" i="17" s="1"/>
  <c r="R47" i="15"/>
  <c r="AC10" i="15" s="1"/>
  <c r="R34" i="15"/>
  <c r="AB11" i="15" s="1"/>
  <c r="Q46" i="15"/>
  <c r="X9" i="15" s="1"/>
  <c r="Q47" i="15"/>
  <c r="X10" i="15" s="1"/>
  <c r="R21" i="17"/>
  <c r="AA12" i="17" s="1"/>
  <c r="R21" i="15"/>
  <c r="AA12" i="15" s="1"/>
  <c r="R6" i="15"/>
  <c r="Z11" i="15" s="1"/>
  <c r="R48" i="15"/>
  <c r="AC11" i="15" s="1"/>
  <c r="R19" i="17"/>
  <c r="AA10" i="17" s="1"/>
  <c r="R4" i="15"/>
  <c r="Z9" i="15" s="1"/>
  <c r="Q21" i="15"/>
  <c r="V12" i="15" s="1"/>
  <c r="R35" i="15"/>
  <c r="AB12" i="15" s="1"/>
  <c r="R18" i="15"/>
  <c r="AA9" i="15" s="1"/>
  <c r="Q49" i="15"/>
  <c r="X12" i="15" s="1"/>
  <c r="R46" i="17"/>
  <c r="AC9" i="17" s="1"/>
  <c r="R20" i="17"/>
  <c r="AA11" i="17" s="1"/>
  <c r="R35" i="17"/>
  <c r="AB12" i="17" s="1"/>
  <c r="R33" i="17"/>
  <c r="AB10" i="17" s="1"/>
  <c r="R32" i="17"/>
  <c r="AB9" i="17" s="1"/>
  <c r="R18" i="17"/>
  <c r="AA9" i="17" s="1"/>
  <c r="Q21" i="17"/>
  <c r="V12" i="17" s="1"/>
  <c r="R6" i="17"/>
  <c r="Z11" i="17" s="1"/>
  <c r="R5" i="17"/>
  <c r="Z10" i="17" s="1"/>
  <c r="R4" i="17"/>
  <c r="Z9" i="17" s="1"/>
  <c r="Q4" i="17"/>
  <c r="U9" i="17" s="1"/>
  <c r="Q18" i="17"/>
  <c r="V9" i="17" s="1"/>
  <c r="Q32" i="17"/>
  <c r="W9" i="17" s="1"/>
  <c r="Q46" i="17"/>
  <c r="X9" i="17" s="1"/>
  <c r="Q7" i="17"/>
  <c r="U12" i="17" s="1"/>
  <c r="Q35" i="17"/>
  <c r="W12" i="17" s="1"/>
  <c r="Q6" i="17"/>
  <c r="U11" i="17" s="1"/>
  <c r="Q20" i="17"/>
  <c r="V11" i="17" s="1"/>
  <c r="Q34" i="17"/>
  <c r="W11" i="17" s="1"/>
  <c r="Q48" i="17"/>
  <c r="X11" i="17" s="1"/>
  <c r="Q5" i="15"/>
  <c r="U10" i="15" s="1"/>
  <c r="Q4" i="15"/>
  <c r="U9" i="15" s="1"/>
  <c r="R20" i="15"/>
  <c r="AA11" i="15" s="1"/>
  <c r="Q19" i="15"/>
  <c r="V10" i="15" s="1"/>
  <c r="R19" i="15"/>
  <c r="AA10" i="15" s="1"/>
  <c r="Q18" i="15"/>
  <c r="V9" i="15" s="1"/>
  <c r="Q35" i="15"/>
  <c r="W12" i="15" s="1"/>
  <c r="Q33" i="15"/>
  <c r="W10" i="15" s="1"/>
  <c r="R33" i="15"/>
  <c r="AB10" i="15" s="1"/>
  <c r="Q32" i="15"/>
  <c r="W9" i="15" s="1"/>
  <c r="Q6" i="15"/>
  <c r="U11" i="15" s="1"/>
  <c r="Q20" i="15"/>
  <c r="V11" i="15" s="1"/>
  <c r="Q34" i="15"/>
  <c r="W11" i="15" s="1"/>
  <c r="Q48" i="15"/>
  <c r="X11" i="15" s="1"/>
  <c r="M52" i="14" l="1"/>
  <c r="J52" i="14"/>
  <c r="G52" i="14"/>
  <c r="D52" i="14"/>
  <c r="M51" i="14"/>
  <c r="J51" i="14"/>
  <c r="G51" i="14"/>
  <c r="D51" i="14"/>
  <c r="M50" i="14"/>
  <c r="J50" i="14"/>
  <c r="G50" i="14"/>
  <c r="D50" i="14"/>
  <c r="M49" i="14"/>
  <c r="J49" i="14"/>
  <c r="G49" i="14"/>
  <c r="D49" i="14"/>
  <c r="M48" i="14"/>
  <c r="J48" i="14"/>
  <c r="G48" i="14"/>
  <c r="D48" i="14"/>
  <c r="M47" i="14"/>
  <c r="R49" i="14" s="1"/>
  <c r="AC12" i="14" s="1"/>
  <c r="J47" i="14"/>
  <c r="R48" i="14" s="1"/>
  <c r="AC11" i="14" s="1"/>
  <c r="G47" i="14"/>
  <c r="Q47" i="14" s="1"/>
  <c r="X10" i="14" s="1"/>
  <c r="D47" i="14"/>
  <c r="R46" i="14" s="1"/>
  <c r="AC9" i="14" s="1"/>
  <c r="M36" i="14"/>
  <c r="J36" i="14"/>
  <c r="G36" i="14"/>
  <c r="D36" i="14"/>
  <c r="M35" i="14"/>
  <c r="J35" i="14"/>
  <c r="G35" i="14"/>
  <c r="D35" i="14"/>
  <c r="M34" i="14"/>
  <c r="J34" i="14"/>
  <c r="G34" i="14"/>
  <c r="D34" i="14"/>
  <c r="M33" i="14"/>
  <c r="J33" i="14"/>
  <c r="G33" i="14"/>
  <c r="D33" i="14"/>
  <c r="M22" i="14"/>
  <c r="J22" i="14"/>
  <c r="G22" i="14"/>
  <c r="D22" i="14"/>
  <c r="M21" i="14"/>
  <c r="J21" i="14"/>
  <c r="G21" i="14"/>
  <c r="D21" i="14"/>
  <c r="M20" i="14"/>
  <c r="J20" i="14"/>
  <c r="G20" i="14"/>
  <c r="D20" i="14"/>
  <c r="M19" i="14"/>
  <c r="J19" i="14"/>
  <c r="G19" i="14"/>
  <c r="D19" i="14"/>
  <c r="R18" i="14" s="1"/>
  <c r="AA9" i="14" s="1"/>
  <c r="M8" i="14"/>
  <c r="J8" i="14"/>
  <c r="G8" i="14"/>
  <c r="D8" i="14"/>
  <c r="M7" i="14"/>
  <c r="J7" i="14"/>
  <c r="G7" i="14"/>
  <c r="D7" i="14"/>
  <c r="M6" i="14"/>
  <c r="J6" i="14"/>
  <c r="G6" i="14"/>
  <c r="D6" i="14"/>
  <c r="M5" i="14"/>
  <c r="J5" i="14"/>
  <c r="R6" i="14" s="1"/>
  <c r="Z11" i="14" s="1"/>
  <c r="G5" i="14"/>
  <c r="D5" i="14"/>
  <c r="R20" i="14" l="1"/>
  <c r="AA11" i="14" s="1"/>
  <c r="R21" i="14"/>
  <c r="AA12" i="14" s="1"/>
  <c r="R34" i="14"/>
  <c r="AB11" i="14" s="1"/>
  <c r="R47" i="14"/>
  <c r="AC10" i="14" s="1"/>
  <c r="R19" i="14"/>
  <c r="AA10" i="14" s="1"/>
  <c r="R4" i="14"/>
  <c r="Z9" i="14" s="1"/>
  <c r="Q46" i="14"/>
  <c r="X9" i="14" s="1"/>
  <c r="R7" i="14"/>
  <c r="Z12" i="14" s="1"/>
  <c r="Q19" i="14"/>
  <c r="V10" i="14" s="1"/>
  <c r="Q18" i="14"/>
  <c r="V9" i="14" s="1"/>
  <c r="Q5" i="14"/>
  <c r="U10" i="14" s="1"/>
  <c r="Q4" i="14"/>
  <c r="U9" i="14" s="1"/>
  <c r="R5" i="14"/>
  <c r="Z10" i="14" s="1"/>
  <c r="R35" i="14"/>
  <c r="AB12" i="14" s="1"/>
  <c r="R32" i="14"/>
  <c r="AB9" i="14" s="1"/>
  <c r="R33" i="14"/>
  <c r="AB10" i="14" s="1"/>
  <c r="Q32" i="14"/>
  <c r="W9" i="14" s="1"/>
  <c r="Q33" i="14"/>
  <c r="W10" i="14" s="1"/>
  <c r="Q7" i="14"/>
  <c r="U12" i="14" s="1"/>
  <c r="Q21" i="14"/>
  <c r="V12" i="14" s="1"/>
  <c r="Q35" i="14"/>
  <c r="W12" i="14" s="1"/>
  <c r="Q49" i="14"/>
  <c r="X12" i="14" s="1"/>
  <c r="Q6" i="14"/>
  <c r="U11" i="14" s="1"/>
  <c r="Q20" i="14"/>
  <c r="V11" i="14" s="1"/>
  <c r="Q34" i="14"/>
  <c r="W11" i="14" s="1"/>
  <c r="Q48" i="14"/>
  <c r="X11" i="14" s="1"/>
</calcChain>
</file>

<file path=xl/sharedStrings.xml><?xml version="1.0" encoding="utf-8"?>
<sst xmlns="http://schemas.openxmlformats.org/spreadsheetml/2006/main" count="607" uniqueCount="31">
  <si>
    <t>SEM</t>
  </si>
  <si>
    <t>Response</t>
  </si>
  <si>
    <t>Total</t>
  </si>
  <si>
    <t>Response Rate</t>
  </si>
  <si>
    <t>PER (average)</t>
  </si>
  <si>
    <t>Plate #</t>
  </si>
  <si>
    <t>500mM Suc.</t>
  </si>
  <si>
    <t>10mM Suc. + 1% Geo.</t>
  </si>
  <si>
    <t>10mM Suc. + 1% Geo</t>
  </si>
  <si>
    <t>50mM Suc. + 1% Geo</t>
  </si>
  <si>
    <t>100mM Suc. + 1% Geo</t>
  </si>
  <si>
    <t>500mM Suc. + 1% Geo</t>
  </si>
  <si>
    <t>500mM Suc. + 1% Geo.</t>
  </si>
  <si>
    <t>w1118 (wildtype)</t>
  </si>
  <si>
    <t>10mM Suc.</t>
  </si>
  <si>
    <t>50mM Suc.</t>
  </si>
  <si>
    <t>100mM Suc.</t>
  </si>
  <si>
    <t xml:space="preserve">  </t>
  </si>
  <si>
    <t>10mM Suc. (fixed leg)</t>
  </si>
  <si>
    <t>10mM Suc. (fixed leg) + 1% Geo</t>
  </si>
  <si>
    <t>Suc.</t>
  </si>
  <si>
    <t>Suc. + 1% Geo.</t>
  </si>
  <si>
    <t>Suc. (fixed leg)</t>
  </si>
  <si>
    <t>Suc. (fixed leg) + 1% Geo</t>
  </si>
  <si>
    <t>SS31372 sink,sync</t>
  </si>
  <si>
    <t>Satiated state, SS48944 FMIn</t>
  </si>
  <si>
    <t>Satiated state, SS31345 fdg</t>
  </si>
  <si>
    <t>Satiated state, SS31372 sink,sync</t>
  </si>
  <si>
    <t>Satiated state, Kir2.1</t>
  </si>
  <si>
    <t>Satiated state, SS47744 roundup</t>
  </si>
  <si>
    <t>Satiated state, SS35420 meteor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</si>
</sst>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9"/>
      <scheme val="minor"/>
    </font>
    <font>
      <sz val="11"/>
      <color theme="1"/>
      <name val="Calibri"/>
      <scheme val="minor"/>
    </font>
    <font>
      <b/>
      <sz val="8"/>
      <color theme="1"/>
      <name val="Arial"/>
    </font>
    <font>
      <sz val="8"/>
      <color theme="1"/>
      <name val="Arial"/>
    </font>
    <font>
      <sz val="11"/>
      <name val="Calibri"/>
    </font>
    <font>
      <sz val="11"/>
      <color theme="1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3" fillId="2" borderId="4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vertical="center"/>
    </xf>
    <xf numFmtId="0" fontId="9" fillId="0" borderId="0" xfId="0" applyFont="1">
      <alignment vertical="center"/>
    </xf>
    <xf numFmtId="0" fontId="7" fillId="0" borderId="4" xfId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1" applyFont="1" applyBorder="1" applyAlignment="1">
      <alignment vertical="center"/>
    </xf>
    <xf numFmtId="0" fontId="6" fillId="4" borderId="6" xfId="1" applyFont="1" applyFill="1" applyBorder="1" applyAlignment="1">
      <alignment vertical="center"/>
    </xf>
    <xf numFmtId="0" fontId="6" fillId="3" borderId="6" xfId="1" applyFont="1" applyFill="1" applyBorder="1" applyAlignment="1">
      <alignment vertical="center"/>
    </xf>
    <xf numFmtId="0" fontId="7" fillId="2" borderId="6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4" fillId="2" borderId="3" xfId="1" applyFont="1" applyFill="1" applyBorder="1"/>
    <xf numFmtId="0" fontId="3" fillId="4" borderId="6" xfId="1" applyFont="1" applyFill="1" applyBorder="1" applyAlignment="1">
      <alignment vertical="center"/>
    </xf>
    <xf numFmtId="0" fontId="4" fillId="4" borderId="6" xfId="1" applyFont="1" applyFill="1" applyBorder="1"/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/>
    <xf numFmtId="0" fontId="7" fillId="0" borderId="6" xfId="1" applyFont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4" fillId="2" borderId="2" xfId="1" applyFont="1" applyFill="1" applyBorder="1"/>
    <xf numFmtId="0" fontId="7" fillId="4" borderId="6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/>
    </xf>
    <xf numFmtId="0" fontId="4" fillId="4" borderId="2" xfId="1" applyFont="1" applyFill="1" applyBorder="1"/>
    <xf numFmtId="0" fontId="4" fillId="4" borderId="3" xfId="1" applyFont="1" applyFill="1" applyBorder="1"/>
    <xf numFmtId="0" fontId="3" fillId="3" borderId="1" xfId="1" applyFont="1" applyFill="1" applyBorder="1" applyAlignment="1">
      <alignment horizontal="left" vertical="center"/>
    </xf>
    <xf numFmtId="0" fontId="4" fillId="3" borderId="2" xfId="1" applyFont="1" applyFill="1" applyBorder="1"/>
    <xf numFmtId="0" fontId="4" fillId="3" borderId="3" xfId="1" applyFont="1" applyFill="1" applyBorder="1"/>
    <xf numFmtId="0" fontId="3" fillId="0" borderId="1" xfId="1" applyFont="1" applyBorder="1" applyAlignment="1">
      <alignment horizontal="left" vertical="center"/>
    </xf>
    <xf numFmtId="0" fontId="4" fillId="0" borderId="2" xfId="1" applyFont="1" applyBorder="1"/>
    <xf numFmtId="0" fontId="4" fillId="0" borderId="3" xfId="1" applyFont="1" applyBorder="1"/>
    <xf numFmtId="0" fontId="8" fillId="2" borderId="6" xfId="1" applyFont="1" applyFill="1" applyBorder="1" applyAlignment="1">
      <alignment vertical="center"/>
    </xf>
    <xf numFmtId="0" fontId="7" fillId="3" borderId="6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Kir2.1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'Kir2.1 (T)'!$T$9</c:f>
              <c:strCache>
                <c:ptCount val="1"/>
                <c:pt idx="0">
                  <c:v>Suc.</c:v>
                </c:pt>
              </c:strCache>
            </c:strRef>
          </c:tx>
          <c:spPr>
            <a:noFill/>
            <a:ln w="38100"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'Kir2.1 (T)'!$Z$9:$AB$9</c:f>
                <c:numCache>
                  <c:formatCode>General</c:formatCode>
                  <c:ptCount val="3"/>
                  <c:pt idx="0">
                    <c:v>4.2525863589985745E-2</c:v>
                  </c:pt>
                  <c:pt idx="1">
                    <c:v>7.2168783648703189E-2</c:v>
                  </c:pt>
                  <c:pt idx="2">
                    <c:v>5.8101390731533219E-2</c:v>
                  </c:pt>
                </c:numCache>
              </c:numRef>
            </c:plus>
            <c:minus>
              <c:numRef>
                <c:f>'Kir2.1 (T)'!$Z$9:$AB$9</c:f>
                <c:numCache>
                  <c:formatCode>General</c:formatCode>
                  <c:ptCount val="3"/>
                  <c:pt idx="0">
                    <c:v>4.2525863589985745E-2</c:v>
                  </c:pt>
                  <c:pt idx="1">
                    <c:v>7.2168783648703189E-2</c:v>
                  </c:pt>
                  <c:pt idx="2">
                    <c:v>5.8101390731533219E-2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'Kir2.1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'Kir2.1 (T)'!$U$9:$W$9</c:f>
              <c:numCache>
                <c:formatCode>General</c:formatCode>
                <c:ptCount val="3"/>
                <c:pt idx="0">
                  <c:v>0.11458333333333333</c:v>
                </c:pt>
                <c:pt idx="1">
                  <c:v>0.375</c:v>
                </c:pt>
                <c:pt idx="2">
                  <c:v>0.60416666666666663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0-47F2-B974-E61D7E397548}"/>
            </c:ext>
          </c:extLst>
        </c:ser>
        <c:ser>
          <c:idx val="1"/>
          <c:order val="1"/>
          <c:tx>
            <c:strRef>
              <c:f>'Kir2.1 (T)'!$T$10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noFill/>
            <a:ln w="381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'Kir2.1 (T)'!$Z$10:$AB$10</c:f>
                <c:numCache>
                  <c:formatCode>General</c:formatCode>
                  <c:ptCount val="3"/>
                  <c:pt idx="0">
                    <c:v>2.5983731852596826E-2</c:v>
                  </c:pt>
                  <c:pt idx="1">
                    <c:v>6.8746492615358798E-2</c:v>
                  </c:pt>
                  <c:pt idx="2">
                    <c:v>5.1967463705193929E-2</c:v>
                  </c:pt>
                </c:numCache>
              </c:numRef>
            </c:plus>
            <c:minus>
              <c:numRef>
                <c:f>'Kir2.1 (T)'!$Z$10:$AB$10</c:f>
                <c:numCache>
                  <c:formatCode>General</c:formatCode>
                  <c:ptCount val="3"/>
                  <c:pt idx="0">
                    <c:v>2.5983731852596826E-2</c:v>
                  </c:pt>
                  <c:pt idx="1">
                    <c:v>6.8746492615358798E-2</c:v>
                  </c:pt>
                  <c:pt idx="2">
                    <c:v>5.1967463705193929E-2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'Kir2.1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'Kir2.1 (T)'!$U$10:$W$10</c:f>
              <c:numCache>
                <c:formatCode>General</c:formatCode>
                <c:ptCount val="3"/>
                <c:pt idx="0">
                  <c:v>5.2083333333333329E-2</c:v>
                </c:pt>
                <c:pt idx="1">
                  <c:v>0.21875000000000003</c:v>
                </c:pt>
                <c:pt idx="2">
                  <c:v>0.39583333333333331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0-47F2-B974-E61D7E397548}"/>
            </c:ext>
          </c:extLst>
        </c:ser>
        <c:ser>
          <c:idx val="2"/>
          <c:order val="2"/>
          <c:tx>
            <c:strRef>
              <c:f>'Kir2.1 (T)'!$T$11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'Kir2.1 (T)'!$Z$11:$AB$11</c:f>
                <c:numCache>
                  <c:formatCode>General</c:formatCode>
                  <c:ptCount val="3"/>
                  <c:pt idx="0">
                    <c:v>4.3920523057894192E-2</c:v>
                  </c:pt>
                  <c:pt idx="1">
                    <c:v>9.8699100024665948E-2</c:v>
                  </c:pt>
                  <c:pt idx="2">
                    <c:v>8.1578750864380253E-2</c:v>
                  </c:pt>
                </c:numCache>
              </c:numRef>
            </c:plus>
            <c:minus>
              <c:numRef>
                <c:f>'Kir2.1 (T)'!$Z$11:$AB$11</c:f>
                <c:numCache>
                  <c:formatCode>General</c:formatCode>
                  <c:ptCount val="3"/>
                  <c:pt idx="0">
                    <c:v>4.3920523057894192E-2</c:v>
                  </c:pt>
                  <c:pt idx="1">
                    <c:v>9.8699100024665948E-2</c:v>
                  </c:pt>
                  <c:pt idx="2">
                    <c:v>8.1578750864380253E-2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'Kir2.1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'Kir2.1 (T)'!$U$11:$W$11</c:f>
              <c:numCache>
                <c:formatCode>General</c:formatCode>
                <c:ptCount val="3"/>
                <c:pt idx="0">
                  <c:v>0.20833333333333331</c:v>
                </c:pt>
                <c:pt idx="1">
                  <c:v>0.4375</c:v>
                </c:pt>
                <c:pt idx="2">
                  <c:v>0.60416666666666663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0-47F2-B974-E61D7E397548}"/>
            </c:ext>
          </c:extLst>
        </c:ser>
        <c:ser>
          <c:idx val="3"/>
          <c:order val="3"/>
          <c:tx>
            <c:strRef>
              <c:f>'Kir2.1 (T)'!$T$12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noFill/>
            <a:ln w="38100"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'Kir2.1 (T)'!$Z$12:$AB$12</c:f>
                <c:numCache>
                  <c:formatCode>General</c:formatCode>
                  <c:ptCount val="3"/>
                  <c:pt idx="0">
                    <c:v>4.6842838761222381E-2</c:v>
                  </c:pt>
                  <c:pt idx="1">
                    <c:v>8.490985597664924E-2</c:v>
                  </c:pt>
                  <c:pt idx="2">
                    <c:v>6.2884619014843185E-2</c:v>
                  </c:pt>
                </c:numCache>
              </c:numRef>
            </c:plus>
            <c:minus>
              <c:numRef>
                <c:f>'Kir2.1 (T)'!$Z$12:$AB$12</c:f>
                <c:numCache>
                  <c:formatCode>General</c:formatCode>
                  <c:ptCount val="3"/>
                  <c:pt idx="0">
                    <c:v>4.6842838761222381E-2</c:v>
                  </c:pt>
                  <c:pt idx="1">
                    <c:v>8.490985597664924E-2</c:v>
                  </c:pt>
                  <c:pt idx="2">
                    <c:v>6.2884619014843185E-2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'Kir2.1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'Kir2.1 (T)'!$U$12:$W$12</c:f>
              <c:numCache>
                <c:formatCode>General</c:formatCode>
                <c:ptCount val="3"/>
                <c:pt idx="0">
                  <c:v>0.17708333333333334</c:v>
                </c:pt>
                <c:pt idx="1">
                  <c:v>0.38541666666666663</c:v>
                </c:pt>
                <c:pt idx="2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0-47F2-B974-E61D7E397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SS47744 roundup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'SS47744 roundup (T)'!$T$9</c:f>
              <c:strCache>
                <c:ptCount val="1"/>
                <c:pt idx="0">
                  <c:v>Suc.</c:v>
                </c:pt>
              </c:strCache>
            </c:strRef>
          </c:tx>
          <c:spPr>
            <a:noFill/>
            <a:ln w="38100"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 (T)'!$Z$9:$AB$9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2.9050695365766516E-2</c:v>
                  </c:pt>
                  <c:pt idx="2">
                    <c:v>3.7717987816667464E-2</c:v>
                  </c:pt>
                </c:numCache>
              </c:numRef>
            </c:plus>
            <c:minus>
              <c:numRef>
                <c:f>'SS47744 roundup (T)'!$Z$9:$AB$9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2.9050695365766516E-2</c:v>
                  </c:pt>
                  <c:pt idx="2">
                    <c:v>3.7717987816667464E-2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 (T)'!$U$9:$W$9</c:f>
              <c:numCache>
                <c:formatCode>General</c:formatCode>
                <c:ptCount val="3"/>
                <c:pt idx="0">
                  <c:v>3.125E-2</c:v>
                </c:pt>
                <c:pt idx="1">
                  <c:v>0.11458333333333334</c:v>
                </c:pt>
                <c:pt idx="2">
                  <c:v>0.21874999999999997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F-4BB7-99B4-1BE42BD0764D}"/>
            </c:ext>
          </c:extLst>
        </c:ser>
        <c:ser>
          <c:idx val="1"/>
          <c:order val="1"/>
          <c:tx>
            <c:strRef>
              <c:f>'SS47744 roundup (T)'!$T$10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noFill/>
            <a:ln w="381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 (T)'!$Z$10:$AB$10</c:f>
                <c:numCache>
                  <c:formatCode>General</c:formatCode>
                  <c:ptCount val="3"/>
                  <c:pt idx="0">
                    <c:v>1.9641855032959656E-2</c:v>
                  </c:pt>
                  <c:pt idx="1">
                    <c:v>3.5409857733283243E-2</c:v>
                  </c:pt>
                  <c:pt idx="2">
                    <c:v>2.5983731852596829E-2</c:v>
                  </c:pt>
                </c:numCache>
              </c:numRef>
            </c:plus>
            <c:minus>
              <c:numRef>
                <c:f>'SS47744 roundup (T)'!$Z$10:$AB$10</c:f>
                <c:numCache>
                  <c:formatCode>General</c:formatCode>
                  <c:ptCount val="3"/>
                  <c:pt idx="0">
                    <c:v>1.9641855032959656E-2</c:v>
                  </c:pt>
                  <c:pt idx="1">
                    <c:v>3.5409857733283243E-2</c:v>
                  </c:pt>
                  <c:pt idx="2">
                    <c:v>2.5983731852596829E-2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 (T)'!$U$10:$W$10</c:f>
              <c:numCache>
                <c:formatCode>General</c:formatCode>
                <c:ptCount val="3"/>
                <c:pt idx="0">
                  <c:v>2.0833333333333332E-2</c:v>
                </c:pt>
                <c:pt idx="1">
                  <c:v>8.3333333333333329E-2</c:v>
                </c:pt>
                <c:pt idx="2">
                  <c:v>0.19791666666666669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F-4BB7-99B4-1BE42BD0764D}"/>
            </c:ext>
          </c:extLst>
        </c:ser>
        <c:ser>
          <c:idx val="2"/>
          <c:order val="2"/>
          <c:tx>
            <c:strRef>
              <c:f>'SS47744 roundup (T)'!$T$11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 (T)'!$Z$11:$AB$11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2.9050695365766516E-2</c:v>
                  </c:pt>
                  <c:pt idx="2">
                    <c:v>3.1056499687497078E-2</c:v>
                  </c:pt>
                </c:numCache>
              </c:numRef>
            </c:plus>
            <c:minus>
              <c:numRef>
                <c:f>'SS47744 roundup (T)'!$Z$11:$AB$11</c:f>
                <c:numCache>
                  <c:formatCode>General</c:formatCode>
                  <c:ptCount val="3"/>
                  <c:pt idx="0">
                    <c:v>2.4056261216234408E-2</c:v>
                  </c:pt>
                  <c:pt idx="1">
                    <c:v>2.9050695365766516E-2</c:v>
                  </c:pt>
                  <c:pt idx="2">
                    <c:v>3.1056499687497078E-2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 (T)'!$U$11:$W$11</c:f>
              <c:numCache>
                <c:formatCode>General</c:formatCode>
                <c:ptCount val="3"/>
                <c:pt idx="0">
                  <c:v>4.1666666666666664E-2</c:v>
                </c:pt>
                <c:pt idx="1">
                  <c:v>0.11458333333333334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CF-4BB7-99B4-1BE42BD0764D}"/>
            </c:ext>
          </c:extLst>
        </c:ser>
        <c:ser>
          <c:idx val="3"/>
          <c:order val="3"/>
          <c:tx>
            <c:strRef>
              <c:f>'SS47744 roundup (T)'!$T$12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noFill/>
            <a:ln w="38100"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'SS47744 roundup (T)'!$Z$12:$AB$12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3.4020690871988606E-2</c:v>
                  </c:pt>
                  <c:pt idx="2">
                    <c:v>5.0794232077527056E-2</c:v>
                  </c:pt>
                </c:numCache>
              </c:numRef>
            </c:plus>
            <c:minus>
              <c:numRef>
                <c:f>'SS47744 roundup (T)'!$Z$12:$AB$12</c:f>
                <c:numCache>
                  <c:formatCode>General</c:formatCode>
                  <c:ptCount val="3"/>
                  <c:pt idx="0">
                    <c:v>1.6286165832720242E-2</c:v>
                  </c:pt>
                  <c:pt idx="1">
                    <c:v>3.4020690871988606E-2</c:v>
                  </c:pt>
                  <c:pt idx="2">
                    <c:v>5.0794232077527056E-2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'SS47744 roundup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'SS47744 roundup (T)'!$U$12:$W$12</c:f>
              <c:numCache>
                <c:formatCode>General</c:formatCode>
                <c:ptCount val="3"/>
                <c:pt idx="0">
                  <c:v>3.125E-2</c:v>
                </c:pt>
                <c:pt idx="1">
                  <c:v>0.12499999999999999</c:v>
                </c:pt>
                <c:pt idx="2">
                  <c:v>0.23958333333333334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CF-4BB7-99B4-1BE42BD0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SS31345 fdg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'SS31345 fdg (T)'!$T$9</c:f>
              <c:strCache>
                <c:ptCount val="1"/>
                <c:pt idx="0">
                  <c:v>Suc.</c:v>
                </c:pt>
              </c:strCache>
            </c:strRef>
          </c:tx>
          <c:spPr>
            <a:noFill/>
            <a:ln w="38100"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'SS31345 fdg (T)'!$Z$9:$AB$9</c:f>
                <c:numCache>
                  <c:formatCode>General</c:formatCode>
                  <c:ptCount val="3"/>
                  <c:pt idx="0">
                    <c:v>4.5005143738943501E-2</c:v>
                  </c:pt>
                  <c:pt idx="1">
                    <c:v>7.9178848965217888E-2</c:v>
                  </c:pt>
                  <c:pt idx="2">
                    <c:v>5.8101390731533219E-2</c:v>
                  </c:pt>
                </c:numCache>
              </c:numRef>
            </c:plus>
            <c:minus>
              <c:numRef>
                <c:f>'SS31345 fdg (T)'!$Z$9:$AB$9</c:f>
                <c:numCache>
                  <c:formatCode>General</c:formatCode>
                  <c:ptCount val="3"/>
                  <c:pt idx="0">
                    <c:v>4.5005143738943501E-2</c:v>
                  </c:pt>
                  <c:pt idx="1">
                    <c:v>7.9178848965217888E-2</c:v>
                  </c:pt>
                  <c:pt idx="2">
                    <c:v>5.8101390731533219E-2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'SS31345 fdg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'SS31345 fdg (T)'!$U$9:$W$9</c:f>
              <c:numCache>
                <c:formatCode>General</c:formatCode>
                <c:ptCount val="3"/>
                <c:pt idx="0">
                  <c:v>0.14583333333333331</c:v>
                </c:pt>
                <c:pt idx="1">
                  <c:v>0.43750000000000006</c:v>
                </c:pt>
                <c:pt idx="2">
                  <c:v>0.60416666666666663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5-4A03-9BDD-6E5969EB9009}"/>
            </c:ext>
          </c:extLst>
        </c:ser>
        <c:ser>
          <c:idx val="1"/>
          <c:order val="1"/>
          <c:tx>
            <c:strRef>
              <c:f>'SS31345 fdg (T)'!$T$10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noFill/>
            <a:ln w="381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'SS31345 fdg (T)'!$Z$10:$AB$10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8.3910041483295603E-2</c:v>
                  </c:pt>
                  <c:pt idx="2">
                    <c:v>5.1967463705193929E-2</c:v>
                  </c:pt>
                </c:numCache>
              </c:numRef>
            </c:plus>
            <c:minus>
              <c:numRef>
                <c:f>'SS31345 fdg (T)'!$Z$10:$AB$10</c:f>
                <c:numCache>
                  <c:formatCode>General</c:formatCode>
                  <c:ptCount val="3"/>
                  <c:pt idx="0">
                    <c:v>2.5983731852596812E-2</c:v>
                  </c:pt>
                  <c:pt idx="1">
                    <c:v>8.3910041483295603E-2</c:v>
                  </c:pt>
                  <c:pt idx="2">
                    <c:v>5.1967463705193929E-2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'SS31345 fdg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'SS31345 fdg (T)'!$U$10:$W$10</c:f>
              <c:numCache>
                <c:formatCode>General</c:formatCode>
                <c:ptCount val="3"/>
                <c:pt idx="0">
                  <c:v>0.12499999999999999</c:v>
                </c:pt>
                <c:pt idx="1">
                  <c:v>0.32291666666666663</c:v>
                </c:pt>
                <c:pt idx="2">
                  <c:v>0.39583333333333331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5-4A03-9BDD-6E5969EB9009}"/>
            </c:ext>
          </c:extLst>
        </c:ser>
        <c:ser>
          <c:idx val="2"/>
          <c:order val="2"/>
          <c:tx>
            <c:strRef>
              <c:f>'SS31345 fdg (T)'!$T$11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'SS31345 fdg (T)'!$Z$11:$AB$11</c:f>
                <c:numCache>
                  <c:formatCode>General</c:formatCode>
                  <c:ptCount val="3"/>
                  <c:pt idx="0">
                    <c:v>5.7893513890739795E-2</c:v>
                  </c:pt>
                  <c:pt idx="1">
                    <c:v>6.2692604462735335E-2</c:v>
                  </c:pt>
                  <c:pt idx="2">
                    <c:v>6.1134780769649254E-2</c:v>
                  </c:pt>
                </c:numCache>
              </c:numRef>
            </c:plus>
            <c:minus>
              <c:numRef>
                <c:f>'SS31345 fdg (T)'!$Z$11:$AB$11</c:f>
                <c:numCache>
                  <c:formatCode>General</c:formatCode>
                  <c:ptCount val="3"/>
                  <c:pt idx="0">
                    <c:v>5.7893513890739795E-2</c:v>
                  </c:pt>
                  <c:pt idx="1">
                    <c:v>6.2692604462735335E-2</c:v>
                  </c:pt>
                  <c:pt idx="2">
                    <c:v>6.1134780769649254E-2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'SS31345 fdg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'SS31345 fdg (T)'!$U$11:$W$11</c:f>
              <c:numCache>
                <c:formatCode>General</c:formatCode>
                <c:ptCount val="3"/>
                <c:pt idx="0">
                  <c:v>0.21875000000000003</c:v>
                </c:pt>
                <c:pt idx="1">
                  <c:v>0.46875</c:v>
                </c:pt>
                <c:pt idx="2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5-4A03-9BDD-6E5969EB9009}"/>
            </c:ext>
          </c:extLst>
        </c:ser>
        <c:ser>
          <c:idx val="3"/>
          <c:order val="3"/>
          <c:tx>
            <c:strRef>
              <c:f>'SS31345 fdg (T)'!$T$12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noFill/>
            <a:ln w="38100"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'SS31345 fdg (T)'!$Z$12:$AB$12</c:f>
                <c:numCache>
                  <c:formatCode>General</c:formatCode>
                  <c:ptCount val="3"/>
                  <c:pt idx="0">
                    <c:v>5.953620902598003E-2</c:v>
                  </c:pt>
                  <c:pt idx="1">
                    <c:v>3.7717987816667464E-2</c:v>
                  </c:pt>
                  <c:pt idx="2">
                    <c:v>7.9178848965217888E-2</c:v>
                  </c:pt>
                </c:numCache>
              </c:numRef>
            </c:plus>
            <c:minus>
              <c:numRef>
                <c:f>'SS31345 fdg (T)'!$Z$12:$AB$12</c:f>
                <c:numCache>
                  <c:formatCode>General</c:formatCode>
                  <c:ptCount val="3"/>
                  <c:pt idx="0">
                    <c:v>5.953620902598003E-2</c:v>
                  </c:pt>
                  <c:pt idx="1">
                    <c:v>3.7717987816667464E-2</c:v>
                  </c:pt>
                  <c:pt idx="2">
                    <c:v>7.9178848965217888E-2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'SS31345 fdg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'SS31345 fdg (T)'!$U$12:$W$12</c:f>
              <c:numCache>
                <c:formatCode>General</c:formatCode>
                <c:ptCount val="3"/>
                <c:pt idx="0">
                  <c:v>0.19791666666666666</c:v>
                </c:pt>
                <c:pt idx="1">
                  <c:v>0.44791666666666669</c:v>
                </c:pt>
                <c:pt idx="2">
                  <c:v>0.52083333333333337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5-4A03-9BDD-6E5969EB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SS31372 sink,sync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'SS31372 sink,sync (T)'!$T$9</c:f>
              <c:strCache>
                <c:ptCount val="1"/>
                <c:pt idx="0">
                  <c:v>Suc.</c:v>
                </c:pt>
              </c:strCache>
            </c:strRef>
          </c:tx>
          <c:spPr>
            <a:noFill/>
            <a:ln w="38100"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'SS31372 sink,sync (T)'!$Z$9:$AB$9</c:f>
                <c:numCache>
                  <c:formatCode>General</c:formatCode>
                  <c:ptCount val="3"/>
                  <c:pt idx="0">
                    <c:v>4.2808430576173465E-2</c:v>
                  </c:pt>
                  <c:pt idx="1">
                    <c:v>8.4909855976649212E-2</c:v>
                  </c:pt>
                  <c:pt idx="2">
                    <c:v>6.8570894646289696E-2</c:v>
                  </c:pt>
                </c:numCache>
              </c:numRef>
            </c:plus>
            <c:minus>
              <c:numRef>
                <c:f>'SS31372 sink,sync (T)'!$Z$9:$AB$9</c:f>
                <c:numCache>
                  <c:formatCode>General</c:formatCode>
                  <c:ptCount val="3"/>
                  <c:pt idx="0">
                    <c:v>4.2808430576173465E-2</c:v>
                  </c:pt>
                  <c:pt idx="1">
                    <c:v>8.4909855976649212E-2</c:v>
                  </c:pt>
                  <c:pt idx="2">
                    <c:v>6.8570894646289696E-2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'SS31372 sink,sync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'SS31372 sink,sync (T)'!$U$9:$W$9</c:f>
              <c:numCache>
                <c:formatCode>General</c:formatCode>
                <c:ptCount val="3"/>
                <c:pt idx="0">
                  <c:v>0.10416666666666666</c:v>
                </c:pt>
                <c:pt idx="1">
                  <c:v>0.40625</c:v>
                </c:pt>
                <c:pt idx="2">
                  <c:v>0.65625000000000011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2-45F1-8788-B7EACECFB99F}"/>
            </c:ext>
          </c:extLst>
        </c:ser>
        <c:ser>
          <c:idx val="1"/>
          <c:order val="1"/>
          <c:tx>
            <c:strRef>
              <c:f>'SS31372 sink,sync (T)'!$T$10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noFill/>
            <a:ln w="381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'SS31372 sink,sync (T)'!$Z$10:$AB$10</c:f>
                <c:numCache>
                  <c:formatCode>General</c:formatCode>
                  <c:ptCount val="3"/>
                  <c:pt idx="0">
                    <c:v>3.9283710065919332E-2</c:v>
                  </c:pt>
                  <c:pt idx="1">
                    <c:v>8.0387756269376553E-2</c:v>
                  </c:pt>
                  <c:pt idx="2">
                    <c:v>5.1967463705193659E-2</c:v>
                  </c:pt>
                </c:numCache>
              </c:numRef>
            </c:plus>
            <c:minus>
              <c:numRef>
                <c:f>'SS31372 sink,sync (T)'!$Z$10:$AB$10</c:f>
                <c:numCache>
                  <c:formatCode>General</c:formatCode>
                  <c:ptCount val="3"/>
                  <c:pt idx="0">
                    <c:v>3.9283710065919332E-2</c:v>
                  </c:pt>
                  <c:pt idx="1">
                    <c:v>8.0387756269376553E-2</c:v>
                  </c:pt>
                  <c:pt idx="2">
                    <c:v>5.1967463705193659E-2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'SS31372 sink,sync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'SS31372 sink,sync (T)'!$U$10:$W$10</c:f>
              <c:numCache>
                <c:formatCode>General</c:formatCode>
                <c:ptCount val="3"/>
                <c:pt idx="0">
                  <c:v>7.2916666666666657E-2</c:v>
                </c:pt>
                <c:pt idx="1">
                  <c:v>0.29166666666666663</c:v>
                </c:pt>
                <c:pt idx="2">
                  <c:v>0.42708333333333331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2-45F1-8788-B7EACECFB99F}"/>
            </c:ext>
          </c:extLst>
        </c:ser>
        <c:ser>
          <c:idx val="2"/>
          <c:order val="2"/>
          <c:tx>
            <c:strRef>
              <c:f>'SS31372 sink,sync (T)'!$T$11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'SS31372 sink,sync (T)'!$Z$11:$AB$11</c:f>
                <c:numCache>
                  <c:formatCode>General</c:formatCode>
                  <c:ptCount val="3"/>
                  <c:pt idx="0">
                    <c:v>6.5697527529251745E-2</c:v>
                  </c:pt>
                  <c:pt idx="1">
                    <c:v>8.6178289208269782E-2</c:v>
                  </c:pt>
                  <c:pt idx="2">
                    <c:v>7.3983596363411536E-2</c:v>
                  </c:pt>
                </c:numCache>
              </c:numRef>
            </c:plus>
            <c:minus>
              <c:numRef>
                <c:f>'SS31372 sink,sync (T)'!$Z$11:$AB$11</c:f>
                <c:numCache>
                  <c:formatCode>General</c:formatCode>
                  <c:ptCount val="3"/>
                  <c:pt idx="0">
                    <c:v>6.5697527529251745E-2</c:v>
                  </c:pt>
                  <c:pt idx="1">
                    <c:v>8.6178289208269782E-2</c:v>
                  </c:pt>
                  <c:pt idx="2">
                    <c:v>7.3983596363411536E-2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'SS31372 sink,sync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'SS31372 sink,sync (T)'!$U$11:$W$11</c:f>
              <c:numCache>
                <c:formatCode>General</c:formatCode>
                <c:ptCount val="3"/>
                <c:pt idx="0">
                  <c:v>0.19791666666666669</c:v>
                </c:pt>
                <c:pt idx="1">
                  <c:v>0.43750000000000006</c:v>
                </c:pt>
                <c:pt idx="2">
                  <c:v>0.63541666666666663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2-45F1-8788-B7EACECFB99F}"/>
            </c:ext>
          </c:extLst>
        </c:ser>
        <c:ser>
          <c:idx val="3"/>
          <c:order val="3"/>
          <c:tx>
            <c:strRef>
              <c:f>'SS31372 sink,sync (T)'!$T$12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noFill/>
            <a:ln w="38100"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'SS31372 sink,sync (T)'!$Z$12:$AB$12</c:f>
                <c:numCache>
                  <c:formatCode>General</c:formatCode>
                  <c:ptCount val="3"/>
                  <c:pt idx="0">
                    <c:v>7.3983596363411522E-2</c:v>
                  </c:pt>
                  <c:pt idx="1">
                    <c:v>5.6202826584161938E-2</c:v>
                  </c:pt>
                  <c:pt idx="2">
                    <c:v>5.6202826584161834E-2</c:v>
                  </c:pt>
                </c:numCache>
              </c:numRef>
            </c:plus>
            <c:minus>
              <c:numRef>
                <c:f>'SS31372 sink,sync (T)'!$Z$12:$AB$12</c:f>
                <c:numCache>
                  <c:formatCode>General</c:formatCode>
                  <c:ptCount val="3"/>
                  <c:pt idx="0">
                    <c:v>7.3983596363411522E-2</c:v>
                  </c:pt>
                  <c:pt idx="1">
                    <c:v>5.6202826584161938E-2</c:v>
                  </c:pt>
                  <c:pt idx="2">
                    <c:v>5.6202826584161834E-2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'SS31372 sink,sync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'SS31372 sink,sync (T)'!$U$12:$W$12</c:f>
              <c:numCache>
                <c:formatCode>General</c:formatCode>
                <c:ptCount val="3"/>
                <c:pt idx="0">
                  <c:v>0.17708333333333331</c:v>
                </c:pt>
                <c:pt idx="1">
                  <c:v>0.42708333333333331</c:v>
                </c:pt>
                <c:pt idx="2">
                  <c:v>0.61458333333333337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72-45F1-8788-B7EACECFB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SS48944 FMIn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'SS48944 FMIn (T)'!$T$9</c:f>
              <c:strCache>
                <c:ptCount val="1"/>
                <c:pt idx="0">
                  <c:v>Suc.</c:v>
                </c:pt>
              </c:strCache>
            </c:strRef>
          </c:tx>
          <c:spPr>
            <a:noFill/>
            <a:ln w="38100"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 (T)'!$Z$9:$AB$9</c:f>
                <c:numCache>
                  <c:formatCode>General</c:formatCode>
                  <c:ptCount val="3"/>
                  <c:pt idx="0">
                    <c:v>3.6746545987008203E-2</c:v>
                  </c:pt>
                  <c:pt idx="1">
                    <c:v>3.6746545987008203E-2</c:v>
                  </c:pt>
                  <c:pt idx="2">
                    <c:v>5.9738369910018269E-2</c:v>
                  </c:pt>
                </c:numCache>
              </c:numRef>
            </c:plus>
            <c:minus>
              <c:numRef>
                <c:f>'SS48944 FMIn (T)'!$Z$9:$AB$9</c:f>
                <c:numCache>
                  <c:formatCode>General</c:formatCode>
                  <c:ptCount val="3"/>
                  <c:pt idx="0">
                    <c:v>3.6746545987008203E-2</c:v>
                  </c:pt>
                  <c:pt idx="1">
                    <c:v>3.6746545987008203E-2</c:v>
                  </c:pt>
                  <c:pt idx="2">
                    <c:v>5.9738369910018269E-2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 (T)'!$U$9:$W$9</c:f>
              <c:numCache>
                <c:formatCode>General</c:formatCode>
                <c:ptCount val="3"/>
                <c:pt idx="0">
                  <c:v>8.3333333333333343E-2</c:v>
                </c:pt>
                <c:pt idx="1">
                  <c:v>0.16666666666666669</c:v>
                </c:pt>
                <c:pt idx="2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0-44F9-AC78-435707871E8F}"/>
            </c:ext>
          </c:extLst>
        </c:ser>
        <c:ser>
          <c:idx val="1"/>
          <c:order val="1"/>
          <c:tx>
            <c:strRef>
              <c:f>'SS48944 FMIn (T)'!$T$10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noFill/>
            <a:ln w="381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 (T)'!$Z$10:$AB$10</c:f>
                <c:numCache>
                  <c:formatCode>General</c:formatCode>
                  <c:ptCount val="3"/>
                  <c:pt idx="0">
                    <c:v>1.7010345435994296E-2</c:v>
                  </c:pt>
                  <c:pt idx="1">
                    <c:v>1.7010345435994348E-2</c:v>
                  </c:pt>
                  <c:pt idx="2">
                    <c:v>6.4400128440942422E-2</c:v>
                  </c:pt>
                </c:numCache>
              </c:numRef>
            </c:plus>
            <c:minus>
              <c:numRef>
                <c:f>'SS48944 FMIn (T)'!$Z$10:$AB$10</c:f>
                <c:numCache>
                  <c:formatCode>General</c:formatCode>
                  <c:ptCount val="3"/>
                  <c:pt idx="0">
                    <c:v>1.7010345435994296E-2</c:v>
                  </c:pt>
                  <c:pt idx="1">
                    <c:v>1.7010345435994348E-2</c:v>
                  </c:pt>
                  <c:pt idx="2">
                    <c:v>6.4400128440942422E-2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 (T)'!$U$10:$W$10</c:f>
              <c:numCache>
                <c:formatCode>General</c:formatCode>
                <c:ptCount val="3"/>
                <c:pt idx="0">
                  <c:v>8.3333333333333343E-2</c:v>
                </c:pt>
                <c:pt idx="1">
                  <c:v>0.125</c:v>
                </c:pt>
                <c:pt idx="2">
                  <c:v>0.20833333333333331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40-44F9-AC78-435707871E8F}"/>
            </c:ext>
          </c:extLst>
        </c:ser>
        <c:ser>
          <c:idx val="2"/>
          <c:order val="2"/>
          <c:tx>
            <c:strRef>
              <c:f>'SS48944 FMIn (T)'!$T$11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 (T)'!$Z$11:$AB$11</c:f>
                <c:numCache>
                  <c:formatCode>General</c:formatCode>
                  <c:ptCount val="3"/>
                  <c:pt idx="0">
                    <c:v>3.674654598700821E-2</c:v>
                  </c:pt>
                  <c:pt idx="1">
                    <c:v>5.2887313235166059E-2</c:v>
                  </c:pt>
                  <c:pt idx="2">
                    <c:v>8.1430829163601212E-2</c:v>
                  </c:pt>
                </c:numCache>
              </c:numRef>
            </c:plus>
            <c:minus>
              <c:numRef>
                <c:f>'SS48944 FMIn (T)'!$Z$11:$AB$11</c:f>
                <c:numCache>
                  <c:formatCode>General</c:formatCode>
                  <c:ptCount val="3"/>
                  <c:pt idx="0">
                    <c:v>3.674654598700821E-2</c:v>
                  </c:pt>
                  <c:pt idx="1">
                    <c:v>5.2887313235166059E-2</c:v>
                  </c:pt>
                  <c:pt idx="2">
                    <c:v>8.1430829163601212E-2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 (T)'!$U$11:$W$11</c:f>
              <c:numCache>
                <c:formatCode>General</c:formatCode>
                <c:ptCount val="3"/>
                <c:pt idx="0">
                  <c:v>8.3333333333333329E-2</c:v>
                </c:pt>
                <c:pt idx="1">
                  <c:v>0.22916666666666666</c:v>
                </c:pt>
                <c:pt idx="2">
                  <c:v>0.30208333333333337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40-44F9-AC78-435707871E8F}"/>
            </c:ext>
          </c:extLst>
        </c:ser>
        <c:ser>
          <c:idx val="3"/>
          <c:order val="3"/>
          <c:tx>
            <c:strRef>
              <c:f>'SS48944 FMIn (T)'!$T$12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noFill/>
            <a:ln w="38100"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'SS48944 FMIn (T)'!$Z$12:$AB$12</c:f>
                <c:numCache>
                  <c:formatCode>General</c:formatCode>
                  <c:ptCount val="3"/>
                  <c:pt idx="0">
                    <c:v>2.5515518153991435E-2</c:v>
                  </c:pt>
                  <c:pt idx="1">
                    <c:v>3.771798781666745E-2</c:v>
                  </c:pt>
                  <c:pt idx="2">
                    <c:v>6.5144663330880953E-2</c:v>
                  </c:pt>
                </c:numCache>
              </c:numRef>
            </c:plus>
            <c:minus>
              <c:numRef>
                <c:f>'SS48944 FMIn (T)'!$Z$12:$AB$12</c:f>
                <c:numCache>
                  <c:formatCode>General</c:formatCode>
                  <c:ptCount val="3"/>
                  <c:pt idx="0">
                    <c:v>2.5515518153991435E-2</c:v>
                  </c:pt>
                  <c:pt idx="1">
                    <c:v>3.771798781666745E-2</c:v>
                  </c:pt>
                  <c:pt idx="2">
                    <c:v>6.5144663330880953E-2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'SS48944 FMIn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'SS48944 FMIn (T)'!$U$12:$W$12</c:f>
              <c:numCache>
                <c:formatCode>General</c:formatCode>
                <c:ptCount val="3"/>
                <c:pt idx="0">
                  <c:v>7.2916666666666671E-2</c:v>
                </c:pt>
                <c:pt idx="1">
                  <c:v>0.19791666666666666</c:v>
                </c:pt>
                <c:pt idx="2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40-44F9-AC78-435707871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Satiated state</a:t>
            </a:r>
            <a:r>
              <a:rPr lang="en-US" altLang="ko-KR" sz="1000" b="1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n-US" altLang="ko-KR" sz="1000" b="1" i="0" u="none" strike="noStrike" kern="1200" spc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SS35420 meteor</a:t>
            </a:r>
            <a:endParaRPr lang="en-US" altLang="ko-KR" sz="1000" b="1" i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'SS35420 meteor (T)'!$T$9</c:f>
              <c:strCache>
                <c:ptCount val="1"/>
                <c:pt idx="0">
                  <c:v>Suc.</c:v>
                </c:pt>
              </c:strCache>
            </c:strRef>
          </c:tx>
          <c:spPr>
            <a:noFill/>
            <a:ln w="38100"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 (T)'!$Z$9:$AB$9</c:f>
                <c:numCache>
                  <c:formatCode>General</c:formatCode>
                  <c:ptCount val="3"/>
                  <c:pt idx="0">
                    <c:v>6.5697527529251745E-2</c:v>
                  </c:pt>
                  <c:pt idx="1">
                    <c:v>4.6842838761222312E-2</c:v>
                  </c:pt>
                  <c:pt idx="2">
                    <c:v>4.2808430576173624E-2</c:v>
                  </c:pt>
                </c:numCache>
              </c:numRef>
            </c:plus>
            <c:minus>
              <c:numRef>
                <c:f>'SS35420 meteor (T)'!$Z$9:$AB$9</c:f>
                <c:numCache>
                  <c:formatCode>General</c:formatCode>
                  <c:ptCount val="3"/>
                  <c:pt idx="0">
                    <c:v>6.5697527529251745E-2</c:v>
                  </c:pt>
                  <c:pt idx="1">
                    <c:v>4.6842838761222312E-2</c:v>
                  </c:pt>
                  <c:pt idx="2">
                    <c:v>4.2808430576173624E-2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 (T)'!$U$9:$W$9</c:f>
              <c:numCache>
                <c:formatCode>General</c:formatCode>
                <c:ptCount val="3"/>
                <c:pt idx="0">
                  <c:v>0.23958333333333331</c:v>
                </c:pt>
                <c:pt idx="1">
                  <c:v>0.51041666666666674</c:v>
                </c:pt>
                <c:pt idx="2">
                  <c:v>0.64583333333333326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2-44FB-8921-3A67AC118D8B}"/>
            </c:ext>
          </c:extLst>
        </c:ser>
        <c:ser>
          <c:idx val="1"/>
          <c:order val="1"/>
          <c:tx>
            <c:strRef>
              <c:f>'SS35420 meteor (T)'!$T$10</c:f>
              <c:strCache>
                <c:ptCount val="1"/>
                <c:pt idx="0">
                  <c:v>Suc. + 1% Geo.</c:v>
                </c:pt>
              </c:strCache>
            </c:strRef>
          </c:tx>
          <c:spPr>
            <a:noFill/>
            <a:ln w="381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 (T)'!$Z$10:$AB$10</c:f>
                <c:numCache>
                  <c:formatCode>General</c:formatCode>
                  <c:ptCount val="3"/>
                  <c:pt idx="0">
                    <c:v>3.4020690871988599E-2</c:v>
                  </c:pt>
                  <c:pt idx="1">
                    <c:v>5.1967463705193749E-2</c:v>
                  </c:pt>
                  <c:pt idx="2">
                    <c:v>3.9283710065919394E-2</c:v>
                  </c:pt>
                </c:numCache>
              </c:numRef>
            </c:plus>
            <c:minus>
              <c:numRef>
                <c:f>'SS35420 meteor (T)'!$Z$10:$AB$10</c:f>
                <c:numCache>
                  <c:formatCode>General</c:formatCode>
                  <c:ptCount val="3"/>
                  <c:pt idx="0">
                    <c:v>3.4020690871988599E-2</c:v>
                  </c:pt>
                  <c:pt idx="1">
                    <c:v>5.1967463705193749E-2</c:v>
                  </c:pt>
                  <c:pt idx="2">
                    <c:v>3.9283710065919394E-2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 (T)'!$U$10:$W$10</c:f>
              <c:numCache>
                <c:formatCode>General</c:formatCode>
                <c:ptCount val="3"/>
                <c:pt idx="0">
                  <c:v>0.21875</c:v>
                </c:pt>
                <c:pt idx="1">
                  <c:v>0.48958333333333331</c:v>
                </c:pt>
                <c:pt idx="2">
                  <c:v>0.61458333333333326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2-44FB-8921-3A67AC118D8B}"/>
            </c:ext>
          </c:extLst>
        </c:ser>
        <c:ser>
          <c:idx val="2"/>
          <c:order val="2"/>
          <c:tx>
            <c:strRef>
              <c:f>'SS35420 meteor (T)'!$T$11</c:f>
              <c:strCache>
                <c:ptCount val="1"/>
                <c:pt idx="0">
                  <c:v>Suc. (fixed leg)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 (T)'!$Z$11:$AB$11</c:f>
                <c:numCache>
                  <c:formatCode>General</c:formatCode>
                  <c:ptCount val="3"/>
                  <c:pt idx="0">
                    <c:v>5.7893513890739795E-2</c:v>
                  </c:pt>
                  <c:pt idx="1">
                    <c:v>7.4146376750217499E-2</c:v>
                  </c:pt>
                  <c:pt idx="2">
                    <c:v>6.4212645864260273E-2</c:v>
                  </c:pt>
                </c:numCache>
              </c:numRef>
            </c:plus>
            <c:minus>
              <c:numRef>
                <c:f>'SS35420 meteor (T)'!$Z$11:$AB$11</c:f>
                <c:numCache>
                  <c:formatCode>General</c:formatCode>
                  <c:ptCount val="3"/>
                  <c:pt idx="0">
                    <c:v>5.7893513890739795E-2</c:v>
                  </c:pt>
                  <c:pt idx="1">
                    <c:v>7.4146376750217499E-2</c:v>
                  </c:pt>
                  <c:pt idx="2">
                    <c:v>6.4212645864260273E-2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 (T)'!$U$11:$W$11</c:f>
              <c:numCache>
                <c:formatCode>General</c:formatCode>
                <c:ptCount val="3"/>
                <c:pt idx="0">
                  <c:v>0.21875000000000003</c:v>
                </c:pt>
                <c:pt idx="1">
                  <c:v>0.52083333333333326</c:v>
                </c:pt>
                <c:pt idx="2">
                  <c:v>0.63541666666666663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2-44FB-8921-3A67AC118D8B}"/>
            </c:ext>
          </c:extLst>
        </c:ser>
        <c:ser>
          <c:idx val="3"/>
          <c:order val="3"/>
          <c:tx>
            <c:strRef>
              <c:f>'SS35420 meteor (T)'!$T$12</c:f>
              <c:strCache>
                <c:ptCount val="1"/>
                <c:pt idx="0">
                  <c:v>Suc. (fixed leg) + 1% Geo</c:v>
                </c:pt>
              </c:strCache>
            </c:strRef>
          </c:tx>
          <c:spPr>
            <a:noFill/>
            <a:ln w="38100">
              <a:solidFill>
                <a:schemeClr val="accent3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'SS35420 meteor (T)'!$Z$12:$AB$12</c:f>
                <c:numCache>
                  <c:formatCode>General</c:formatCode>
                  <c:ptCount val="3"/>
                  <c:pt idx="0">
                    <c:v>8.1578750864380087E-2</c:v>
                  </c:pt>
                  <c:pt idx="1">
                    <c:v>5.007710104811107E-2</c:v>
                  </c:pt>
                  <c:pt idx="2">
                    <c:v>5.0794232077527E-2</c:v>
                  </c:pt>
                </c:numCache>
              </c:numRef>
            </c:plus>
            <c:minus>
              <c:numRef>
                <c:f>'SS35420 meteor (T)'!$Z$12:$AB$12</c:f>
                <c:numCache>
                  <c:formatCode>General</c:formatCode>
                  <c:ptCount val="3"/>
                  <c:pt idx="0">
                    <c:v>8.1578750864380087E-2</c:v>
                  </c:pt>
                  <c:pt idx="1">
                    <c:v>5.007710104811107E-2</c:v>
                  </c:pt>
                  <c:pt idx="2">
                    <c:v>5.0794232077527E-2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'SS35420 meteor (T)'!$U$8:$W$8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'SS35420 meteor (T)'!$U$12:$W$12</c:f>
              <c:numCache>
                <c:formatCode>General</c:formatCode>
                <c:ptCount val="3"/>
                <c:pt idx="0">
                  <c:v>0.22916666666666666</c:v>
                </c:pt>
                <c:pt idx="1">
                  <c:v>0.5</c:v>
                </c:pt>
                <c:pt idx="2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2-44FB-8921-3A67AC118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061519"/>
        <c:axId val="1633062479"/>
      </c:barChart>
      <c:catAx>
        <c:axId val="163306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Suc.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2479"/>
        <c:crosses val="autoZero"/>
        <c:auto val="1"/>
        <c:lblAlgn val="ctr"/>
        <c:lblOffset val="100"/>
        <c:noMultiLvlLbl val="0"/>
      </c:catAx>
      <c:valAx>
        <c:axId val="16330624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9ECD3-2FDE-49A5-9A73-C4D8561E4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</xdr:colOff>
      <xdr:row>16</xdr:row>
      <xdr:rowOff>27622</xdr:rowOff>
    </xdr:from>
    <xdr:to>
      <xdr:col>26</xdr:col>
      <xdr:colOff>268605</xdr:colOff>
      <xdr:row>36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2D0A3-825F-4C6B-AAF7-BAB54E3BF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lan\My%20Drive%20(dilandesilvakr@gmail.com)\Yonsei%20-%20GMAIL\1.%20Geo_2025%20-%20FLY%20RESEARCH\3.%20THIS%20WEEK%20REPORTs\x_THIS%20WEEK%20REPORT%20-%2026.01.04\SEZ%20hits%20silencing%20dose%20-%20fix%20leg%20-%20lab,%20tar%20-%20suc.%20&amp;%20geo.%20260105.xlsx" TargetMode="External"/><Relationship Id="rId1" Type="http://schemas.openxmlformats.org/officeDocument/2006/relationships/externalLinkPath" Target="/Users/dilan/My%20Drive%20(dilandesilvakr@gmail.com)/Yonsei%20-%20GMAIL/1.%20Geo_2025%20-%20FLY%20RESEARCH/3.%20THIS%20WEEK%20REPORTs/x_THIS%20WEEK%20REPORT%20-%2026.01.04/SEZ%20hits%20silencing%20dose%20-%20fix%20leg%20-%20lab,%20tar%20-%20suc.%20&amp;%20geo.%202601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37122 usnea"/>
      <sheetName val="SS47744 roundup"/>
      <sheetName val="SS35420 meteor"/>
      <sheetName val="Sheet2"/>
      <sheetName val="SS47744 roundup (T)"/>
      <sheetName val="SS35420 meteor (T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3.125E-2</v>
          </cell>
          <cell r="V9">
            <v>0.11458333333333334</v>
          </cell>
          <cell r="W9">
            <v>0.21874999999999997</v>
          </cell>
          <cell r="Z9">
            <v>1.6286165832720242E-2</v>
          </cell>
          <cell r="AA9">
            <v>2.9050695365766516E-2</v>
          </cell>
          <cell r="AB9">
            <v>3.7717987816667464E-2</v>
          </cell>
        </row>
        <row r="10">
          <cell r="T10" t="str">
            <v>Suc. + 1% Geo.</v>
          </cell>
          <cell r="U10">
            <v>2.0833333333333332E-2</v>
          </cell>
          <cell r="V10">
            <v>8.3333333333333329E-2</v>
          </cell>
          <cell r="W10">
            <v>0.19791666666666669</v>
          </cell>
          <cell r="Z10">
            <v>1.9641855032959656E-2</v>
          </cell>
          <cell r="AA10">
            <v>3.5409857733283243E-2</v>
          </cell>
          <cell r="AB10">
            <v>2.5983731852596829E-2</v>
          </cell>
        </row>
        <row r="11">
          <cell r="T11" t="str">
            <v>Suc. (fixed leg)</v>
          </cell>
          <cell r="U11">
            <v>4.1666666666666664E-2</v>
          </cell>
          <cell r="V11">
            <v>0.11458333333333334</v>
          </cell>
          <cell r="W11">
            <v>0.25</v>
          </cell>
          <cell r="Z11">
            <v>2.4056261216234408E-2</v>
          </cell>
          <cell r="AA11">
            <v>2.9050695365766516E-2</v>
          </cell>
          <cell r="AB11">
            <v>3.1056499687497078E-2</v>
          </cell>
        </row>
        <row r="12">
          <cell r="T12" t="str">
            <v>Suc. (fixed leg) + 1% Geo</v>
          </cell>
          <cell r="U12">
            <v>3.125E-2</v>
          </cell>
          <cell r="V12">
            <v>0.12499999999999999</v>
          </cell>
          <cell r="W12">
            <v>0.23958333333333334</v>
          </cell>
          <cell r="Z12">
            <v>1.6286165832720242E-2</v>
          </cell>
          <cell r="AA12">
            <v>3.4020690871988606E-2</v>
          </cell>
          <cell r="AB12">
            <v>5.0794232077527056E-2</v>
          </cell>
        </row>
      </sheetData>
      <sheetData sheetId="5">
        <row r="8">
          <cell r="U8">
            <v>10</v>
          </cell>
          <cell r="V8">
            <v>50</v>
          </cell>
          <cell r="W8">
            <v>100</v>
          </cell>
        </row>
        <row r="9">
          <cell r="T9" t="str">
            <v>Suc.</v>
          </cell>
          <cell r="U9">
            <v>0.23958333333333331</v>
          </cell>
          <cell r="V9">
            <v>0.51041666666666674</v>
          </cell>
          <cell r="W9">
            <v>0.64583333333333326</v>
          </cell>
          <cell r="Z9">
            <v>6.5697527529251745E-2</v>
          </cell>
          <cell r="AA9">
            <v>4.6842838761222312E-2</v>
          </cell>
          <cell r="AB9">
            <v>4.2808430576173624E-2</v>
          </cell>
        </row>
        <row r="10">
          <cell r="T10" t="str">
            <v>Suc. + 1% Geo.</v>
          </cell>
          <cell r="U10">
            <v>0.21875</v>
          </cell>
          <cell r="V10">
            <v>0.48958333333333331</v>
          </cell>
          <cell r="W10">
            <v>0.61458333333333326</v>
          </cell>
          <cell r="Z10">
            <v>3.4020690871988599E-2</v>
          </cell>
          <cell r="AA10">
            <v>5.1967463705193749E-2</v>
          </cell>
          <cell r="AB10">
            <v>3.9283710065919394E-2</v>
          </cell>
        </row>
        <row r="11">
          <cell r="T11" t="str">
            <v>Suc. (fixed leg)</v>
          </cell>
          <cell r="U11">
            <v>0.21875000000000003</v>
          </cell>
          <cell r="V11">
            <v>0.52083333333333326</v>
          </cell>
          <cell r="W11">
            <v>0.63541666666666663</v>
          </cell>
          <cell r="Z11">
            <v>5.7893513890739795E-2</v>
          </cell>
          <cell r="AA11">
            <v>7.4146376750217499E-2</v>
          </cell>
          <cell r="AB11">
            <v>6.4212645864260273E-2</v>
          </cell>
        </row>
        <row r="12">
          <cell r="T12" t="str">
            <v>Suc. (fixed leg) + 1% Geo</v>
          </cell>
          <cell r="U12">
            <v>0.22916666666666666</v>
          </cell>
          <cell r="V12">
            <v>0.5</v>
          </cell>
          <cell r="W12">
            <v>0.59375</v>
          </cell>
          <cell r="Z12">
            <v>8.1578750864380087E-2</v>
          </cell>
          <cell r="AA12">
            <v>5.007710104811107E-2</v>
          </cell>
          <cell r="AB12">
            <v>5.0794232077527E-2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997"/>
  <sheetViews>
    <sheetView tabSelected="1"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34" t="s">
        <v>14</v>
      </c>
      <c r="C3" s="35"/>
      <c r="D3" s="36"/>
      <c r="E3" s="37" t="s">
        <v>8</v>
      </c>
      <c r="F3" s="38"/>
      <c r="G3" s="39"/>
      <c r="H3" s="45" t="s">
        <v>18</v>
      </c>
      <c r="I3" s="41"/>
      <c r="J3" s="42"/>
      <c r="K3" s="46" t="s">
        <v>19</v>
      </c>
      <c r="L3" s="32"/>
      <c r="M3" s="25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3" t="s">
        <v>14</v>
      </c>
      <c r="P4" s="27"/>
      <c r="Q4" s="7">
        <f>AVERAGE(D5:D14)</f>
        <v>0.11458333333333333</v>
      </c>
      <c r="R4" s="7">
        <f>STDEV(D5:D14)/SQRT(6)</f>
        <v>4.2525863589985745E-2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6</v>
      </c>
      <c r="C5" s="7">
        <v>24</v>
      </c>
      <c r="D5" s="7">
        <f t="shared" ref="D5:D8" si="0">B5/C5</f>
        <v>0.25</v>
      </c>
      <c r="E5" s="7">
        <v>1</v>
      </c>
      <c r="F5" s="7">
        <v>24</v>
      </c>
      <c r="G5" s="7">
        <f t="shared" ref="G5:G8" si="1">E5/F5</f>
        <v>4.1666666666666664E-2</v>
      </c>
      <c r="H5" s="18">
        <v>8</v>
      </c>
      <c r="I5" s="7">
        <v>24</v>
      </c>
      <c r="J5" s="7">
        <f t="shared" ref="J5:J8" si="2">H5/I5</f>
        <v>0.33333333333333331</v>
      </c>
      <c r="K5" s="18">
        <v>7</v>
      </c>
      <c r="L5" s="7">
        <v>24</v>
      </c>
      <c r="M5" s="7">
        <f t="shared" ref="M5:M8" si="3">K5/L5</f>
        <v>0.29166666666666669</v>
      </c>
      <c r="N5" s="6"/>
      <c r="O5" s="44" t="s">
        <v>7</v>
      </c>
      <c r="P5" s="29"/>
      <c r="Q5" s="7">
        <f>AVERAGE(G5:G14)</f>
        <v>5.2083333333333329E-2</v>
      </c>
      <c r="R5" s="7">
        <f>STDEV(D6:D15)/SQRT(6)</f>
        <v>2.5983731852596826E-2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6</v>
      </c>
      <c r="I6" s="7">
        <v>24</v>
      </c>
      <c r="J6" s="7">
        <f t="shared" si="2"/>
        <v>0.25</v>
      </c>
      <c r="K6" s="18">
        <v>6</v>
      </c>
      <c r="L6" s="7">
        <v>24</v>
      </c>
      <c r="M6" s="7">
        <f t="shared" si="3"/>
        <v>0.25</v>
      </c>
      <c r="N6" s="6"/>
      <c r="O6" s="30" t="s">
        <v>18</v>
      </c>
      <c r="P6" s="30"/>
      <c r="Q6" s="7">
        <f>AVERAGE(J5:J14)</f>
        <v>0.20833333333333331</v>
      </c>
      <c r="R6" s="7">
        <f>STDEV(J5:J14)/SQRT(6)</f>
        <v>4.3920523057894192E-2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3</v>
      </c>
      <c r="C7" s="7">
        <v>24</v>
      </c>
      <c r="D7" s="7">
        <f t="shared" si="0"/>
        <v>0.125</v>
      </c>
      <c r="E7" s="7">
        <v>2</v>
      </c>
      <c r="F7" s="7">
        <v>24</v>
      </c>
      <c r="G7" s="7">
        <f t="shared" si="1"/>
        <v>8.3333333333333329E-2</v>
      </c>
      <c r="H7" s="18">
        <v>4</v>
      </c>
      <c r="I7" s="7">
        <v>24</v>
      </c>
      <c r="J7" s="7">
        <f t="shared" si="2"/>
        <v>0.16666666666666666</v>
      </c>
      <c r="K7" s="18">
        <v>3</v>
      </c>
      <c r="L7" s="7">
        <v>24</v>
      </c>
      <c r="M7" s="7">
        <f t="shared" si="3"/>
        <v>0.125</v>
      </c>
      <c r="N7" s="6"/>
      <c r="O7" s="43" t="s">
        <v>19</v>
      </c>
      <c r="P7" s="43"/>
      <c r="Q7" s="7">
        <f>AVERAGE(M5:M14)</f>
        <v>0.17708333333333334</v>
      </c>
      <c r="R7" s="7">
        <f>STDEV(M5:M14)/SQRT(6)</f>
        <v>4.6842838761222381E-2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0</v>
      </c>
      <c r="C8" s="7">
        <v>24</v>
      </c>
      <c r="D8" s="7">
        <f t="shared" si="0"/>
        <v>0</v>
      </c>
      <c r="E8" s="7">
        <v>0</v>
      </c>
      <c r="F8" s="7">
        <v>24</v>
      </c>
      <c r="G8" s="7">
        <f t="shared" si="1"/>
        <v>0</v>
      </c>
      <c r="H8" s="18">
        <v>2</v>
      </c>
      <c r="I8" s="7">
        <v>24</v>
      </c>
      <c r="J8" s="7">
        <f t="shared" si="2"/>
        <v>8.3333333333333329E-2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0.11458333333333333</v>
      </c>
      <c r="V9" s="2">
        <f t="shared" ref="V9:V12" si="5">Q18</f>
        <v>0.375</v>
      </c>
      <c r="W9" s="2">
        <f t="shared" ref="W9:W12" si="6">Q32</f>
        <v>0.60416666666666663</v>
      </c>
      <c r="X9" s="12">
        <f t="shared" ref="X9:X12" si="7">Q46</f>
        <v>0</v>
      </c>
      <c r="Y9" s="2"/>
      <c r="Z9" s="2">
        <f t="shared" ref="Z9:Z12" si="8">R4</f>
        <v>4.2525863589985745E-2</v>
      </c>
      <c r="AA9" s="2">
        <f t="shared" ref="AA9:AA12" si="9">R18</f>
        <v>7.2168783648703189E-2</v>
      </c>
      <c r="AB9" s="2">
        <f t="shared" ref="AB9:AB12" si="10">R32</f>
        <v>5.8101390731533219E-2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5.2083333333333329E-2</v>
      </c>
      <c r="V10" s="2">
        <f t="shared" si="5"/>
        <v>0.21875000000000003</v>
      </c>
      <c r="W10" s="2">
        <f t="shared" si="6"/>
        <v>0.39583333333333331</v>
      </c>
      <c r="X10" s="12">
        <f t="shared" si="7"/>
        <v>0</v>
      </c>
      <c r="Y10" s="2"/>
      <c r="Z10" s="2">
        <f t="shared" si="8"/>
        <v>2.5983731852596826E-2</v>
      </c>
      <c r="AA10" s="2">
        <f t="shared" si="9"/>
        <v>6.8746492615358798E-2</v>
      </c>
      <c r="AB10" s="2">
        <f t="shared" si="10"/>
        <v>5.1967463705193929E-2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0.20833333333333331</v>
      </c>
      <c r="V11" s="2">
        <f t="shared" si="5"/>
        <v>0.4375</v>
      </c>
      <c r="W11" s="2">
        <f t="shared" si="6"/>
        <v>0.60416666666666663</v>
      </c>
      <c r="X11" s="12">
        <f t="shared" si="7"/>
        <v>0</v>
      </c>
      <c r="Y11" s="2"/>
      <c r="Z11" s="2">
        <f t="shared" si="8"/>
        <v>4.3920523057894192E-2</v>
      </c>
      <c r="AA11" s="2">
        <f t="shared" si="9"/>
        <v>9.8699100024665948E-2</v>
      </c>
      <c r="AB11" s="2">
        <f t="shared" si="10"/>
        <v>8.1578750864380253E-2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0.17708333333333334</v>
      </c>
      <c r="V12" s="2">
        <f t="shared" si="5"/>
        <v>0.38541666666666663</v>
      </c>
      <c r="W12" s="2">
        <f t="shared" si="6"/>
        <v>0.5625</v>
      </c>
      <c r="X12" s="12">
        <f t="shared" si="7"/>
        <v>0</v>
      </c>
      <c r="Y12" s="2"/>
      <c r="Z12" s="2">
        <f t="shared" si="8"/>
        <v>4.6842838761222381E-2</v>
      </c>
      <c r="AA12" s="2">
        <f t="shared" si="9"/>
        <v>8.490985597664924E-2</v>
      </c>
      <c r="AB12" s="2">
        <f t="shared" si="10"/>
        <v>6.2884619014843185E-2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34" t="s">
        <v>15</v>
      </c>
      <c r="C17" s="35"/>
      <c r="D17" s="36"/>
      <c r="E17" s="37" t="s">
        <v>9</v>
      </c>
      <c r="F17" s="38"/>
      <c r="G17" s="39"/>
      <c r="H17" s="40" t="s">
        <v>15</v>
      </c>
      <c r="I17" s="41"/>
      <c r="J17" s="42"/>
      <c r="K17" s="24" t="s">
        <v>9</v>
      </c>
      <c r="L17" s="32"/>
      <c r="M17" s="25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3" t="s">
        <v>14</v>
      </c>
      <c r="P18" s="27"/>
      <c r="Q18" s="7">
        <f>AVERAGE(D19:D28)</f>
        <v>0.375</v>
      </c>
      <c r="R18" s="7">
        <f>STDEV(D19:D28)/SQRT(6)</f>
        <v>7.2168783648703189E-2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13</v>
      </c>
      <c r="C19" s="7">
        <v>24</v>
      </c>
      <c r="D19" s="7">
        <f t="shared" ref="D19:D22" si="13">B19/C19</f>
        <v>0.54166666666666663</v>
      </c>
      <c r="E19" s="19">
        <v>7</v>
      </c>
      <c r="F19" s="7">
        <v>24</v>
      </c>
      <c r="G19" s="7">
        <f t="shared" ref="G19:G22" si="14">E19/F19</f>
        <v>0.29166666666666669</v>
      </c>
      <c r="H19" s="19">
        <v>18</v>
      </c>
      <c r="I19" s="7">
        <v>24</v>
      </c>
      <c r="J19" s="7">
        <f t="shared" ref="J19:J22" si="15">H19/I19</f>
        <v>0.75</v>
      </c>
      <c r="K19" s="19">
        <v>16</v>
      </c>
      <c r="L19" s="7">
        <v>24</v>
      </c>
      <c r="M19" s="7">
        <f t="shared" ref="M19:M22" si="16">K19/L19</f>
        <v>0.66666666666666663</v>
      </c>
      <c r="N19" s="6"/>
      <c r="O19" s="28" t="s">
        <v>7</v>
      </c>
      <c r="P19" s="29"/>
      <c r="Q19" s="7">
        <f>AVERAGE(G19:G28)</f>
        <v>0.21875000000000003</v>
      </c>
      <c r="R19" s="7">
        <f>STDEV(D20:D29)/SQRT(6)</f>
        <v>6.8746492615358798E-2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12</v>
      </c>
      <c r="C20" s="7">
        <v>24</v>
      </c>
      <c r="D20" s="7">
        <f t="shared" si="13"/>
        <v>0.5</v>
      </c>
      <c r="E20" s="19">
        <v>6</v>
      </c>
      <c r="F20" s="7">
        <v>24</v>
      </c>
      <c r="G20" s="7">
        <f t="shared" si="14"/>
        <v>0.25</v>
      </c>
      <c r="H20" s="19">
        <v>12</v>
      </c>
      <c r="I20" s="7">
        <v>24</v>
      </c>
      <c r="J20" s="7">
        <f t="shared" si="15"/>
        <v>0.5</v>
      </c>
      <c r="K20" s="19">
        <v>10</v>
      </c>
      <c r="L20" s="7">
        <v>24</v>
      </c>
      <c r="M20" s="7">
        <f t="shared" si="16"/>
        <v>0.41666666666666669</v>
      </c>
      <c r="N20" s="6"/>
      <c r="O20" s="30" t="s">
        <v>18</v>
      </c>
      <c r="P20" s="30"/>
      <c r="Q20" s="7">
        <f>AVERAGE(J19:J28)</f>
        <v>0.4375</v>
      </c>
      <c r="R20" s="7">
        <f>STDEV(J19:J28)/SQRT(6)</f>
        <v>9.8699100024665948E-2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7</v>
      </c>
      <c r="C21" s="7">
        <v>24</v>
      </c>
      <c r="D21" s="7">
        <f t="shared" si="13"/>
        <v>0.29166666666666669</v>
      </c>
      <c r="E21" s="19">
        <v>5</v>
      </c>
      <c r="F21" s="7">
        <v>24</v>
      </c>
      <c r="G21" s="7">
        <f t="shared" si="14"/>
        <v>0.20833333333333334</v>
      </c>
      <c r="H21" s="19">
        <v>5</v>
      </c>
      <c r="I21" s="7">
        <v>24</v>
      </c>
      <c r="J21" s="7">
        <f t="shared" si="15"/>
        <v>0.20833333333333334</v>
      </c>
      <c r="K21" s="19">
        <v>6</v>
      </c>
      <c r="L21" s="7">
        <v>24</v>
      </c>
      <c r="M21" s="7">
        <f t="shared" si="16"/>
        <v>0.25</v>
      </c>
      <c r="N21" s="6"/>
      <c r="O21" s="31" t="s">
        <v>19</v>
      </c>
      <c r="P21" s="31"/>
      <c r="Q21" s="7">
        <f>AVERAGE(M19:M28)</f>
        <v>0.38541666666666663</v>
      </c>
      <c r="R21" s="7">
        <f>STDEV(M19:M28)/SQRT(6)</f>
        <v>8.490985597664924E-2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4</v>
      </c>
      <c r="C22" s="7">
        <v>24</v>
      </c>
      <c r="D22" s="7">
        <f t="shared" si="13"/>
        <v>0.16666666666666666</v>
      </c>
      <c r="E22" s="19">
        <v>3</v>
      </c>
      <c r="F22" s="7">
        <v>24</v>
      </c>
      <c r="G22" s="7">
        <f t="shared" si="14"/>
        <v>0.125</v>
      </c>
      <c r="H22" s="19">
        <v>7</v>
      </c>
      <c r="I22" s="7">
        <v>24</v>
      </c>
      <c r="J22" s="7">
        <f t="shared" si="15"/>
        <v>0.29166666666666669</v>
      </c>
      <c r="K22" s="19">
        <v>5</v>
      </c>
      <c r="L22" s="7">
        <v>24</v>
      </c>
      <c r="M22" s="7">
        <f t="shared" si="16"/>
        <v>0.20833333333333334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34" t="s">
        <v>16</v>
      </c>
      <c r="C31" s="35"/>
      <c r="D31" s="36"/>
      <c r="E31" s="37" t="s">
        <v>10</v>
      </c>
      <c r="F31" s="38"/>
      <c r="G31" s="39"/>
      <c r="H31" s="40" t="s">
        <v>16</v>
      </c>
      <c r="I31" s="41"/>
      <c r="J31" s="42"/>
      <c r="K31" s="24" t="s">
        <v>10</v>
      </c>
      <c r="L31" s="32"/>
      <c r="M31" s="25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26" t="s">
        <v>14</v>
      </c>
      <c r="P32" s="27"/>
      <c r="Q32" s="7">
        <f>AVERAGE(D33:D42)</f>
        <v>0.60416666666666663</v>
      </c>
      <c r="R32" s="7">
        <f>STDEV(D33:D42)/SQRT(6)</f>
        <v>5.8101390731533219E-2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7">
        <v>18</v>
      </c>
      <c r="C33" s="7">
        <v>24</v>
      </c>
      <c r="D33" s="7">
        <f t="shared" ref="D33:D36" si="17">B33/C33</f>
        <v>0.75</v>
      </c>
      <c r="E33" s="48">
        <v>15</v>
      </c>
      <c r="F33" s="7">
        <v>24</v>
      </c>
      <c r="G33" s="7">
        <f t="shared" ref="G33:G36" si="18">E33/F33</f>
        <v>0.625</v>
      </c>
      <c r="H33" s="19">
        <v>20</v>
      </c>
      <c r="I33" s="7">
        <v>24</v>
      </c>
      <c r="J33" s="7">
        <f t="shared" ref="J33:J36" si="19">H33/I33</f>
        <v>0.83333333333333337</v>
      </c>
      <c r="K33" s="19">
        <v>18</v>
      </c>
      <c r="L33" s="7">
        <v>24</v>
      </c>
      <c r="M33" s="7">
        <f t="shared" ref="M33:M36" si="20">K33/L33</f>
        <v>0.75</v>
      </c>
      <c r="N33" s="6"/>
      <c r="O33" s="28" t="s">
        <v>7</v>
      </c>
      <c r="P33" s="29"/>
      <c r="Q33" s="7">
        <f>AVERAGE(G33:G42)</f>
        <v>0.39583333333333331</v>
      </c>
      <c r="R33" s="7">
        <f>STDEV(D34:D43)/SQRT(6)</f>
        <v>5.1967463705193929E-2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7">
        <v>16</v>
      </c>
      <c r="C34" s="7">
        <v>24</v>
      </c>
      <c r="D34" s="7">
        <f t="shared" si="17"/>
        <v>0.66666666666666663</v>
      </c>
      <c r="E34" s="48">
        <v>8</v>
      </c>
      <c r="F34" s="7">
        <v>24</v>
      </c>
      <c r="G34" s="7">
        <f t="shared" si="18"/>
        <v>0.33333333333333331</v>
      </c>
      <c r="H34" s="19">
        <v>17</v>
      </c>
      <c r="I34" s="7">
        <v>24</v>
      </c>
      <c r="J34" s="7">
        <f t="shared" si="19"/>
        <v>0.70833333333333337</v>
      </c>
      <c r="K34" s="19">
        <v>15</v>
      </c>
      <c r="L34" s="7">
        <v>24</v>
      </c>
      <c r="M34" s="7">
        <f t="shared" si="20"/>
        <v>0.625</v>
      </c>
      <c r="N34" s="6"/>
      <c r="O34" s="30" t="s">
        <v>18</v>
      </c>
      <c r="P34" s="30"/>
      <c r="Q34" s="7">
        <f>AVERAGE(J33:J42)</f>
        <v>0.60416666666666663</v>
      </c>
      <c r="R34" s="7">
        <f>STDEV(J33:J42)/SQRT(6)</f>
        <v>8.1578750864380253E-2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7">
        <v>10</v>
      </c>
      <c r="C35" s="7">
        <v>24</v>
      </c>
      <c r="D35" s="7">
        <f t="shared" si="17"/>
        <v>0.41666666666666669</v>
      </c>
      <c r="E35" s="48">
        <v>4</v>
      </c>
      <c r="F35" s="7">
        <v>24</v>
      </c>
      <c r="G35" s="7">
        <f t="shared" si="18"/>
        <v>0.16666666666666666</v>
      </c>
      <c r="H35" s="19">
        <v>11</v>
      </c>
      <c r="I35" s="7">
        <v>24</v>
      </c>
      <c r="J35" s="7">
        <f t="shared" si="19"/>
        <v>0.45833333333333331</v>
      </c>
      <c r="K35" s="19">
        <v>10</v>
      </c>
      <c r="L35" s="7">
        <v>24</v>
      </c>
      <c r="M35" s="7">
        <f t="shared" si="20"/>
        <v>0.41666666666666669</v>
      </c>
      <c r="N35" s="6"/>
      <c r="O35" s="31" t="s">
        <v>19</v>
      </c>
      <c r="P35" s="31"/>
      <c r="Q35" s="7">
        <f>AVERAGE(M33:M42)</f>
        <v>0.5625</v>
      </c>
      <c r="R35" s="7">
        <f>STDEV(M33:M42)/SQRT(6)</f>
        <v>6.2884619014843185E-2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7">
        <v>14</v>
      </c>
      <c r="C36" s="7">
        <v>24</v>
      </c>
      <c r="D36" s="7">
        <f t="shared" si="17"/>
        <v>0.58333333333333337</v>
      </c>
      <c r="E36" s="48">
        <v>11</v>
      </c>
      <c r="F36" s="7">
        <v>24</v>
      </c>
      <c r="G36" s="7">
        <f t="shared" si="18"/>
        <v>0.45833333333333331</v>
      </c>
      <c r="H36" s="19">
        <v>10</v>
      </c>
      <c r="I36" s="7">
        <v>24</v>
      </c>
      <c r="J36" s="7">
        <f t="shared" si="19"/>
        <v>0.41666666666666669</v>
      </c>
      <c r="K36" s="19">
        <v>11</v>
      </c>
      <c r="L36" s="7">
        <v>24</v>
      </c>
      <c r="M36" s="7">
        <f t="shared" si="20"/>
        <v>0.45833333333333331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24" t="s">
        <v>6</v>
      </c>
      <c r="C45" s="32"/>
      <c r="D45" s="25"/>
      <c r="E45" s="24" t="s">
        <v>11</v>
      </c>
      <c r="F45" s="32"/>
      <c r="G45" s="25"/>
      <c r="H45" s="24" t="s">
        <v>6</v>
      </c>
      <c r="I45" s="32"/>
      <c r="J45" s="25"/>
      <c r="K45" s="24" t="s">
        <v>11</v>
      </c>
      <c r="L45" s="32"/>
      <c r="M45" s="25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24" t="s">
        <v>6</v>
      </c>
      <c r="P46" s="25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24" t="s">
        <v>12</v>
      </c>
      <c r="P47" s="25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5:P5"/>
    <mergeCell ref="B3:D3"/>
    <mergeCell ref="E3:G3"/>
    <mergeCell ref="H3:J3"/>
    <mergeCell ref="K3:M3"/>
    <mergeCell ref="O4:P4"/>
    <mergeCell ref="O6:P6"/>
    <mergeCell ref="O7:P7"/>
    <mergeCell ref="B17:D17"/>
    <mergeCell ref="E17:G17"/>
    <mergeCell ref="H17:J17"/>
    <mergeCell ref="K17:M17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46:P46"/>
    <mergeCell ref="O47:P47"/>
    <mergeCell ref="O32:P32"/>
    <mergeCell ref="O33:P33"/>
    <mergeCell ref="O34:P34"/>
    <mergeCell ref="O35:P3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139E-D1C3-45B0-9AE2-B015E01385A6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34" t="s">
        <v>14</v>
      </c>
      <c r="C3" s="35"/>
      <c r="D3" s="36"/>
      <c r="E3" s="37" t="s">
        <v>8</v>
      </c>
      <c r="F3" s="38"/>
      <c r="G3" s="39"/>
      <c r="H3" s="45" t="s">
        <v>18</v>
      </c>
      <c r="I3" s="41"/>
      <c r="J3" s="42"/>
      <c r="K3" s="46" t="s">
        <v>19</v>
      </c>
      <c r="L3" s="32"/>
      <c r="M3" s="25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3" t="s">
        <v>14</v>
      </c>
      <c r="P4" s="27"/>
      <c r="Q4" s="7">
        <f>AVERAGE(D5:D14)</f>
        <v>3.125E-2</v>
      </c>
      <c r="R4" s="7">
        <f>STDEV(D5:D14)/SQRT(6)</f>
        <v>1.6286165832720242E-2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1</v>
      </c>
      <c r="C5" s="7">
        <v>24</v>
      </c>
      <c r="D5" s="7">
        <f t="shared" ref="D5:D8" si="0">B5/C5</f>
        <v>4.1666666666666664E-2</v>
      </c>
      <c r="E5" s="7">
        <v>0</v>
      </c>
      <c r="F5" s="7">
        <v>24</v>
      </c>
      <c r="G5" s="7">
        <f t="shared" ref="G5:G8" si="1">E5/F5</f>
        <v>0</v>
      </c>
      <c r="H5" s="18">
        <v>0</v>
      </c>
      <c r="I5" s="7">
        <v>24</v>
      </c>
      <c r="J5" s="7">
        <f t="shared" ref="J5:J8" si="2">H5/I5</f>
        <v>0</v>
      </c>
      <c r="K5" s="18">
        <v>0</v>
      </c>
      <c r="L5" s="7">
        <v>24</v>
      </c>
      <c r="M5" s="7">
        <f t="shared" ref="M5:M8" si="3">K5/L5</f>
        <v>0</v>
      </c>
      <c r="N5" s="6"/>
      <c r="O5" s="44" t="s">
        <v>7</v>
      </c>
      <c r="P5" s="29"/>
      <c r="Q5" s="7">
        <f>AVERAGE(G5:G14)</f>
        <v>2.0833333333333332E-2</v>
      </c>
      <c r="R5" s="7">
        <f>STDEV(D6:D15)/SQRT(6)</f>
        <v>1.9641855032959656E-2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3</v>
      </c>
      <c r="I6" s="7">
        <v>24</v>
      </c>
      <c r="J6" s="7">
        <f t="shared" si="2"/>
        <v>0.125</v>
      </c>
      <c r="K6" s="18">
        <v>2</v>
      </c>
      <c r="L6" s="7">
        <v>24</v>
      </c>
      <c r="M6" s="7">
        <f t="shared" si="3"/>
        <v>8.3333333333333329E-2</v>
      </c>
      <c r="N6" s="6"/>
      <c r="O6" s="30" t="s">
        <v>18</v>
      </c>
      <c r="P6" s="30"/>
      <c r="Q6" s="7">
        <f>AVERAGE(J5:J14)</f>
        <v>4.1666666666666664E-2</v>
      </c>
      <c r="R6" s="7">
        <f>STDEV(J5:J14)/SQRT(6)</f>
        <v>2.4056261216234408E-2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0</v>
      </c>
      <c r="C7" s="7">
        <v>24</v>
      </c>
      <c r="D7" s="7">
        <f t="shared" si="0"/>
        <v>0</v>
      </c>
      <c r="E7" s="7">
        <v>0</v>
      </c>
      <c r="F7" s="7">
        <v>24</v>
      </c>
      <c r="G7" s="7">
        <f t="shared" si="1"/>
        <v>0</v>
      </c>
      <c r="H7" s="18">
        <v>1</v>
      </c>
      <c r="I7" s="7">
        <v>24</v>
      </c>
      <c r="J7" s="7">
        <f t="shared" si="2"/>
        <v>4.1666666666666664E-2</v>
      </c>
      <c r="K7" s="18">
        <v>1</v>
      </c>
      <c r="L7" s="7">
        <v>24</v>
      </c>
      <c r="M7" s="7">
        <f t="shared" si="3"/>
        <v>4.1666666666666664E-2</v>
      </c>
      <c r="N7" s="6"/>
      <c r="O7" s="43" t="s">
        <v>19</v>
      </c>
      <c r="P7" s="43"/>
      <c r="Q7" s="7">
        <f>AVERAGE(M5:M14)</f>
        <v>3.125E-2</v>
      </c>
      <c r="R7" s="7">
        <f>STDEV(M5:M14)/SQRT(6)</f>
        <v>1.6286165832720242E-2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0</v>
      </c>
      <c r="C8" s="7">
        <v>24</v>
      </c>
      <c r="D8" s="7">
        <f t="shared" si="0"/>
        <v>0</v>
      </c>
      <c r="E8" s="7">
        <v>0</v>
      </c>
      <c r="F8" s="7">
        <v>24</v>
      </c>
      <c r="G8" s="7">
        <f t="shared" si="1"/>
        <v>0</v>
      </c>
      <c r="H8" s="18">
        <v>0</v>
      </c>
      <c r="I8" s="7">
        <v>24</v>
      </c>
      <c r="J8" s="7">
        <f t="shared" si="2"/>
        <v>0</v>
      </c>
      <c r="K8" s="18">
        <v>0</v>
      </c>
      <c r="L8" s="7">
        <v>24</v>
      </c>
      <c r="M8" s="7">
        <f t="shared" si="3"/>
        <v>0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3.125E-2</v>
      </c>
      <c r="V9" s="2">
        <f t="shared" ref="V9:V12" si="5">Q18</f>
        <v>0.11458333333333334</v>
      </c>
      <c r="W9" s="2">
        <f t="shared" ref="W9:W12" si="6">Q32</f>
        <v>0.21874999999999997</v>
      </c>
      <c r="X9" s="12">
        <f t="shared" ref="X9:X12" si="7">Q46</f>
        <v>0</v>
      </c>
      <c r="Y9" s="2"/>
      <c r="Z9" s="2">
        <f t="shared" ref="Z9:Z12" si="8">R4</f>
        <v>1.6286165832720242E-2</v>
      </c>
      <c r="AA9" s="2">
        <f t="shared" ref="AA9:AA12" si="9">R18</f>
        <v>2.9050695365766516E-2</v>
      </c>
      <c r="AB9" s="2">
        <f t="shared" ref="AB9:AB12" si="10">R32</f>
        <v>3.7717987816667464E-2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2.0833333333333332E-2</v>
      </c>
      <c r="V10" s="2">
        <f t="shared" si="5"/>
        <v>8.3333333333333329E-2</v>
      </c>
      <c r="W10" s="2">
        <f t="shared" si="6"/>
        <v>0.19791666666666669</v>
      </c>
      <c r="X10" s="12">
        <f t="shared" si="7"/>
        <v>0</v>
      </c>
      <c r="Y10" s="2"/>
      <c r="Z10" s="2">
        <f t="shared" si="8"/>
        <v>1.9641855032959656E-2</v>
      </c>
      <c r="AA10" s="2">
        <f t="shared" si="9"/>
        <v>3.5409857733283243E-2</v>
      </c>
      <c r="AB10" s="2">
        <f t="shared" si="10"/>
        <v>2.5983731852596829E-2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4.1666666666666664E-2</v>
      </c>
      <c r="V11" s="2">
        <f t="shared" si="5"/>
        <v>0.11458333333333334</v>
      </c>
      <c r="W11" s="2">
        <f t="shared" si="6"/>
        <v>0.25</v>
      </c>
      <c r="X11" s="12">
        <f t="shared" si="7"/>
        <v>0</v>
      </c>
      <c r="Y11" s="2"/>
      <c r="Z11" s="2">
        <f t="shared" si="8"/>
        <v>2.4056261216234408E-2</v>
      </c>
      <c r="AA11" s="2">
        <f t="shared" si="9"/>
        <v>2.9050695365766516E-2</v>
      </c>
      <c r="AB11" s="2">
        <f t="shared" si="10"/>
        <v>3.1056499687497078E-2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3.125E-2</v>
      </c>
      <c r="V12" s="2">
        <f t="shared" si="5"/>
        <v>0.12499999999999999</v>
      </c>
      <c r="W12" s="2">
        <f t="shared" si="6"/>
        <v>0.23958333333333334</v>
      </c>
      <c r="X12" s="12">
        <f t="shared" si="7"/>
        <v>0</v>
      </c>
      <c r="Y12" s="2"/>
      <c r="Z12" s="2">
        <f t="shared" si="8"/>
        <v>1.6286165832720242E-2</v>
      </c>
      <c r="AA12" s="2">
        <f t="shared" si="9"/>
        <v>3.4020690871988606E-2</v>
      </c>
      <c r="AB12" s="2">
        <f t="shared" si="10"/>
        <v>5.0794232077527056E-2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34" t="s">
        <v>15</v>
      </c>
      <c r="C17" s="35"/>
      <c r="D17" s="36"/>
      <c r="E17" s="37" t="s">
        <v>9</v>
      </c>
      <c r="F17" s="38"/>
      <c r="G17" s="39"/>
      <c r="H17" s="40" t="s">
        <v>15</v>
      </c>
      <c r="I17" s="41"/>
      <c r="J17" s="42"/>
      <c r="K17" s="24" t="s">
        <v>9</v>
      </c>
      <c r="L17" s="32"/>
      <c r="M17" s="25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3" t="s">
        <v>14</v>
      </c>
      <c r="P18" s="27"/>
      <c r="Q18" s="7">
        <f>AVERAGE(D19:D28)</f>
        <v>0.11458333333333334</v>
      </c>
      <c r="R18" s="7">
        <f>STDEV(D19:D28)/SQRT(6)</f>
        <v>2.9050695365766516E-2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3</v>
      </c>
      <c r="C19" s="7">
        <v>24</v>
      </c>
      <c r="D19" s="7">
        <f t="shared" ref="D19:D22" si="13">B19/C19</f>
        <v>0.125</v>
      </c>
      <c r="E19" s="7">
        <v>2</v>
      </c>
      <c r="F19" s="7">
        <v>24</v>
      </c>
      <c r="G19" s="7">
        <f t="shared" ref="G19:G22" si="14">E19/F19</f>
        <v>8.3333333333333329E-2</v>
      </c>
      <c r="H19" s="19">
        <v>3</v>
      </c>
      <c r="I19" s="7">
        <v>24</v>
      </c>
      <c r="J19" s="7">
        <f t="shared" ref="J19:J22" si="15">H19/I19</f>
        <v>0.125</v>
      </c>
      <c r="K19" s="18">
        <v>2</v>
      </c>
      <c r="L19" s="7">
        <v>24</v>
      </c>
      <c r="M19" s="7">
        <f t="shared" ref="M19:M22" si="16">K19/L19</f>
        <v>8.3333333333333329E-2</v>
      </c>
      <c r="N19" s="6"/>
      <c r="O19" s="28" t="s">
        <v>7</v>
      </c>
      <c r="P19" s="29"/>
      <c r="Q19" s="7">
        <f>AVERAGE(G19:G28)</f>
        <v>8.3333333333333329E-2</v>
      </c>
      <c r="R19" s="7">
        <f>STDEV(D20:D29)/SQRT(6)</f>
        <v>3.5409857733283243E-2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5</v>
      </c>
      <c r="C20" s="7">
        <v>24</v>
      </c>
      <c r="D20" s="7">
        <f t="shared" si="13"/>
        <v>0.20833333333333334</v>
      </c>
      <c r="E20" s="7">
        <v>4</v>
      </c>
      <c r="F20" s="7">
        <v>24</v>
      </c>
      <c r="G20" s="7">
        <f t="shared" si="14"/>
        <v>0.16666666666666666</v>
      </c>
      <c r="H20" s="19">
        <v>5</v>
      </c>
      <c r="I20" s="7">
        <v>24</v>
      </c>
      <c r="J20" s="7">
        <f t="shared" si="15"/>
        <v>0.20833333333333334</v>
      </c>
      <c r="K20" s="18">
        <v>6</v>
      </c>
      <c r="L20" s="7">
        <v>24</v>
      </c>
      <c r="M20" s="7">
        <f t="shared" si="16"/>
        <v>0.25</v>
      </c>
      <c r="N20" s="6"/>
      <c r="O20" s="30" t="s">
        <v>18</v>
      </c>
      <c r="P20" s="30"/>
      <c r="Q20" s="7">
        <f>AVERAGE(J19:J28)</f>
        <v>0.11458333333333334</v>
      </c>
      <c r="R20" s="7">
        <f>STDEV(J19:J28)/SQRT(6)</f>
        <v>2.9050695365766516E-2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1</v>
      </c>
      <c r="C21" s="7">
        <v>24</v>
      </c>
      <c r="D21" s="7">
        <f t="shared" si="13"/>
        <v>4.1666666666666664E-2</v>
      </c>
      <c r="E21" s="7">
        <v>2</v>
      </c>
      <c r="F21" s="7">
        <v>24</v>
      </c>
      <c r="G21" s="7">
        <f t="shared" si="14"/>
        <v>8.3333333333333329E-2</v>
      </c>
      <c r="H21" s="19">
        <v>1</v>
      </c>
      <c r="I21" s="7">
        <v>24</v>
      </c>
      <c r="J21" s="7">
        <f t="shared" si="15"/>
        <v>4.1666666666666664E-2</v>
      </c>
      <c r="K21" s="18">
        <v>2</v>
      </c>
      <c r="L21" s="7">
        <v>24</v>
      </c>
      <c r="M21" s="7">
        <f t="shared" si="16"/>
        <v>8.3333333333333329E-2</v>
      </c>
      <c r="N21" s="6"/>
      <c r="O21" s="31" t="s">
        <v>19</v>
      </c>
      <c r="P21" s="31"/>
      <c r="Q21" s="7">
        <f>AVERAGE(M19:M28)</f>
        <v>0.12499999999999999</v>
      </c>
      <c r="R21" s="7">
        <f>STDEV(M19:M28)/SQRT(6)</f>
        <v>3.4020690871988606E-2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2</v>
      </c>
      <c r="C22" s="7">
        <v>24</v>
      </c>
      <c r="D22" s="7">
        <f t="shared" si="13"/>
        <v>8.3333333333333329E-2</v>
      </c>
      <c r="E22" s="7">
        <v>0</v>
      </c>
      <c r="F22" s="7">
        <v>24</v>
      </c>
      <c r="G22" s="7">
        <f t="shared" si="14"/>
        <v>0</v>
      </c>
      <c r="H22" s="19">
        <v>2</v>
      </c>
      <c r="I22" s="7">
        <v>24</v>
      </c>
      <c r="J22" s="7">
        <f t="shared" si="15"/>
        <v>8.3333333333333329E-2</v>
      </c>
      <c r="K22" s="18">
        <v>2</v>
      </c>
      <c r="L22" s="7">
        <v>24</v>
      </c>
      <c r="M22" s="7">
        <f t="shared" si="16"/>
        <v>8.3333333333333329E-2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34" t="s">
        <v>16</v>
      </c>
      <c r="C31" s="35"/>
      <c r="D31" s="36"/>
      <c r="E31" s="37" t="s">
        <v>10</v>
      </c>
      <c r="F31" s="38"/>
      <c r="G31" s="39"/>
      <c r="H31" s="40" t="s">
        <v>16</v>
      </c>
      <c r="I31" s="41"/>
      <c r="J31" s="42"/>
      <c r="K31" s="24" t="s">
        <v>10</v>
      </c>
      <c r="L31" s="32"/>
      <c r="M31" s="25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26" t="s">
        <v>14</v>
      </c>
      <c r="P32" s="27"/>
      <c r="Q32" s="7">
        <f>AVERAGE(D33:D42)</f>
        <v>0.21874999999999997</v>
      </c>
      <c r="R32" s="7">
        <f>STDEV(D33:D42)/SQRT(6)</f>
        <v>3.7717987816667464E-2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8">
        <v>8</v>
      </c>
      <c r="C33" s="7">
        <v>24</v>
      </c>
      <c r="D33" s="7">
        <f t="shared" ref="D33:D36" si="17">B33/C33</f>
        <v>0.33333333333333331</v>
      </c>
      <c r="E33" s="48">
        <v>7</v>
      </c>
      <c r="F33" s="7">
        <v>24</v>
      </c>
      <c r="G33" s="7">
        <f t="shared" ref="G33:G36" si="18">E33/F33</f>
        <v>0.29166666666666669</v>
      </c>
      <c r="H33" s="19">
        <v>5</v>
      </c>
      <c r="I33" s="7">
        <v>24</v>
      </c>
      <c r="J33" s="7">
        <f t="shared" ref="J33:J36" si="19">H33/I33</f>
        <v>0.20833333333333334</v>
      </c>
      <c r="K33" s="19">
        <v>5</v>
      </c>
      <c r="L33" s="7">
        <v>24</v>
      </c>
      <c r="M33" s="7">
        <f t="shared" ref="M33:M36" si="20">K33/L33</f>
        <v>0.20833333333333334</v>
      </c>
      <c r="N33" s="6"/>
      <c r="O33" s="28" t="s">
        <v>7</v>
      </c>
      <c r="P33" s="29"/>
      <c r="Q33" s="7">
        <f>AVERAGE(G33:G42)</f>
        <v>0.19791666666666669</v>
      </c>
      <c r="R33" s="7">
        <f>STDEV(D34:D43)/SQRT(6)</f>
        <v>2.5983731852596829E-2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8">
        <v>6</v>
      </c>
      <c r="C34" s="7">
        <v>24</v>
      </c>
      <c r="D34" s="7">
        <f t="shared" si="17"/>
        <v>0.25</v>
      </c>
      <c r="E34" s="48">
        <v>7</v>
      </c>
      <c r="F34" s="7">
        <v>24</v>
      </c>
      <c r="G34" s="7">
        <f t="shared" si="18"/>
        <v>0.29166666666666669</v>
      </c>
      <c r="H34" s="19">
        <v>7</v>
      </c>
      <c r="I34" s="7">
        <v>24</v>
      </c>
      <c r="J34" s="7">
        <f t="shared" si="19"/>
        <v>0.29166666666666669</v>
      </c>
      <c r="K34" s="19">
        <v>7</v>
      </c>
      <c r="L34" s="7">
        <v>24</v>
      </c>
      <c r="M34" s="7">
        <f t="shared" si="20"/>
        <v>0.29166666666666669</v>
      </c>
      <c r="N34" s="6"/>
      <c r="O34" s="30" t="s">
        <v>18</v>
      </c>
      <c r="P34" s="30"/>
      <c r="Q34" s="7">
        <f>AVERAGE(J33:J42)</f>
        <v>0.25</v>
      </c>
      <c r="R34" s="7">
        <f>STDEV(J33:J42)/SQRT(6)</f>
        <v>3.1056499687497078E-2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8">
        <v>3</v>
      </c>
      <c r="C35" s="7">
        <v>24</v>
      </c>
      <c r="D35" s="7">
        <f t="shared" si="17"/>
        <v>0.125</v>
      </c>
      <c r="E35" s="48">
        <v>3</v>
      </c>
      <c r="F35" s="7">
        <v>24</v>
      </c>
      <c r="G35" s="7">
        <f t="shared" si="18"/>
        <v>0.125</v>
      </c>
      <c r="H35" s="19">
        <v>4</v>
      </c>
      <c r="I35" s="7">
        <v>24</v>
      </c>
      <c r="J35" s="7">
        <f t="shared" si="19"/>
        <v>0.16666666666666666</v>
      </c>
      <c r="K35" s="19">
        <v>2</v>
      </c>
      <c r="L35" s="7">
        <v>24</v>
      </c>
      <c r="M35" s="7">
        <f t="shared" si="20"/>
        <v>8.3333333333333329E-2</v>
      </c>
      <c r="N35" s="6"/>
      <c r="O35" s="31" t="s">
        <v>19</v>
      </c>
      <c r="P35" s="31"/>
      <c r="Q35" s="7">
        <f>AVERAGE(M33:M42)</f>
        <v>0.23958333333333334</v>
      </c>
      <c r="R35" s="7">
        <f>STDEV(M33:M42)/SQRT(6)</f>
        <v>5.0794232077527056E-2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8">
        <v>4</v>
      </c>
      <c r="C36" s="7">
        <v>24</v>
      </c>
      <c r="D36" s="7">
        <f t="shared" si="17"/>
        <v>0.16666666666666666</v>
      </c>
      <c r="E36" s="48">
        <v>2</v>
      </c>
      <c r="F36" s="7">
        <v>24</v>
      </c>
      <c r="G36" s="7">
        <f t="shared" si="18"/>
        <v>8.3333333333333329E-2</v>
      </c>
      <c r="H36" s="19">
        <v>8</v>
      </c>
      <c r="I36" s="7">
        <v>24</v>
      </c>
      <c r="J36" s="7">
        <f t="shared" si="19"/>
        <v>0.33333333333333331</v>
      </c>
      <c r="K36" s="19">
        <v>9</v>
      </c>
      <c r="L36" s="7">
        <v>24</v>
      </c>
      <c r="M36" s="7">
        <f t="shared" si="20"/>
        <v>0.375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24" t="s">
        <v>6</v>
      </c>
      <c r="C45" s="32"/>
      <c r="D45" s="25"/>
      <c r="E45" s="24" t="s">
        <v>11</v>
      </c>
      <c r="F45" s="32"/>
      <c r="G45" s="25"/>
      <c r="H45" s="24" t="s">
        <v>6</v>
      </c>
      <c r="I45" s="32"/>
      <c r="J45" s="25"/>
      <c r="K45" s="24" t="s">
        <v>11</v>
      </c>
      <c r="L45" s="32"/>
      <c r="M45" s="25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24" t="s">
        <v>6</v>
      </c>
      <c r="P46" s="25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24" t="s">
        <v>12</v>
      </c>
      <c r="P47" s="25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34" t="s">
        <v>14</v>
      </c>
      <c r="C3" s="35"/>
      <c r="D3" s="36"/>
      <c r="E3" s="37" t="s">
        <v>8</v>
      </c>
      <c r="F3" s="38"/>
      <c r="G3" s="39"/>
      <c r="H3" s="45" t="s">
        <v>18</v>
      </c>
      <c r="I3" s="41"/>
      <c r="J3" s="42"/>
      <c r="K3" s="46" t="s">
        <v>19</v>
      </c>
      <c r="L3" s="32"/>
      <c r="M3" s="25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3" t="s">
        <v>14</v>
      </c>
      <c r="P4" s="27"/>
      <c r="Q4" s="7">
        <f>AVERAGE(D5:D14)</f>
        <v>0.14583333333333331</v>
      </c>
      <c r="R4" s="7">
        <f>STDEV(D5:D14)/SQRT(6)</f>
        <v>4.5005143738943501E-2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7</v>
      </c>
      <c r="C5" s="7">
        <v>24</v>
      </c>
      <c r="D5" s="7">
        <f t="shared" ref="D5:D8" si="0">B5/C5</f>
        <v>0.29166666666666669</v>
      </c>
      <c r="E5" s="7">
        <v>6</v>
      </c>
      <c r="F5" s="7">
        <v>24</v>
      </c>
      <c r="G5" s="7">
        <f t="shared" ref="G5:G8" si="1">E5/F5</f>
        <v>0.25</v>
      </c>
      <c r="H5" s="18">
        <v>4</v>
      </c>
      <c r="I5" s="7">
        <v>24</v>
      </c>
      <c r="J5" s="7">
        <f t="shared" ref="J5:J8" si="2">H5/I5</f>
        <v>0.16666666666666666</v>
      </c>
      <c r="K5" s="18">
        <v>3</v>
      </c>
      <c r="L5" s="7">
        <v>24</v>
      </c>
      <c r="M5" s="7">
        <f t="shared" ref="M5:M8" si="3">K5/L5</f>
        <v>0.125</v>
      </c>
      <c r="N5" s="6"/>
      <c r="O5" s="44" t="s">
        <v>7</v>
      </c>
      <c r="P5" s="29"/>
      <c r="Q5" s="7">
        <f>AVERAGE(G5:G14)</f>
        <v>0.12499999999999999</v>
      </c>
      <c r="R5" s="7">
        <f>STDEV(D6:D15)/SQRT(6)</f>
        <v>2.5983731852596812E-2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10</v>
      </c>
      <c r="I6" s="7">
        <v>24</v>
      </c>
      <c r="J6" s="7">
        <f t="shared" si="2"/>
        <v>0.41666666666666669</v>
      </c>
      <c r="K6" s="18">
        <v>9</v>
      </c>
      <c r="L6" s="7">
        <v>24</v>
      </c>
      <c r="M6" s="7">
        <f t="shared" si="3"/>
        <v>0.375</v>
      </c>
      <c r="N6" s="6"/>
      <c r="O6" s="30" t="s">
        <v>18</v>
      </c>
      <c r="P6" s="30"/>
      <c r="Q6" s="7">
        <f>AVERAGE(J5:J14)</f>
        <v>0.21875000000000003</v>
      </c>
      <c r="R6" s="7">
        <f>STDEV(J5:J14)/SQRT(6)</f>
        <v>5.7893513890739795E-2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4</v>
      </c>
      <c r="C7" s="7">
        <v>24</v>
      </c>
      <c r="D7" s="7">
        <f t="shared" si="0"/>
        <v>0.16666666666666666</v>
      </c>
      <c r="E7" s="7">
        <v>2</v>
      </c>
      <c r="F7" s="7">
        <v>24</v>
      </c>
      <c r="G7" s="7">
        <f t="shared" si="1"/>
        <v>8.3333333333333329E-2</v>
      </c>
      <c r="H7" s="18">
        <v>5</v>
      </c>
      <c r="I7" s="7">
        <v>24</v>
      </c>
      <c r="J7" s="7">
        <f t="shared" si="2"/>
        <v>0.20833333333333334</v>
      </c>
      <c r="K7" s="18">
        <v>6</v>
      </c>
      <c r="L7" s="7">
        <v>24</v>
      </c>
      <c r="M7" s="7">
        <f t="shared" si="3"/>
        <v>0.25</v>
      </c>
      <c r="N7" s="6"/>
      <c r="O7" s="43" t="s">
        <v>19</v>
      </c>
      <c r="P7" s="43"/>
      <c r="Q7" s="7">
        <f>AVERAGE(M5:M14)</f>
        <v>0.19791666666666666</v>
      </c>
      <c r="R7" s="7">
        <f>STDEV(M5:M14)/SQRT(6)</f>
        <v>5.953620902598003E-2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2</v>
      </c>
      <c r="F8" s="7">
        <v>24</v>
      </c>
      <c r="G8" s="7">
        <f t="shared" si="1"/>
        <v>8.3333333333333329E-2</v>
      </c>
      <c r="H8" s="18">
        <v>2</v>
      </c>
      <c r="I8" s="7">
        <v>24</v>
      </c>
      <c r="J8" s="7">
        <f t="shared" si="2"/>
        <v>8.3333333333333329E-2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0.14583333333333331</v>
      </c>
      <c r="V9" s="2">
        <f t="shared" ref="V9:V12" si="5">Q18</f>
        <v>0.43750000000000006</v>
      </c>
      <c r="W9" s="2">
        <f t="shared" ref="W9:W12" si="6">Q32</f>
        <v>0.60416666666666663</v>
      </c>
      <c r="X9" s="12">
        <f t="shared" ref="X9:X12" si="7">Q46</f>
        <v>0</v>
      </c>
      <c r="Y9" s="2"/>
      <c r="Z9" s="2">
        <f t="shared" ref="Z9:Z12" si="8">R4</f>
        <v>4.5005143738943501E-2</v>
      </c>
      <c r="AA9" s="2">
        <f t="shared" ref="AA9:AA12" si="9">R18</f>
        <v>7.9178848965217888E-2</v>
      </c>
      <c r="AB9" s="2">
        <f t="shared" ref="AB9:AB12" si="10">R32</f>
        <v>5.8101390731533219E-2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0.12499999999999999</v>
      </c>
      <c r="V10" s="2">
        <f t="shared" si="5"/>
        <v>0.32291666666666663</v>
      </c>
      <c r="W10" s="2">
        <f t="shared" si="6"/>
        <v>0.39583333333333331</v>
      </c>
      <c r="X10" s="12">
        <f t="shared" si="7"/>
        <v>0</v>
      </c>
      <c r="Y10" s="2"/>
      <c r="Z10" s="2">
        <f t="shared" si="8"/>
        <v>2.5983731852596812E-2</v>
      </c>
      <c r="AA10" s="2">
        <f t="shared" si="9"/>
        <v>8.3910041483295603E-2</v>
      </c>
      <c r="AB10" s="2">
        <f t="shared" si="10"/>
        <v>5.1967463705193929E-2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0.21875000000000003</v>
      </c>
      <c r="V11" s="2">
        <f t="shared" si="5"/>
        <v>0.46875</v>
      </c>
      <c r="W11" s="2">
        <f t="shared" si="6"/>
        <v>0.59375</v>
      </c>
      <c r="X11" s="12">
        <f t="shared" si="7"/>
        <v>0</v>
      </c>
      <c r="Y11" s="2"/>
      <c r="Z11" s="2">
        <f t="shared" si="8"/>
        <v>5.7893513890739795E-2</v>
      </c>
      <c r="AA11" s="2">
        <f t="shared" si="9"/>
        <v>6.2692604462735335E-2</v>
      </c>
      <c r="AB11" s="2">
        <f t="shared" si="10"/>
        <v>6.1134780769649254E-2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0.19791666666666666</v>
      </c>
      <c r="V12" s="2">
        <f t="shared" si="5"/>
        <v>0.44791666666666669</v>
      </c>
      <c r="W12" s="2">
        <f t="shared" si="6"/>
        <v>0.52083333333333337</v>
      </c>
      <c r="X12" s="12">
        <f t="shared" si="7"/>
        <v>0</v>
      </c>
      <c r="Y12" s="2"/>
      <c r="Z12" s="2">
        <f t="shared" si="8"/>
        <v>5.953620902598003E-2</v>
      </c>
      <c r="AA12" s="2">
        <f t="shared" si="9"/>
        <v>3.7717987816667464E-2</v>
      </c>
      <c r="AB12" s="2">
        <f t="shared" si="10"/>
        <v>7.9178848965217888E-2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34" t="s">
        <v>15</v>
      </c>
      <c r="C17" s="35"/>
      <c r="D17" s="36"/>
      <c r="E17" s="37" t="s">
        <v>9</v>
      </c>
      <c r="F17" s="38"/>
      <c r="G17" s="39"/>
      <c r="H17" s="40" t="s">
        <v>15</v>
      </c>
      <c r="I17" s="41"/>
      <c r="J17" s="42"/>
      <c r="K17" s="24" t="s">
        <v>9</v>
      </c>
      <c r="L17" s="32"/>
      <c r="M17" s="25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3" t="s">
        <v>14</v>
      </c>
      <c r="P18" s="27"/>
      <c r="Q18" s="7">
        <f>AVERAGE(D19:D28)</f>
        <v>0.43750000000000006</v>
      </c>
      <c r="R18" s="7">
        <f>STDEV(D19:D28)/SQRT(6)</f>
        <v>7.9178848965217888E-2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14</v>
      </c>
      <c r="C19" s="7">
        <v>24</v>
      </c>
      <c r="D19" s="7">
        <f t="shared" ref="D19:D22" si="13">B19/C19</f>
        <v>0.58333333333333337</v>
      </c>
      <c r="E19" s="19">
        <v>11</v>
      </c>
      <c r="F19" s="7">
        <v>24</v>
      </c>
      <c r="G19" s="7">
        <f t="shared" ref="G19:G22" si="14">E19/F19</f>
        <v>0.45833333333333331</v>
      </c>
      <c r="H19" s="19">
        <v>11</v>
      </c>
      <c r="I19" s="7">
        <v>24</v>
      </c>
      <c r="J19" s="7">
        <f t="shared" ref="J19:J22" si="15">H19/I19</f>
        <v>0.45833333333333331</v>
      </c>
      <c r="K19" s="19">
        <v>10</v>
      </c>
      <c r="L19" s="7">
        <v>24</v>
      </c>
      <c r="M19" s="7">
        <f t="shared" ref="M19:M22" si="16">K19/L19</f>
        <v>0.41666666666666669</v>
      </c>
      <c r="N19" s="6"/>
      <c r="O19" s="28" t="s">
        <v>7</v>
      </c>
      <c r="P19" s="29"/>
      <c r="Q19" s="7">
        <f>AVERAGE(G19:G28)</f>
        <v>0.32291666666666663</v>
      </c>
      <c r="R19" s="7">
        <f>STDEV(D20:D29)/SQRT(6)</f>
        <v>8.3910041483295603E-2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15</v>
      </c>
      <c r="C20" s="7">
        <v>24</v>
      </c>
      <c r="D20" s="7">
        <f t="shared" si="13"/>
        <v>0.625</v>
      </c>
      <c r="E20" s="19">
        <v>12</v>
      </c>
      <c r="F20" s="7">
        <v>24</v>
      </c>
      <c r="G20" s="7">
        <f t="shared" si="14"/>
        <v>0.5</v>
      </c>
      <c r="H20" s="19">
        <v>11</v>
      </c>
      <c r="I20" s="7">
        <v>24</v>
      </c>
      <c r="J20" s="7">
        <f t="shared" si="15"/>
        <v>0.45833333333333331</v>
      </c>
      <c r="K20" s="19">
        <v>10</v>
      </c>
      <c r="L20" s="7">
        <v>24</v>
      </c>
      <c r="M20" s="7">
        <f t="shared" si="16"/>
        <v>0.41666666666666669</v>
      </c>
      <c r="N20" s="6"/>
      <c r="O20" s="30" t="s">
        <v>18</v>
      </c>
      <c r="P20" s="30"/>
      <c r="Q20" s="7">
        <f>AVERAGE(J19:J28)</f>
        <v>0.46875</v>
      </c>
      <c r="R20" s="7">
        <f>STDEV(J19:J28)/SQRT(6)</f>
        <v>6.2692604462735335E-2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7</v>
      </c>
      <c r="C21" s="7">
        <v>24</v>
      </c>
      <c r="D21" s="7">
        <f t="shared" si="13"/>
        <v>0.29166666666666669</v>
      </c>
      <c r="E21" s="19">
        <v>5</v>
      </c>
      <c r="F21" s="7">
        <v>24</v>
      </c>
      <c r="G21" s="7">
        <f t="shared" si="14"/>
        <v>0.20833333333333334</v>
      </c>
      <c r="H21" s="19">
        <v>16</v>
      </c>
      <c r="I21" s="7">
        <v>24</v>
      </c>
      <c r="J21" s="7">
        <f t="shared" si="15"/>
        <v>0.66666666666666663</v>
      </c>
      <c r="K21" s="19">
        <v>14</v>
      </c>
      <c r="L21" s="7">
        <v>24</v>
      </c>
      <c r="M21" s="7">
        <f t="shared" si="16"/>
        <v>0.58333333333333337</v>
      </c>
      <c r="N21" s="6"/>
      <c r="O21" s="31" t="s">
        <v>19</v>
      </c>
      <c r="P21" s="31"/>
      <c r="Q21" s="7">
        <f>AVERAGE(M19:M28)</f>
        <v>0.44791666666666669</v>
      </c>
      <c r="R21" s="7">
        <f>STDEV(M19:M28)/SQRT(6)</f>
        <v>3.7717987816667464E-2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6</v>
      </c>
      <c r="C22" s="7">
        <v>24</v>
      </c>
      <c r="D22" s="7">
        <f t="shared" si="13"/>
        <v>0.25</v>
      </c>
      <c r="E22" s="19">
        <v>3</v>
      </c>
      <c r="F22" s="7">
        <v>24</v>
      </c>
      <c r="G22" s="7">
        <f t="shared" si="14"/>
        <v>0.125</v>
      </c>
      <c r="H22" s="19">
        <v>7</v>
      </c>
      <c r="I22" s="7">
        <v>24</v>
      </c>
      <c r="J22" s="7">
        <f t="shared" si="15"/>
        <v>0.29166666666666669</v>
      </c>
      <c r="K22" s="19">
        <v>9</v>
      </c>
      <c r="L22" s="7">
        <v>24</v>
      </c>
      <c r="M22" s="7">
        <f t="shared" si="16"/>
        <v>0.375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34" t="s">
        <v>16</v>
      </c>
      <c r="C31" s="35"/>
      <c r="D31" s="36"/>
      <c r="E31" s="37" t="s">
        <v>10</v>
      </c>
      <c r="F31" s="38"/>
      <c r="G31" s="39"/>
      <c r="H31" s="40" t="s">
        <v>16</v>
      </c>
      <c r="I31" s="41"/>
      <c r="J31" s="42"/>
      <c r="K31" s="24" t="s">
        <v>10</v>
      </c>
      <c r="L31" s="32"/>
      <c r="M31" s="25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26" t="s">
        <v>14</v>
      </c>
      <c r="P32" s="27"/>
      <c r="Q32" s="7">
        <f>AVERAGE(D33:D42)</f>
        <v>0.60416666666666663</v>
      </c>
      <c r="R32" s="7">
        <f>STDEV(D33:D42)/SQRT(6)</f>
        <v>5.8101390731533219E-2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7">
        <v>18</v>
      </c>
      <c r="C33" s="7">
        <v>24</v>
      </c>
      <c r="D33" s="7">
        <f t="shared" ref="D33:D36" si="17">B33/C33</f>
        <v>0.75</v>
      </c>
      <c r="E33" s="48">
        <v>15</v>
      </c>
      <c r="F33" s="7">
        <v>24</v>
      </c>
      <c r="G33" s="7">
        <f t="shared" ref="G33:G36" si="18">E33/F33</f>
        <v>0.625</v>
      </c>
      <c r="H33" s="19">
        <v>11</v>
      </c>
      <c r="I33" s="7">
        <v>24</v>
      </c>
      <c r="J33" s="7">
        <f t="shared" ref="J33:J36" si="19">H33/I33</f>
        <v>0.45833333333333331</v>
      </c>
      <c r="K33" s="19">
        <v>7</v>
      </c>
      <c r="L33" s="7">
        <v>24</v>
      </c>
      <c r="M33" s="7">
        <f t="shared" ref="M33:M36" si="20">K33/L33</f>
        <v>0.29166666666666669</v>
      </c>
      <c r="N33" s="6"/>
      <c r="O33" s="28" t="s">
        <v>7</v>
      </c>
      <c r="P33" s="29"/>
      <c r="Q33" s="7">
        <f>AVERAGE(G33:G42)</f>
        <v>0.39583333333333331</v>
      </c>
      <c r="R33" s="7">
        <f>STDEV(D34:D43)/SQRT(6)</f>
        <v>5.1967463705193929E-2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7">
        <v>16</v>
      </c>
      <c r="C34" s="7">
        <v>24</v>
      </c>
      <c r="D34" s="7">
        <f t="shared" si="17"/>
        <v>0.66666666666666663</v>
      </c>
      <c r="E34" s="48">
        <v>8</v>
      </c>
      <c r="F34" s="7">
        <v>24</v>
      </c>
      <c r="G34" s="7">
        <f t="shared" si="18"/>
        <v>0.33333333333333331</v>
      </c>
      <c r="H34" s="19">
        <v>15</v>
      </c>
      <c r="I34" s="7">
        <v>24</v>
      </c>
      <c r="J34" s="7">
        <f t="shared" si="19"/>
        <v>0.625</v>
      </c>
      <c r="K34" s="19">
        <v>14</v>
      </c>
      <c r="L34" s="7">
        <v>24</v>
      </c>
      <c r="M34" s="7">
        <f t="shared" si="20"/>
        <v>0.58333333333333337</v>
      </c>
      <c r="N34" s="6"/>
      <c r="O34" s="30" t="s">
        <v>18</v>
      </c>
      <c r="P34" s="30"/>
      <c r="Q34" s="7">
        <f>AVERAGE(J33:J42)</f>
        <v>0.59375</v>
      </c>
      <c r="R34" s="7">
        <f>STDEV(J33:J42)/SQRT(6)</f>
        <v>6.1134780769649254E-2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7">
        <v>10</v>
      </c>
      <c r="C35" s="7">
        <v>24</v>
      </c>
      <c r="D35" s="7">
        <f t="shared" si="17"/>
        <v>0.41666666666666669</v>
      </c>
      <c r="E35" s="48">
        <v>4</v>
      </c>
      <c r="F35" s="7">
        <v>24</v>
      </c>
      <c r="G35" s="7">
        <f t="shared" si="18"/>
        <v>0.16666666666666666</v>
      </c>
      <c r="H35" s="19">
        <v>19</v>
      </c>
      <c r="I35" s="7">
        <v>24</v>
      </c>
      <c r="J35" s="7">
        <f t="shared" si="19"/>
        <v>0.79166666666666663</v>
      </c>
      <c r="K35" s="19">
        <v>18</v>
      </c>
      <c r="L35" s="7">
        <v>24</v>
      </c>
      <c r="M35" s="7">
        <f t="shared" si="20"/>
        <v>0.75</v>
      </c>
      <c r="N35" s="6"/>
      <c r="O35" s="31" t="s">
        <v>19</v>
      </c>
      <c r="P35" s="31"/>
      <c r="Q35" s="7">
        <f>AVERAGE(M33:M42)</f>
        <v>0.52083333333333337</v>
      </c>
      <c r="R35" s="7">
        <f>STDEV(M33:M42)/SQRT(6)</f>
        <v>7.9178848965217888E-2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7">
        <v>14</v>
      </c>
      <c r="C36" s="7">
        <v>24</v>
      </c>
      <c r="D36" s="7">
        <f t="shared" si="17"/>
        <v>0.58333333333333337</v>
      </c>
      <c r="E36" s="48">
        <v>11</v>
      </c>
      <c r="F36" s="7">
        <v>24</v>
      </c>
      <c r="G36" s="7">
        <f t="shared" si="18"/>
        <v>0.45833333333333331</v>
      </c>
      <c r="H36" s="19">
        <v>12</v>
      </c>
      <c r="I36" s="7">
        <v>24</v>
      </c>
      <c r="J36" s="7">
        <f t="shared" si="19"/>
        <v>0.5</v>
      </c>
      <c r="K36" s="19">
        <v>11</v>
      </c>
      <c r="L36" s="7">
        <v>24</v>
      </c>
      <c r="M36" s="7">
        <f t="shared" si="20"/>
        <v>0.45833333333333331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24" t="s">
        <v>6</v>
      </c>
      <c r="C45" s="32"/>
      <c r="D45" s="25"/>
      <c r="E45" s="24" t="s">
        <v>11</v>
      </c>
      <c r="F45" s="32"/>
      <c r="G45" s="25"/>
      <c r="H45" s="24" t="s">
        <v>6</v>
      </c>
      <c r="I45" s="32"/>
      <c r="J45" s="25"/>
      <c r="K45" s="24" t="s">
        <v>11</v>
      </c>
      <c r="L45" s="32"/>
      <c r="M45" s="25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24" t="s">
        <v>6</v>
      </c>
      <c r="P46" s="25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24" t="s">
        <v>12</v>
      </c>
      <c r="P47" s="25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5:P5"/>
    <mergeCell ref="B3:D3"/>
    <mergeCell ref="E3:G3"/>
    <mergeCell ref="H3:J3"/>
    <mergeCell ref="K3:M3"/>
    <mergeCell ref="O4:P4"/>
    <mergeCell ref="O6:P6"/>
    <mergeCell ref="O7:P7"/>
    <mergeCell ref="B17:D17"/>
    <mergeCell ref="E17:G17"/>
    <mergeCell ref="H17:J17"/>
    <mergeCell ref="K17:M17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46:P46"/>
    <mergeCell ref="O47:P47"/>
    <mergeCell ref="O32:P32"/>
    <mergeCell ref="O33:P33"/>
    <mergeCell ref="O34:P34"/>
    <mergeCell ref="O35:P35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34" t="s">
        <v>14</v>
      </c>
      <c r="C3" s="35"/>
      <c r="D3" s="36"/>
      <c r="E3" s="37" t="s">
        <v>8</v>
      </c>
      <c r="F3" s="38"/>
      <c r="G3" s="39"/>
      <c r="H3" s="45" t="s">
        <v>18</v>
      </c>
      <c r="I3" s="41"/>
      <c r="J3" s="42"/>
      <c r="K3" s="46" t="s">
        <v>19</v>
      </c>
      <c r="L3" s="32"/>
      <c r="M3" s="25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3" t="s">
        <v>14</v>
      </c>
      <c r="P4" s="27"/>
      <c r="Q4" s="7">
        <f>AVERAGE(D5:D14)</f>
        <v>0.10416666666666666</v>
      </c>
      <c r="R4" s="7">
        <f>STDEV(D5:D14)/SQRT(6)</f>
        <v>4.2808430576173465E-2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0</v>
      </c>
      <c r="C5" s="7">
        <v>24</v>
      </c>
      <c r="D5" s="7">
        <f t="shared" ref="D5:D8" si="0">B5/C5</f>
        <v>0</v>
      </c>
      <c r="E5" s="7">
        <v>1</v>
      </c>
      <c r="F5" s="7">
        <v>24</v>
      </c>
      <c r="G5" s="7">
        <f t="shared" ref="G5:G8" si="1">E5/F5</f>
        <v>4.1666666666666664E-2</v>
      </c>
      <c r="H5" s="18">
        <v>1</v>
      </c>
      <c r="I5" s="7">
        <v>24</v>
      </c>
      <c r="J5" s="7">
        <f t="shared" ref="J5:J8" si="2">H5/I5</f>
        <v>4.1666666666666664E-2</v>
      </c>
      <c r="K5" s="18">
        <v>0</v>
      </c>
      <c r="L5" s="7">
        <v>24</v>
      </c>
      <c r="M5" s="7">
        <f t="shared" ref="M5:M8" si="3">K5/L5</f>
        <v>0</v>
      </c>
      <c r="N5" s="6"/>
      <c r="O5" s="44" t="s">
        <v>7</v>
      </c>
      <c r="P5" s="29"/>
      <c r="Q5" s="7">
        <f>AVERAGE(G5:G14)</f>
        <v>7.2916666666666657E-2</v>
      </c>
      <c r="R5" s="7">
        <f>STDEV(D6:D15)/SQRT(6)</f>
        <v>3.9283710065919332E-2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7</v>
      </c>
      <c r="I6" s="7">
        <v>24</v>
      </c>
      <c r="J6" s="7">
        <f t="shared" si="2"/>
        <v>0.29166666666666669</v>
      </c>
      <c r="K6" s="18">
        <v>8</v>
      </c>
      <c r="L6" s="7">
        <v>24</v>
      </c>
      <c r="M6" s="7">
        <f t="shared" si="3"/>
        <v>0.33333333333333331</v>
      </c>
      <c r="N6" s="6"/>
      <c r="O6" s="30" t="s">
        <v>18</v>
      </c>
      <c r="P6" s="30"/>
      <c r="Q6" s="7">
        <f>AVERAGE(J5:J14)</f>
        <v>0.19791666666666669</v>
      </c>
      <c r="R6" s="7">
        <f>STDEV(J5:J14)/SQRT(6)</f>
        <v>6.5697527529251745E-2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6</v>
      </c>
      <c r="C7" s="7">
        <v>24</v>
      </c>
      <c r="D7" s="7">
        <f t="shared" si="0"/>
        <v>0.25</v>
      </c>
      <c r="E7" s="7">
        <v>2</v>
      </c>
      <c r="F7" s="7">
        <v>24</v>
      </c>
      <c r="G7" s="7">
        <f t="shared" si="1"/>
        <v>8.3333333333333329E-2</v>
      </c>
      <c r="H7" s="18">
        <v>9</v>
      </c>
      <c r="I7" s="7">
        <v>24</v>
      </c>
      <c r="J7" s="7">
        <f t="shared" si="2"/>
        <v>0.375</v>
      </c>
      <c r="K7" s="18">
        <v>8</v>
      </c>
      <c r="L7" s="7">
        <v>24</v>
      </c>
      <c r="M7" s="7">
        <f t="shared" si="3"/>
        <v>0.33333333333333331</v>
      </c>
      <c r="N7" s="6"/>
      <c r="O7" s="43" t="s">
        <v>19</v>
      </c>
      <c r="P7" s="43"/>
      <c r="Q7" s="7">
        <f>AVERAGE(M5:M14)</f>
        <v>0.17708333333333331</v>
      </c>
      <c r="R7" s="7">
        <f>STDEV(M5:M14)/SQRT(6)</f>
        <v>7.3983596363411522E-2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2</v>
      </c>
      <c r="C8" s="7">
        <v>24</v>
      </c>
      <c r="D8" s="7">
        <f t="shared" si="0"/>
        <v>8.3333333333333329E-2</v>
      </c>
      <c r="E8" s="7">
        <v>2</v>
      </c>
      <c r="F8" s="7">
        <v>24</v>
      </c>
      <c r="G8" s="7">
        <f t="shared" si="1"/>
        <v>8.3333333333333329E-2</v>
      </c>
      <c r="H8" s="18">
        <v>2</v>
      </c>
      <c r="I8" s="7">
        <v>24</v>
      </c>
      <c r="J8" s="7">
        <f t="shared" si="2"/>
        <v>8.3333333333333329E-2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0.10416666666666666</v>
      </c>
      <c r="V9" s="2">
        <f t="shared" ref="V9:V12" si="5">Q18</f>
        <v>0.40625</v>
      </c>
      <c r="W9" s="2">
        <f t="shared" ref="W9:W12" si="6">Q32</f>
        <v>0.65625000000000011</v>
      </c>
      <c r="X9" s="12">
        <f t="shared" ref="X9:X12" si="7">Q46</f>
        <v>0</v>
      </c>
      <c r="Y9" s="2"/>
      <c r="Z9" s="2">
        <f t="shared" ref="Z9:Z12" si="8">R4</f>
        <v>4.2808430576173465E-2</v>
      </c>
      <c r="AA9" s="2">
        <f t="shared" ref="AA9:AA12" si="9">R18</f>
        <v>8.4909855976649212E-2</v>
      </c>
      <c r="AB9" s="2">
        <f t="shared" ref="AB9:AB12" si="10">R32</f>
        <v>6.8570894646289696E-2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7.2916666666666657E-2</v>
      </c>
      <c r="V10" s="2">
        <f t="shared" si="5"/>
        <v>0.29166666666666663</v>
      </c>
      <c r="W10" s="2">
        <f t="shared" si="6"/>
        <v>0.42708333333333331</v>
      </c>
      <c r="X10" s="12">
        <f t="shared" si="7"/>
        <v>0</v>
      </c>
      <c r="Y10" s="2"/>
      <c r="Z10" s="2">
        <f t="shared" si="8"/>
        <v>3.9283710065919332E-2</v>
      </c>
      <c r="AA10" s="2">
        <f t="shared" si="9"/>
        <v>8.0387756269376553E-2</v>
      </c>
      <c r="AB10" s="2">
        <f t="shared" si="10"/>
        <v>5.1967463705193659E-2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0.19791666666666669</v>
      </c>
      <c r="V11" s="2">
        <f t="shared" si="5"/>
        <v>0.43750000000000006</v>
      </c>
      <c r="W11" s="2">
        <f t="shared" si="6"/>
        <v>0.63541666666666663</v>
      </c>
      <c r="X11" s="12">
        <f t="shared" si="7"/>
        <v>0</v>
      </c>
      <c r="Y11" s="2"/>
      <c r="Z11" s="2">
        <f t="shared" si="8"/>
        <v>6.5697527529251745E-2</v>
      </c>
      <c r="AA11" s="2">
        <f t="shared" si="9"/>
        <v>8.6178289208269782E-2</v>
      </c>
      <c r="AB11" s="2">
        <f t="shared" si="10"/>
        <v>7.3983596363411536E-2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0.17708333333333331</v>
      </c>
      <c r="V12" s="2">
        <f t="shared" si="5"/>
        <v>0.42708333333333331</v>
      </c>
      <c r="W12" s="2">
        <f t="shared" si="6"/>
        <v>0.61458333333333337</v>
      </c>
      <c r="X12" s="12">
        <f t="shared" si="7"/>
        <v>0</v>
      </c>
      <c r="Y12" s="2"/>
      <c r="Z12" s="2">
        <f t="shared" si="8"/>
        <v>7.3983596363411522E-2</v>
      </c>
      <c r="AA12" s="2">
        <f t="shared" si="9"/>
        <v>5.6202826584161938E-2</v>
      </c>
      <c r="AB12" s="2">
        <f t="shared" si="10"/>
        <v>5.6202826584161834E-2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34" t="s">
        <v>15</v>
      </c>
      <c r="C17" s="35"/>
      <c r="D17" s="36"/>
      <c r="E17" s="37" t="s">
        <v>9</v>
      </c>
      <c r="F17" s="38"/>
      <c r="G17" s="39"/>
      <c r="H17" s="40" t="s">
        <v>15</v>
      </c>
      <c r="I17" s="41"/>
      <c r="J17" s="42"/>
      <c r="K17" s="24" t="s">
        <v>9</v>
      </c>
      <c r="L17" s="32"/>
      <c r="M17" s="25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3" t="s">
        <v>14</v>
      </c>
      <c r="P18" s="27"/>
      <c r="Q18" s="7">
        <f>AVERAGE(D19:D28)</f>
        <v>0.40625</v>
      </c>
      <c r="R18" s="7">
        <f>STDEV(D19:D28)/SQRT(6)</f>
        <v>8.4909855976649212E-2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5</v>
      </c>
      <c r="C19" s="7">
        <v>24</v>
      </c>
      <c r="D19" s="7">
        <f t="shared" ref="D19:D22" si="13">B19/C19</f>
        <v>0.20833333333333334</v>
      </c>
      <c r="E19" s="19">
        <v>6</v>
      </c>
      <c r="F19" s="7">
        <v>24</v>
      </c>
      <c r="G19" s="7">
        <f t="shared" ref="G19:G22" si="14">E19/F19</f>
        <v>0.25</v>
      </c>
      <c r="H19" s="19">
        <v>6</v>
      </c>
      <c r="I19" s="7">
        <v>24</v>
      </c>
      <c r="J19" s="7">
        <f t="shared" ref="J19:J22" si="15">H19/I19</f>
        <v>0.25</v>
      </c>
      <c r="K19" s="19">
        <v>8</v>
      </c>
      <c r="L19" s="7">
        <v>24</v>
      </c>
      <c r="M19" s="7">
        <f t="shared" ref="M19:M22" si="16">K19/L19</f>
        <v>0.33333333333333331</v>
      </c>
      <c r="N19" s="6"/>
      <c r="O19" s="28" t="s">
        <v>7</v>
      </c>
      <c r="P19" s="29"/>
      <c r="Q19" s="7">
        <f>AVERAGE(G19:G28)</f>
        <v>0.29166666666666663</v>
      </c>
      <c r="R19" s="7">
        <f>STDEV(D20:D29)/SQRT(6)</f>
        <v>8.0387756269376553E-2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15</v>
      </c>
      <c r="C20" s="7">
        <v>24</v>
      </c>
      <c r="D20" s="7">
        <f t="shared" si="13"/>
        <v>0.625</v>
      </c>
      <c r="E20" s="19">
        <v>12</v>
      </c>
      <c r="F20" s="7">
        <v>24</v>
      </c>
      <c r="G20" s="7">
        <f t="shared" si="14"/>
        <v>0.5</v>
      </c>
      <c r="H20" s="19">
        <v>12</v>
      </c>
      <c r="I20" s="7">
        <v>24</v>
      </c>
      <c r="J20" s="7">
        <f t="shared" si="15"/>
        <v>0.5</v>
      </c>
      <c r="K20" s="19">
        <v>10</v>
      </c>
      <c r="L20" s="7">
        <v>24</v>
      </c>
      <c r="M20" s="7">
        <f t="shared" si="16"/>
        <v>0.41666666666666669</v>
      </c>
      <c r="N20" s="6"/>
      <c r="O20" s="30" t="s">
        <v>18</v>
      </c>
      <c r="P20" s="30"/>
      <c r="Q20" s="7">
        <f>AVERAGE(J19:J28)</f>
        <v>0.43750000000000006</v>
      </c>
      <c r="R20" s="7">
        <f>STDEV(J19:J28)/SQRT(6)</f>
        <v>8.6178289208269782E-2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13</v>
      </c>
      <c r="C21" s="7">
        <v>24</v>
      </c>
      <c r="D21" s="7">
        <f t="shared" si="13"/>
        <v>0.54166666666666663</v>
      </c>
      <c r="E21" s="19">
        <v>8</v>
      </c>
      <c r="F21" s="7">
        <v>24</v>
      </c>
      <c r="G21" s="7">
        <f t="shared" si="14"/>
        <v>0.33333333333333331</v>
      </c>
      <c r="H21" s="19">
        <v>17</v>
      </c>
      <c r="I21" s="7">
        <v>24</v>
      </c>
      <c r="J21" s="7">
        <f t="shared" si="15"/>
        <v>0.70833333333333337</v>
      </c>
      <c r="K21" s="19">
        <v>15</v>
      </c>
      <c r="L21" s="7">
        <v>24</v>
      </c>
      <c r="M21" s="7">
        <f t="shared" si="16"/>
        <v>0.625</v>
      </c>
      <c r="N21" s="6"/>
      <c r="O21" s="31" t="s">
        <v>19</v>
      </c>
      <c r="P21" s="31"/>
      <c r="Q21" s="7">
        <f>AVERAGE(M19:M28)</f>
        <v>0.42708333333333331</v>
      </c>
      <c r="R21" s="7">
        <f>STDEV(M19:M28)/SQRT(6)</f>
        <v>5.6202826584161938E-2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6</v>
      </c>
      <c r="C22" s="7">
        <v>24</v>
      </c>
      <c r="D22" s="7">
        <f t="shared" si="13"/>
        <v>0.25</v>
      </c>
      <c r="E22" s="19">
        <v>2</v>
      </c>
      <c r="F22" s="7">
        <v>24</v>
      </c>
      <c r="G22" s="7">
        <f t="shared" si="14"/>
        <v>8.3333333333333329E-2</v>
      </c>
      <c r="H22" s="19">
        <v>7</v>
      </c>
      <c r="I22" s="7">
        <v>24</v>
      </c>
      <c r="J22" s="7">
        <f t="shared" si="15"/>
        <v>0.29166666666666669</v>
      </c>
      <c r="K22" s="19">
        <v>8</v>
      </c>
      <c r="L22" s="7">
        <v>24</v>
      </c>
      <c r="M22" s="7">
        <f t="shared" si="16"/>
        <v>0.33333333333333331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34" t="s">
        <v>16</v>
      </c>
      <c r="C31" s="35"/>
      <c r="D31" s="36"/>
      <c r="E31" s="37" t="s">
        <v>10</v>
      </c>
      <c r="F31" s="38"/>
      <c r="G31" s="39"/>
      <c r="H31" s="40" t="s">
        <v>16</v>
      </c>
      <c r="I31" s="41"/>
      <c r="J31" s="42"/>
      <c r="K31" s="24" t="s">
        <v>10</v>
      </c>
      <c r="L31" s="32"/>
      <c r="M31" s="25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26" t="s">
        <v>14</v>
      </c>
      <c r="P32" s="27"/>
      <c r="Q32" s="7">
        <f>AVERAGE(D33:D42)</f>
        <v>0.65625000000000011</v>
      </c>
      <c r="R32" s="7">
        <f>STDEV(D33:D42)/SQRT(6)</f>
        <v>6.8570894646289696E-2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7">
        <v>11</v>
      </c>
      <c r="C33" s="7">
        <v>24</v>
      </c>
      <c r="D33" s="7">
        <f t="shared" ref="D33:D36" si="17">B33/C33</f>
        <v>0.45833333333333331</v>
      </c>
      <c r="E33" s="48">
        <v>8</v>
      </c>
      <c r="F33" s="7">
        <v>24</v>
      </c>
      <c r="G33" s="7">
        <f t="shared" ref="G33:G36" si="18">E33/F33</f>
        <v>0.33333333333333331</v>
      </c>
      <c r="H33" s="19">
        <v>11</v>
      </c>
      <c r="I33" s="7">
        <v>24</v>
      </c>
      <c r="J33" s="7">
        <f t="shared" ref="J33:J36" si="19">H33/I33</f>
        <v>0.45833333333333331</v>
      </c>
      <c r="K33" s="19">
        <v>13</v>
      </c>
      <c r="L33" s="7">
        <v>24</v>
      </c>
      <c r="M33" s="7">
        <f t="shared" ref="M33:M36" si="20">K33/L33</f>
        <v>0.54166666666666663</v>
      </c>
      <c r="N33" s="6"/>
      <c r="O33" s="28" t="s">
        <v>7</v>
      </c>
      <c r="P33" s="29"/>
      <c r="Q33" s="7">
        <f>AVERAGE(G33:G42)</f>
        <v>0.42708333333333331</v>
      </c>
      <c r="R33" s="7">
        <f>STDEV(D34:D43)/SQRT(6)</f>
        <v>5.1967463705193659E-2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7">
        <v>20</v>
      </c>
      <c r="C34" s="7">
        <v>24</v>
      </c>
      <c r="D34" s="7">
        <f t="shared" si="17"/>
        <v>0.83333333333333337</v>
      </c>
      <c r="E34" s="48">
        <v>15</v>
      </c>
      <c r="F34" s="7">
        <v>24</v>
      </c>
      <c r="G34" s="7">
        <f t="shared" si="18"/>
        <v>0.625</v>
      </c>
      <c r="H34" s="19">
        <v>19</v>
      </c>
      <c r="I34" s="7">
        <v>24</v>
      </c>
      <c r="J34" s="7">
        <f t="shared" si="19"/>
        <v>0.79166666666666663</v>
      </c>
      <c r="K34" s="19">
        <v>18</v>
      </c>
      <c r="L34" s="7">
        <v>24</v>
      </c>
      <c r="M34" s="7">
        <f t="shared" si="20"/>
        <v>0.75</v>
      </c>
      <c r="N34" s="6"/>
      <c r="O34" s="30" t="s">
        <v>18</v>
      </c>
      <c r="P34" s="30"/>
      <c r="Q34" s="7">
        <f>AVERAGE(J33:J42)</f>
        <v>0.63541666666666663</v>
      </c>
      <c r="R34" s="7">
        <f>STDEV(J33:J42)/SQRT(6)</f>
        <v>7.3983596363411536E-2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7">
        <v>18</v>
      </c>
      <c r="C35" s="7">
        <v>24</v>
      </c>
      <c r="D35" s="7">
        <f t="shared" si="17"/>
        <v>0.75</v>
      </c>
      <c r="E35" s="48">
        <v>11</v>
      </c>
      <c r="F35" s="7">
        <v>24</v>
      </c>
      <c r="G35" s="7">
        <f t="shared" si="18"/>
        <v>0.45833333333333331</v>
      </c>
      <c r="H35" s="19">
        <v>19</v>
      </c>
      <c r="I35" s="7">
        <v>24</v>
      </c>
      <c r="J35" s="7">
        <f t="shared" si="19"/>
        <v>0.79166666666666663</v>
      </c>
      <c r="K35" s="19">
        <v>17</v>
      </c>
      <c r="L35" s="7">
        <v>24</v>
      </c>
      <c r="M35" s="7">
        <f t="shared" si="20"/>
        <v>0.70833333333333337</v>
      </c>
      <c r="N35" s="6"/>
      <c r="O35" s="31" t="s">
        <v>19</v>
      </c>
      <c r="P35" s="31"/>
      <c r="Q35" s="7">
        <f>AVERAGE(M33:M42)</f>
        <v>0.61458333333333337</v>
      </c>
      <c r="R35" s="7">
        <f>STDEV(M33:M42)/SQRT(6)</f>
        <v>5.6202826584161834E-2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7">
        <v>14</v>
      </c>
      <c r="C36" s="7">
        <v>24</v>
      </c>
      <c r="D36" s="7">
        <f t="shared" si="17"/>
        <v>0.58333333333333337</v>
      </c>
      <c r="E36" s="48">
        <v>7</v>
      </c>
      <c r="F36" s="7">
        <v>24</v>
      </c>
      <c r="G36" s="7">
        <f t="shared" si="18"/>
        <v>0.29166666666666669</v>
      </c>
      <c r="H36" s="19">
        <v>12</v>
      </c>
      <c r="I36" s="7">
        <v>24</v>
      </c>
      <c r="J36" s="7">
        <f t="shared" si="19"/>
        <v>0.5</v>
      </c>
      <c r="K36" s="19">
        <v>11</v>
      </c>
      <c r="L36" s="7">
        <v>24</v>
      </c>
      <c r="M36" s="7">
        <f t="shared" si="20"/>
        <v>0.45833333333333331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 t="s">
        <v>24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>
        <v>0.68333333333333002</v>
      </c>
      <c r="V41" s="2">
        <v>0.375</v>
      </c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24" t="s">
        <v>6</v>
      </c>
      <c r="C45" s="32"/>
      <c r="D45" s="25"/>
      <c r="E45" s="24" t="s">
        <v>11</v>
      </c>
      <c r="F45" s="32"/>
      <c r="G45" s="25"/>
      <c r="H45" s="24" t="s">
        <v>6</v>
      </c>
      <c r="I45" s="32"/>
      <c r="J45" s="25"/>
      <c r="K45" s="24" t="s">
        <v>11</v>
      </c>
      <c r="L45" s="32"/>
      <c r="M45" s="25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24" t="s">
        <v>6</v>
      </c>
      <c r="P46" s="25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24" t="s">
        <v>12</v>
      </c>
      <c r="P47" s="25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O5:P5"/>
    <mergeCell ref="B3:D3"/>
    <mergeCell ref="E3:G3"/>
    <mergeCell ref="H3:J3"/>
    <mergeCell ref="K3:M3"/>
    <mergeCell ref="O4:P4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25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34" t="s">
        <v>14</v>
      </c>
      <c r="C3" s="35"/>
      <c r="D3" s="36"/>
      <c r="E3" s="37" t="s">
        <v>8</v>
      </c>
      <c r="F3" s="38"/>
      <c r="G3" s="39"/>
      <c r="H3" s="45" t="s">
        <v>18</v>
      </c>
      <c r="I3" s="41"/>
      <c r="J3" s="42"/>
      <c r="K3" s="46" t="s">
        <v>19</v>
      </c>
      <c r="L3" s="32"/>
      <c r="M3" s="25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3" t="s">
        <v>14</v>
      </c>
      <c r="P4" s="27"/>
      <c r="Q4" s="7">
        <f>AVERAGE(D5:D14)</f>
        <v>8.3333333333333343E-2</v>
      </c>
      <c r="R4" s="7">
        <f>STDEV(D5:D14)/SQRT(6)</f>
        <v>3.6746545987008203E-2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5</v>
      </c>
      <c r="C5" s="7">
        <v>24</v>
      </c>
      <c r="D5" s="7">
        <f t="shared" ref="D5:D8" si="0">B5/C5</f>
        <v>0.20833333333333334</v>
      </c>
      <c r="E5" s="7">
        <v>4</v>
      </c>
      <c r="F5" s="7">
        <v>24</v>
      </c>
      <c r="G5" s="7">
        <f t="shared" ref="G5:G8" si="1">E5/F5</f>
        <v>0.16666666666666666</v>
      </c>
      <c r="H5" s="18">
        <v>1</v>
      </c>
      <c r="I5" s="7">
        <v>24</v>
      </c>
      <c r="J5" s="7">
        <f t="shared" ref="J5:J8" si="2">H5/I5</f>
        <v>4.1666666666666664E-2</v>
      </c>
      <c r="K5" s="18">
        <v>1</v>
      </c>
      <c r="L5" s="7">
        <v>24</v>
      </c>
      <c r="M5" s="7">
        <f t="shared" ref="M5:M8" si="3">K5/L5</f>
        <v>4.1666666666666664E-2</v>
      </c>
      <c r="N5" s="6"/>
      <c r="O5" s="44" t="s">
        <v>7</v>
      </c>
      <c r="P5" s="29"/>
      <c r="Q5" s="7">
        <f>AVERAGE(G5:G14)</f>
        <v>8.3333333333333343E-2</v>
      </c>
      <c r="R5" s="7">
        <f>STDEV(D6:D15)/SQRT(6)</f>
        <v>1.7010345435994296E-2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0</v>
      </c>
      <c r="I6" s="7">
        <v>24</v>
      </c>
      <c r="J6" s="7">
        <f t="shared" si="2"/>
        <v>0</v>
      </c>
      <c r="K6" s="18">
        <v>1</v>
      </c>
      <c r="L6" s="7">
        <v>24</v>
      </c>
      <c r="M6" s="7">
        <f t="shared" si="3"/>
        <v>4.1666666666666664E-2</v>
      </c>
      <c r="N6" s="6"/>
      <c r="O6" s="30" t="s">
        <v>18</v>
      </c>
      <c r="P6" s="30"/>
      <c r="Q6" s="7">
        <f>AVERAGE(J5:J14)</f>
        <v>8.3333333333333329E-2</v>
      </c>
      <c r="R6" s="7">
        <f>STDEV(J5:J14)/SQRT(6)</f>
        <v>3.674654598700821E-2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0</v>
      </c>
      <c r="C7" s="7">
        <v>24</v>
      </c>
      <c r="D7" s="7">
        <f t="shared" si="0"/>
        <v>0</v>
      </c>
      <c r="E7" s="7">
        <v>1</v>
      </c>
      <c r="F7" s="7">
        <v>24</v>
      </c>
      <c r="G7" s="7">
        <f t="shared" si="1"/>
        <v>4.1666666666666664E-2</v>
      </c>
      <c r="H7" s="18">
        <v>5</v>
      </c>
      <c r="I7" s="7">
        <v>24</v>
      </c>
      <c r="J7" s="7">
        <f t="shared" si="2"/>
        <v>0.20833333333333334</v>
      </c>
      <c r="K7" s="18">
        <v>4</v>
      </c>
      <c r="L7" s="7">
        <v>24</v>
      </c>
      <c r="M7" s="7">
        <f t="shared" si="3"/>
        <v>0.16666666666666666</v>
      </c>
      <c r="N7" s="6"/>
      <c r="O7" s="43" t="s">
        <v>19</v>
      </c>
      <c r="P7" s="43"/>
      <c r="Q7" s="7">
        <f>AVERAGE(M5:M14)</f>
        <v>7.2916666666666671E-2</v>
      </c>
      <c r="R7" s="7">
        <f>STDEV(M5:M14)/SQRT(6)</f>
        <v>2.5515518153991435E-2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1</v>
      </c>
      <c r="C8" s="7">
        <v>24</v>
      </c>
      <c r="D8" s="7">
        <f t="shared" si="0"/>
        <v>4.1666666666666664E-2</v>
      </c>
      <c r="E8" s="7">
        <v>1</v>
      </c>
      <c r="F8" s="7">
        <v>24</v>
      </c>
      <c r="G8" s="7">
        <f t="shared" si="1"/>
        <v>4.1666666666666664E-2</v>
      </c>
      <c r="H8" s="18">
        <v>2</v>
      </c>
      <c r="I8" s="7">
        <v>24</v>
      </c>
      <c r="J8" s="7">
        <f t="shared" si="2"/>
        <v>8.3333333333333329E-2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8.3333333333333343E-2</v>
      </c>
      <c r="V9" s="2">
        <f t="shared" ref="V9:V12" si="5">Q18</f>
        <v>0.16666666666666669</v>
      </c>
      <c r="W9" s="2">
        <f t="shared" ref="W9:W12" si="6">Q32</f>
        <v>0.3125</v>
      </c>
      <c r="X9" s="12">
        <f t="shared" ref="X9:X12" si="7">Q46</f>
        <v>0</v>
      </c>
      <c r="Y9" s="2"/>
      <c r="Z9" s="2">
        <f t="shared" ref="Z9:Z12" si="8">R4</f>
        <v>3.6746545987008203E-2</v>
      </c>
      <c r="AA9" s="2">
        <f t="shared" ref="AA9:AA12" si="9">R18</f>
        <v>3.6746545987008203E-2</v>
      </c>
      <c r="AB9" s="2">
        <f t="shared" ref="AB9:AB12" si="10">R32</f>
        <v>5.9738369910018269E-2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8.3333333333333343E-2</v>
      </c>
      <c r="V10" s="2">
        <f t="shared" si="5"/>
        <v>0.125</v>
      </c>
      <c r="W10" s="2">
        <f t="shared" si="6"/>
        <v>0.20833333333333331</v>
      </c>
      <c r="X10" s="12">
        <f t="shared" si="7"/>
        <v>0</v>
      </c>
      <c r="Y10" s="2"/>
      <c r="Z10" s="2">
        <f t="shared" si="8"/>
        <v>1.7010345435994296E-2</v>
      </c>
      <c r="AA10" s="2">
        <f t="shared" si="9"/>
        <v>1.7010345435994348E-2</v>
      </c>
      <c r="AB10" s="2">
        <f t="shared" si="10"/>
        <v>6.4400128440942422E-2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8.3333333333333329E-2</v>
      </c>
      <c r="V11" s="2">
        <f t="shared" si="5"/>
        <v>0.22916666666666666</v>
      </c>
      <c r="W11" s="2">
        <f t="shared" si="6"/>
        <v>0.30208333333333337</v>
      </c>
      <c r="X11" s="12">
        <f t="shared" si="7"/>
        <v>0</v>
      </c>
      <c r="Y11" s="2"/>
      <c r="Z11" s="2">
        <f t="shared" si="8"/>
        <v>3.674654598700821E-2</v>
      </c>
      <c r="AA11" s="2">
        <f t="shared" si="9"/>
        <v>5.2887313235166059E-2</v>
      </c>
      <c r="AB11" s="2">
        <f t="shared" si="10"/>
        <v>8.1430829163601212E-2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7.2916666666666671E-2</v>
      </c>
      <c r="V12" s="2">
        <f t="shared" si="5"/>
        <v>0.19791666666666666</v>
      </c>
      <c r="W12" s="2">
        <f t="shared" si="6"/>
        <v>0.29166666666666669</v>
      </c>
      <c r="X12" s="12">
        <f t="shared" si="7"/>
        <v>0</v>
      </c>
      <c r="Y12" s="2"/>
      <c r="Z12" s="2">
        <f t="shared" si="8"/>
        <v>2.5515518153991435E-2</v>
      </c>
      <c r="AA12" s="2">
        <f t="shared" si="9"/>
        <v>3.771798781666745E-2</v>
      </c>
      <c r="AB12" s="2">
        <f t="shared" si="10"/>
        <v>6.5144663330880953E-2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34" t="s">
        <v>15</v>
      </c>
      <c r="C17" s="35"/>
      <c r="D17" s="36"/>
      <c r="E17" s="37" t="s">
        <v>9</v>
      </c>
      <c r="F17" s="38"/>
      <c r="G17" s="39"/>
      <c r="H17" s="40" t="s">
        <v>15</v>
      </c>
      <c r="I17" s="41"/>
      <c r="J17" s="42"/>
      <c r="K17" s="24" t="s">
        <v>9</v>
      </c>
      <c r="L17" s="32"/>
      <c r="M17" s="25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3" t="s">
        <v>14</v>
      </c>
      <c r="P18" s="27"/>
      <c r="Q18" s="7">
        <f>AVERAGE(D19:D28)</f>
        <v>0.16666666666666669</v>
      </c>
      <c r="R18" s="7">
        <f>STDEV(D19:D28)/SQRT(6)</f>
        <v>3.6746545987008203E-2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7</v>
      </c>
      <c r="C19" s="7">
        <v>24</v>
      </c>
      <c r="D19" s="7">
        <f t="shared" ref="D19:D22" si="13">B19/C19</f>
        <v>0.29166666666666669</v>
      </c>
      <c r="E19" s="19">
        <v>5</v>
      </c>
      <c r="F19" s="7">
        <v>24</v>
      </c>
      <c r="G19" s="7">
        <f t="shared" ref="G19:G22" si="14">E19/F19</f>
        <v>0.20833333333333334</v>
      </c>
      <c r="H19" s="19">
        <v>3</v>
      </c>
      <c r="I19" s="7">
        <v>24</v>
      </c>
      <c r="J19" s="7">
        <f t="shared" ref="J19:J22" si="15">H19/I19</f>
        <v>0.125</v>
      </c>
      <c r="K19" s="19">
        <v>4</v>
      </c>
      <c r="L19" s="7">
        <v>24</v>
      </c>
      <c r="M19" s="7">
        <f t="shared" ref="M19:M22" si="16">K19/L19</f>
        <v>0.16666666666666666</v>
      </c>
      <c r="N19" s="6"/>
      <c r="O19" s="28" t="s">
        <v>7</v>
      </c>
      <c r="P19" s="29"/>
      <c r="Q19" s="7">
        <f>AVERAGE(G19:G28)</f>
        <v>0.125</v>
      </c>
      <c r="R19" s="7">
        <f>STDEV(D20:D29)/SQRT(6)</f>
        <v>1.7010345435994348E-2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4</v>
      </c>
      <c r="C20" s="7">
        <v>24</v>
      </c>
      <c r="D20" s="7">
        <f t="shared" si="13"/>
        <v>0.16666666666666666</v>
      </c>
      <c r="E20" s="19">
        <v>4</v>
      </c>
      <c r="F20" s="7">
        <v>24</v>
      </c>
      <c r="G20" s="7">
        <f t="shared" si="14"/>
        <v>0.16666666666666666</v>
      </c>
      <c r="H20" s="19">
        <v>5</v>
      </c>
      <c r="I20" s="7">
        <v>24</v>
      </c>
      <c r="J20" s="7">
        <f t="shared" si="15"/>
        <v>0.20833333333333334</v>
      </c>
      <c r="K20" s="19">
        <v>3</v>
      </c>
      <c r="L20" s="7">
        <v>24</v>
      </c>
      <c r="M20" s="7">
        <f t="shared" si="16"/>
        <v>0.125</v>
      </c>
      <c r="N20" s="6"/>
      <c r="O20" s="30" t="s">
        <v>18</v>
      </c>
      <c r="P20" s="30"/>
      <c r="Q20" s="7">
        <f>AVERAGE(J19:J28)</f>
        <v>0.22916666666666666</v>
      </c>
      <c r="R20" s="7">
        <f>STDEV(J19:J28)/SQRT(6)</f>
        <v>5.2887313235166059E-2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3</v>
      </c>
      <c r="C21" s="7">
        <v>24</v>
      </c>
      <c r="D21" s="7">
        <f t="shared" si="13"/>
        <v>0.125</v>
      </c>
      <c r="E21" s="19">
        <v>2</v>
      </c>
      <c r="F21" s="7">
        <v>24</v>
      </c>
      <c r="G21" s="7">
        <f t="shared" si="14"/>
        <v>8.3333333333333329E-2</v>
      </c>
      <c r="H21" s="19">
        <v>10</v>
      </c>
      <c r="I21" s="7">
        <v>24</v>
      </c>
      <c r="J21" s="7">
        <f t="shared" si="15"/>
        <v>0.41666666666666669</v>
      </c>
      <c r="K21" s="19">
        <v>8</v>
      </c>
      <c r="L21" s="7">
        <v>24</v>
      </c>
      <c r="M21" s="7">
        <f t="shared" si="16"/>
        <v>0.33333333333333331</v>
      </c>
      <c r="N21" s="6"/>
      <c r="O21" s="31" t="s">
        <v>19</v>
      </c>
      <c r="P21" s="31"/>
      <c r="Q21" s="7">
        <f>AVERAGE(M19:M28)</f>
        <v>0.19791666666666666</v>
      </c>
      <c r="R21" s="7">
        <f>STDEV(M19:M28)/SQRT(6)</f>
        <v>3.771798781666745E-2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2</v>
      </c>
      <c r="C22" s="7">
        <v>24</v>
      </c>
      <c r="D22" s="7">
        <f t="shared" si="13"/>
        <v>8.3333333333333329E-2</v>
      </c>
      <c r="E22" s="19">
        <v>1</v>
      </c>
      <c r="F22" s="7">
        <v>24</v>
      </c>
      <c r="G22" s="7">
        <f t="shared" si="14"/>
        <v>4.1666666666666664E-2</v>
      </c>
      <c r="H22" s="19">
        <v>4</v>
      </c>
      <c r="I22" s="7">
        <v>24</v>
      </c>
      <c r="J22" s="7">
        <f t="shared" si="15"/>
        <v>0.16666666666666666</v>
      </c>
      <c r="K22" s="19">
        <v>4</v>
      </c>
      <c r="L22" s="7">
        <v>24</v>
      </c>
      <c r="M22" s="7">
        <f t="shared" si="16"/>
        <v>0.16666666666666666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34" t="s">
        <v>16</v>
      </c>
      <c r="C31" s="35"/>
      <c r="D31" s="36"/>
      <c r="E31" s="37" t="s">
        <v>10</v>
      </c>
      <c r="F31" s="38"/>
      <c r="G31" s="39"/>
      <c r="H31" s="40" t="s">
        <v>16</v>
      </c>
      <c r="I31" s="41"/>
      <c r="J31" s="42"/>
      <c r="K31" s="24" t="s">
        <v>10</v>
      </c>
      <c r="L31" s="32"/>
      <c r="M31" s="25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26" t="s">
        <v>14</v>
      </c>
      <c r="P32" s="27"/>
      <c r="Q32" s="7">
        <f>AVERAGE(D33:D42)</f>
        <v>0.3125</v>
      </c>
      <c r="R32" s="7">
        <f>STDEV(D33:D42)/SQRT(6)</f>
        <v>5.9738369910018269E-2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7">
        <v>10</v>
      </c>
      <c r="C33" s="7">
        <v>24</v>
      </c>
      <c r="D33" s="7">
        <f t="shared" ref="D33:D36" si="17">B33/C33</f>
        <v>0.41666666666666669</v>
      </c>
      <c r="E33" s="48">
        <v>8</v>
      </c>
      <c r="F33" s="7">
        <v>24</v>
      </c>
      <c r="G33" s="7">
        <f t="shared" ref="G33:G36" si="18">E33/F33</f>
        <v>0.33333333333333331</v>
      </c>
      <c r="H33" s="19">
        <v>5</v>
      </c>
      <c r="I33" s="7">
        <v>24</v>
      </c>
      <c r="J33" s="7">
        <f t="shared" ref="J33:J36" si="19">H33/I33</f>
        <v>0.20833333333333334</v>
      </c>
      <c r="K33" s="19">
        <v>8</v>
      </c>
      <c r="L33" s="7">
        <v>24</v>
      </c>
      <c r="M33" s="7">
        <f t="shared" ref="M33:M36" si="20">K33/L33</f>
        <v>0.33333333333333331</v>
      </c>
      <c r="N33" s="6"/>
      <c r="O33" s="28" t="s">
        <v>7</v>
      </c>
      <c r="P33" s="29"/>
      <c r="Q33" s="7">
        <f>AVERAGE(G33:G42)</f>
        <v>0.20833333333333331</v>
      </c>
      <c r="R33" s="7">
        <f>STDEV(D34:D43)/SQRT(6)</f>
        <v>6.4400128440942422E-2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7">
        <v>11</v>
      </c>
      <c r="C34" s="7">
        <v>24</v>
      </c>
      <c r="D34" s="7">
        <f t="shared" si="17"/>
        <v>0.45833333333333331</v>
      </c>
      <c r="E34" s="48">
        <v>6</v>
      </c>
      <c r="F34" s="7">
        <v>24</v>
      </c>
      <c r="G34" s="7">
        <f t="shared" si="18"/>
        <v>0.25</v>
      </c>
      <c r="H34" s="19">
        <v>7</v>
      </c>
      <c r="I34" s="7">
        <v>24</v>
      </c>
      <c r="J34" s="7">
        <f t="shared" si="19"/>
        <v>0.29166666666666669</v>
      </c>
      <c r="K34" s="19">
        <v>4</v>
      </c>
      <c r="L34" s="7">
        <v>24</v>
      </c>
      <c r="M34" s="7">
        <f t="shared" si="20"/>
        <v>0.16666666666666666</v>
      </c>
      <c r="N34" s="6"/>
      <c r="O34" s="30" t="s">
        <v>18</v>
      </c>
      <c r="P34" s="30"/>
      <c r="Q34" s="7">
        <f>AVERAGE(J33:J42)</f>
        <v>0.30208333333333337</v>
      </c>
      <c r="R34" s="7">
        <f>STDEV(J33:J42)/SQRT(6)</f>
        <v>8.1430829163601212E-2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7">
        <v>5</v>
      </c>
      <c r="C35" s="7">
        <v>24</v>
      </c>
      <c r="D35" s="7">
        <f t="shared" si="17"/>
        <v>0.20833333333333334</v>
      </c>
      <c r="E35" s="48">
        <v>2</v>
      </c>
      <c r="F35" s="7">
        <v>24</v>
      </c>
      <c r="G35" s="7">
        <f t="shared" si="18"/>
        <v>8.3333333333333329E-2</v>
      </c>
      <c r="H35" s="19">
        <v>14</v>
      </c>
      <c r="I35" s="7">
        <v>24</v>
      </c>
      <c r="J35" s="7">
        <f t="shared" si="19"/>
        <v>0.58333333333333337</v>
      </c>
      <c r="K35" s="19">
        <v>12</v>
      </c>
      <c r="L35" s="7">
        <v>24</v>
      </c>
      <c r="M35" s="7">
        <f t="shared" si="20"/>
        <v>0.5</v>
      </c>
      <c r="N35" s="6"/>
      <c r="O35" s="31" t="s">
        <v>19</v>
      </c>
      <c r="P35" s="31"/>
      <c r="Q35" s="7">
        <f>AVERAGE(M33:M42)</f>
        <v>0.29166666666666669</v>
      </c>
      <c r="R35" s="7">
        <f>STDEV(M33:M42)/SQRT(6)</f>
        <v>6.5144663330880953E-2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7">
        <v>4</v>
      </c>
      <c r="C36" s="7">
        <v>24</v>
      </c>
      <c r="D36" s="7">
        <f t="shared" si="17"/>
        <v>0.16666666666666666</v>
      </c>
      <c r="E36" s="48">
        <v>4</v>
      </c>
      <c r="F36" s="7">
        <v>24</v>
      </c>
      <c r="G36" s="7">
        <f t="shared" si="18"/>
        <v>0.16666666666666666</v>
      </c>
      <c r="H36" s="19">
        <v>3</v>
      </c>
      <c r="I36" s="7">
        <v>24</v>
      </c>
      <c r="J36" s="7">
        <f t="shared" si="19"/>
        <v>0.125</v>
      </c>
      <c r="K36" s="19">
        <v>4</v>
      </c>
      <c r="L36" s="7">
        <v>24</v>
      </c>
      <c r="M36" s="7">
        <f t="shared" si="20"/>
        <v>0.16666666666666666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24" t="s">
        <v>6</v>
      </c>
      <c r="C45" s="32"/>
      <c r="D45" s="25"/>
      <c r="E45" s="24" t="s">
        <v>11</v>
      </c>
      <c r="F45" s="32"/>
      <c r="G45" s="25"/>
      <c r="H45" s="24" t="s">
        <v>6</v>
      </c>
      <c r="I45" s="32"/>
      <c r="J45" s="25"/>
      <c r="K45" s="24" t="s">
        <v>11</v>
      </c>
      <c r="L45" s="32"/>
      <c r="M45" s="25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24" t="s">
        <v>6</v>
      </c>
      <c r="P46" s="25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24" t="s">
        <v>12</v>
      </c>
      <c r="P47" s="25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5:P5"/>
    <mergeCell ref="B3:D3"/>
    <mergeCell ref="E3:G3"/>
    <mergeCell ref="H3:J3"/>
    <mergeCell ref="K3:M3"/>
    <mergeCell ref="O4:P4"/>
    <mergeCell ref="O6:P6"/>
    <mergeCell ref="O7:P7"/>
    <mergeCell ref="B17:D17"/>
    <mergeCell ref="E17:G17"/>
    <mergeCell ref="H17:J17"/>
    <mergeCell ref="K17:M17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46:P46"/>
    <mergeCell ref="O47:P47"/>
    <mergeCell ref="O32:P32"/>
    <mergeCell ref="O33:P33"/>
    <mergeCell ref="O34:P34"/>
    <mergeCell ref="O35:P35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F770-FE49-4A5A-B12F-06AA919398A9}">
  <dimension ref="A1:AF997"/>
  <sheetViews>
    <sheetView zoomScale="80" zoomScaleNormal="80" workbookViewId="0"/>
  </sheetViews>
  <sheetFormatPr defaultColWidth="14.44140625" defaultRowHeight="15" customHeight="1"/>
  <cols>
    <col min="1" max="32" width="9" style="4" customWidth="1"/>
    <col min="33" max="16384" width="14.44140625" style="4"/>
  </cols>
  <sheetData>
    <row r="1" spans="1:32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</row>
    <row r="2" spans="1:32" ht="11.25" customHeight="1">
      <c r="A2" s="17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2"/>
      <c r="T2" s="3"/>
      <c r="U2" s="3"/>
      <c r="V2" s="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1.25" customHeight="1">
      <c r="A3" s="6"/>
      <c r="B3" s="34" t="s">
        <v>14</v>
      </c>
      <c r="C3" s="35"/>
      <c r="D3" s="36"/>
      <c r="E3" s="37" t="s">
        <v>8</v>
      </c>
      <c r="F3" s="38"/>
      <c r="G3" s="39"/>
      <c r="H3" s="45" t="s">
        <v>18</v>
      </c>
      <c r="I3" s="41"/>
      <c r="J3" s="42"/>
      <c r="K3" s="46" t="s">
        <v>19</v>
      </c>
      <c r="L3" s="32"/>
      <c r="M3" s="25"/>
      <c r="N3" s="6"/>
      <c r="O3" s="6"/>
      <c r="P3" s="6"/>
      <c r="Q3" s="7" t="s">
        <v>4</v>
      </c>
      <c r="R3" s="8" t="s">
        <v>0</v>
      </c>
      <c r="S3" s="2"/>
      <c r="T3" s="3"/>
      <c r="U3" s="3"/>
      <c r="V3" s="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1.25" customHeight="1">
      <c r="A4" s="9" t="s">
        <v>5</v>
      </c>
      <c r="B4" s="7" t="s">
        <v>1</v>
      </c>
      <c r="C4" s="7" t="s">
        <v>2</v>
      </c>
      <c r="D4" s="7" t="s">
        <v>3</v>
      </c>
      <c r="E4" s="7" t="s">
        <v>1</v>
      </c>
      <c r="F4" s="7" t="s">
        <v>2</v>
      </c>
      <c r="G4" s="7" t="s">
        <v>3</v>
      </c>
      <c r="H4" s="7" t="s">
        <v>1</v>
      </c>
      <c r="I4" s="7" t="s">
        <v>2</v>
      </c>
      <c r="J4" s="7" t="s">
        <v>3</v>
      </c>
      <c r="K4" s="7" t="s">
        <v>1</v>
      </c>
      <c r="L4" s="7" t="s">
        <v>2</v>
      </c>
      <c r="M4" s="7" t="s">
        <v>3</v>
      </c>
      <c r="N4" s="6"/>
      <c r="O4" s="33" t="s">
        <v>14</v>
      </c>
      <c r="P4" s="27"/>
      <c r="Q4" s="7">
        <f>AVERAGE(D5:D14)</f>
        <v>0.23958333333333331</v>
      </c>
      <c r="R4" s="7">
        <f>STDEV(D5:D14)/SQRT(6)</f>
        <v>6.5697527529251745E-2</v>
      </c>
      <c r="S4" s="2"/>
      <c r="T4" s="3"/>
      <c r="U4" s="3"/>
      <c r="V4" s="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1.25" customHeight="1">
      <c r="A5" s="7">
        <v>1</v>
      </c>
      <c r="B5" s="7">
        <v>11</v>
      </c>
      <c r="C5" s="7">
        <v>24</v>
      </c>
      <c r="D5" s="7">
        <f t="shared" ref="D5:D8" si="0">B5/C5</f>
        <v>0.45833333333333331</v>
      </c>
      <c r="E5" s="7">
        <v>9</v>
      </c>
      <c r="F5" s="7">
        <v>24</v>
      </c>
      <c r="G5" s="7">
        <f t="shared" ref="G5:G8" si="1">E5/F5</f>
        <v>0.375</v>
      </c>
      <c r="H5" s="18">
        <v>4</v>
      </c>
      <c r="I5" s="7">
        <v>24</v>
      </c>
      <c r="J5" s="7">
        <f t="shared" ref="J5:J8" si="2">H5/I5</f>
        <v>0.16666666666666666</v>
      </c>
      <c r="K5" s="18">
        <v>3</v>
      </c>
      <c r="L5" s="7">
        <v>24</v>
      </c>
      <c r="M5" s="7">
        <f t="shared" ref="M5:M8" si="3">K5/L5</f>
        <v>0.125</v>
      </c>
      <c r="N5" s="6"/>
      <c r="O5" s="44" t="s">
        <v>7</v>
      </c>
      <c r="P5" s="29"/>
      <c r="Q5" s="7">
        <f>AVERAGE(G5:G14)</f>
        <v>0.21875</v>
      </c>
      <c r="R5" s="7">
        <f>STDEV(D6:D15)/SQRT(6)</f>
        <v>3.4020690871988599E-2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1.25" customHeight="1">
      <c r="A6" s="7">
        <v>2</v>
      </c>
      <c r="B6" s="7">
        <v>2</v>
      </c>
      <c r="C6" s="7">
        <v>24</v>
      </c>
      <c r="D6" s="7">
        <f t="shared" si="0"/>
        <v>8.3333333333333329E-2</v>
      </c>
      <c r="E6" s="7">
        <v>2</v>
      </c>
      <c r="F6" s="7">
        <v>24</v>
      </c>
      <c r="G6" s="7">
        <f t="shared" si="1"/>
        <v>8.3333333333333329E-2</v>
      </c>
      <c r="H6" s="18">
        <v>10</v>
      </c>
      <c r="I6" s="7">
        <v>24</v>
      </c>
      <c r="J6" s="7">
        <f t="shared" si="2"/>
        <v>0.41666666666666669</v>
      </c>
      <c r="K6" s="18">
        <v>12</v>
      </c>
      <c r="L6" s="7">
        <v>24</v>
      </c>
      <c r="M6" s="7">
        <f t="shared" si="3"/>
        <v>0.5</v>
      </c>
      <c r="N6" s="6"/>
      <c r="O6" s="30" t="s">
        <v>18</v>
      </c>
      <c r="P6" s="30"/>
      <c r="Q6" s="7">
        <f>AVERAGE(J5:J14)</f>
        <v>0.21875000000000003</v>
      </c>
      <c r="R6" s="7">
        <f>STDEV(J5:J14)/SQRT(6)</f>
        <v>5.7893513890739795E-2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1.25" customHeight="1">
      <c r="A7" s="7">
        <v>3</v>
      </c>
      <c r="B7" s="7">
        <v>6</v>
      </c>
      <c r="C7" s="7">
        <v>24</v>
      </c>
      <c r="D7" s="7">
        <f t="shared" si="0"/>
        <v>0.25</v>
      </c>
      <c r="E7" s="7">
        <v>8</v>
      </c>
      <c r="F7" s="7">
        <v>24</v>
      </c>
      <c r="G7" s="7">
        <f t="shared" si="1"/>
        <v>0.33333333333333331</v>
      </c>
      <c r="H7" s="18">
        <v>5</v>
      </c>
      <c r="I7" s="7">
        <v>24</v>
      </c>
      <c r="J7" s="7">
        <f t="shared" si="2"/>
        <v>0.20833333333333334</v>
      </c>
      <c r="K7" s="18">
        <v>6</v>
      </c>
      <c r="L7" s="7">
        <v>24</v>
      </c>
      <c r="M7" s="7">
        <f t="shared" si="3"/>
        <v>0.25</v>
      </c>
      <c r="N7" s="6"/>
      <c r="O7" s="43" t="s">
        <v>19</v>
      </c>
      <c r="P7" s="43"/>
      <c r="Q7" s="7">
        <f>AVERAGE(M5:M14)</f>
        <v>0.22916666666666666</v>
      </c>
      <c r="R7" s="7">
        <f>STDEV(M5:M14)/SQRT(6)</f>
        <v>8.1578750864380087E-2</v>
      </c>
      <c r="S7" s="2"/>
      <c r="T7" s="2"/>
      <c r="U7" s="5" t="s">
        <v>4</v>
      </c>
      <c r="V7" s="2"/>
      <c r="W7" s="2"/>
      <c r="X7" s="2"/>
      <c r="Y7" s="2"/>
      <c r="Z7" s="1" t="s">
        <v>0</v>
      </c>
      <c r="AA7" s="2"/>
      <c r="AB7" s="2"/>
      <c r="AC7" s="2"/>
      <c r="AD7" s="2"/>
      <c r="AE7" s="2"/>
      <c r="AF7" s="2"/>
    </row>
    <row r="8" spans="1:32" ht="11.25" customHeight="1">
      <c r="A8" s="7">
        <v>4</v>
      </c>
      <c r="B8" s="7">
        <v>4</v>
      </c>
      <c r="C8" s="7">
        <v>24</v>
      </c>
      <c r="D8" s="7">
        <f t="shared" si="0"/>
        <v>0.16666666666666666</v>
      </c>
      <c r="E8" s="7">
        <v>2</v>
      </c>
      <c r="F8" s="7">
        <v>24</v>
      </c>
      <c r="G8" s="7">
        <f t="shared" si="1"/>
        <v>8.3333333333333329E-2</v>
      </c>
      <c r="H8" s="18">
        <v>2</v>
      </c>
      <c r="I8" s="7">
        <v>24</v>
      </c>
      <c r="J8" s="7">
        <f t="shared" si="2"/>
        <v>8.3333333333333329E-2</v>
      </c>
      <c r="K8" s="18">
        <v>1</v>
      </c>
      <c r="L8" s="7">
        <v>24</v>
      </c>
      <c r="M8" s="7">
        <f t="shared" si="3"/>
        <v>4.1666666666666664E-2</v>
      </c>
      <c r="N8" s="6"/>
      <c r="O8" s="6"/>
      <c r="P8" s="6"/>
      <c r="Q8" s="6"/>
      <c r="R8" s="6"/>
      <c r="S8" s="2"/>
      <c r="T8" s="1"/>
      <c r="U8" s="1">
        <v>10</v>
      </c>
      <c r="V8" s="1">
        <v>50</v>
      </c>
      <c r="W8" s="1">
        <v>100</v>
      </c>
      <c r="X8" s="16">
        <v>500</v>
      </c>
      <c r="Y8" s="1"/>
      <c r="Z8" s="1">
        <v>10</v>
      </c>
      <c r="AA8" s="1">
        <v>50</v>
      </c>
      <c r="AB8" s="1">
        <v>100</v>
      </c>
      <c r="AC8" s="16">
        <v>500</v>
      </c>
      <c r="AD8" s="2"/>
      <c r="AE8" s="2"/>
      <c r="AF8" s="2"/>
    </row>
    <row r="9" spans="1:32" ht="11.25" customHeight="1">
      <c r="A9" s="7">
        <v>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/>
      <c r="O9" s="6"/>
      <c r="P9" s="6"/>
      <c r="Q9" s="6"/>
      <c r="R9" s="6"/>
      <c r="S9" s="2"/>
      <c r="T9" s="21" t="s">
        <v>20</v>
      </c>
      <c r="U9" s="2">
        <f t="shared" ref="U9:U10" si="4">Q4</f>
        <v>0.23958333333333331</v>
      </c>
      <c r="V9" s="2">
        <f t="shared" ref="V9:V12" si="5">Q18</f>
        <v>0.51041666666666674</v>
      </c>
      <c r="W9" s="2">
        <f t="shared" ref="W9:W12" si="6">Q32</f>
        <v>0.64583333333333326</v>
      </c>
      <c r="X9" s="12">
        <f t="shared" ref="X9:X12" si="7">Q46</f>
        <v>0</v>
      </c>
      <c r="Y9" s="2"/>
      <c r="Z9" s="2">
        <f t="shared" ref="Z9:Z12" si="8">R4</f>
        <v>6.5697527529251745E-2</v>
      </c>
      <c r="AA9" s="2">
        <f t="shared" ref="AA9:AA12" si="9">R18</f>
        <v>4.6842838761222312E-2</v>
      </c>
      <c r="AB9" s="2">
        <f t="shared" ref="AB9:AB12" si="10">R32</f>
        <v>4.2808430576173624E-2</v>
      </c>
      <c r="AC9" s="12">
        <f t="shared" ref="AC9" si="11">R46</f>
        <v>0</v>
      </c>
      <c r="AD9" s="2"/>
      <c r="AE9" s="2"/>
      <c r="AF9" s="2"/>
    </row>
    <row r="10" spans="1:32" ht="11.25" customHeight="1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6"/>
      <c r="P10" s="6"/>
      <c r="Q10" s="6"/>
      <c r="R10" s="6"/>
      <c r="S10" s="2"/>
      <c r="T10" s="22" t="s">
        <v>21</v>
      </c>
      <c r="U10" s="2">
        <f t="shared" si="4"/>
        <v>0.21875</v>
      </c>
      <c r="V10" s="2">
        <f t="shared" si="5"/>
        <v>0.48958333333333331</v>
      </c>
      <c r="W10" s="2">
        <f t="shared" si="6"/>
        <v>0.61458333333333326</v>
      </c>
      <c r="X10" s="12">
        <f t="shared" si="7"/>
        <v>0</v>
      </c>
      <c r="Y10" s="2"/>
      <c r="Z10" s="2">
        <f t="shared" si="8"/>
        <v>3.4020690871988599E-2</v>
      </c>
      <c r="AA10" s="2">
        <f t="shared" si="9"/>
        <v>5.1967463705193749E-2</v>
      </c>
      <c r="AB10" s="2">
        <f t="shared" si="10"/>
        <v>3.9283710065919394E-2</v>
      </c>
      <c r="AC10" s="12">
        <f>R47</f>
        <v>0</v>
      </c>
      <c r="AD10" s="2"/>
      <c r="AE10" s="2"/>
      <c r="AF10" s="2"/>
    </row>
    <row r="11" spans="1:32" ht="11.25" customHeight="1">
      <c r="A11" s="7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  <c r="O11" s="6"/>
      <c r="P11" s="6"/>
      <c r="Q11" s="6"/>
      <c r="R11" s="6"/>
      <c r="S11" s="2"/>
      <c r="T11" s="20" t="s">
        <v>22</v>
      </c>
      <c r="U11" s="2">
        <f>Q6</f>
        <v>0.21875000000000003</v>
      </c>
      <c r="V11" s="2">
        <f t="shared" si="5"/>
        <v>0.52083333333333326</v>
      </c>
      <c r="W11" s="2">
        <f t="shared" si="6"/>
        <v>0.63541666666666663</v>
      </c>
      <c r="X11" s="12">
        <f t="shared" si="7"/>
        <v>0</v>
      </c>
      <c r="Y11" s="2"/>
      <c r="Z11" s="2">
        <f t="shared" si="8"/>
        <v>5.7893513890739795E-2</v>
      </c>
      <c r="AA11" s="2">
        <f t="shared" si="9"/>
        <v>7.4146376750217499E-2</v>
      </c>
      <c r="AB11" s="2">
        <f t="shared" si="10"/>
        <v>6.4212645864260273E-2</v>
      </c>
      <c r="AC11" s="12">
        <f t="shared" ref="AC11:AC12" si="12">R48</f>
        <v>0</v>
      </c>
      <c r="AD11" s="2"/>
      <c r="AE11" s="2"/>
      <c r="AF11" s="2"/>
    </row>
    <row r="12" spans="1:32" ht="11.25" customHeight="1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  <c r="O12" s="6"/>
      <c r="P12" s="6"/>
      <c r="Q12" s="6"/>
      <c r="R12" s="6"/>
      <c r="S12" s="2"/>
      <c r="T12" s="23" t="s">
        <v>23</v>
      </c>
      <c r="U12" s="2">
        <f>Q7</f>
        <v>0.22916666666666666</v>
      </c>
      <c r="V12" s="2">
        <f t="shared" si="5"/>
        <v>0.5</v>
      </c>
      <c r="W12" s="2">
        <f t="shared" si="6"/>
        <v>0.59375</v>
      </c>
      <c r="X12" s="12">
        <f t="shared" si="7"/>
        <v>0</v>
      </c>
      <c r="Y12" s="2"/>
      <c r="Z12" s="2">
        <f t="shared" si="8"/>
        <v>8.1578750864380087E-2</v>
      </c>
      <c r="AA12" s="2">
        <f t="shared" si="9"/>
        <v>5.007710104811107E-2</v>
      </c>
      <c r="AB12" s="2">
        <f t="shared" si="10"/>
        <v>5.0794232077527E-2</v>
      </c>
      <c r="AC12" s="12">
        <f t="shared" si="12"/>
        <v>0</v>
      </c>
      <c r="AD12" s="2"/>
      <c r="AE12" s="2"/>
      <c r="AF12" s="2"/>
    </row>
    <row r="13" spans="1:32" ht="11.25" customHeight="1">
      <c r="A13" s="7">
        <v>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6"/>
      <c r="P13" s="6"/>
      <c r="Q13" s="6"/>
      <c r="R13" s="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1.25" customHeight="1">
      <c r="A14" s="7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  <c r="O14" s="6"/>
      <c r="P14" s="6"/>
      <c r="Q14" s="6"/>
      <c r="R14" s="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1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1.25" customHeight="1">
      <c r="A16" s="5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1.25" customHeight="1">
      <c r="A17" s="6"/>
      <c r="B17" s="34" t="s">
        <v>15</v>
      </c>
      <c r="C17" s="35"/>
      <c r="D17" s="36"/>
      <c r="E17" s="37" t="s">
        <v>9</v>
      </c>
      <c r="F17" s="38"/>
      <c r="G17" s="39"/>
      <c r="H17" s="40" t="s">
        <v>15</v>
      </c>
      <c r="I17" s="41"/>
      <c r="J17" s="42"/>
      <c r="K17" s="24" t="s">
        <v>9</v>
      </c>
      <c r="L17" s="32"/>
      <c r="M17" s="25"/>
      <c r="N17" s="6"/>
      <c r="O17" s="6"/>
      <c r="P17" s="6"/>
      <c r="Q17" s="7" t="s">
        <v>4</v>
      </c>
      <c r="R17" s="8" t="s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1.25" customHeight="1">
      <c r="A18" s="9" t="s">
        <v>5</v>
      </c>
      <c r="B18" s="7" t="s">
        <v>1</v>
      </c>
      <c r="C18" s="7" t="s">
        <v>2</v>
      </c>
      <c r="D18" s="7" t="s">
        <v>3</v>
      </c>
      <c r="E18" s="7" t="s">
        <v>1</v>
      </c>
      <c r="F18" s="7" t="s">
        <v>2</v>
      </c>
      <c r="G18" s="7" t="s">
        <v>3</v>
      </c>
      <c r="H18" s="7" t="s">
        <v>1</v>
      </c>
      <c r="I18" s="7" t="s">
        <v>2</v>
      </c>
      <c r="J18" s="7" t="s">
        <v>3</v>
      </c>
      <c r="K18" s="7" t="s">
        <v>1</v>
      </c>
      <c r="L18" s="7" t="s">
        <v>2</v>
      </c>
      <c r="M18" s="7" t="s">
        <v>3</v>
      </c>
      <c r="N18" s="6"/>
      <c r="O18" s="33" t="s">
        <v>14</v>
      </c>
      <c r="P18" s="27"/>
      <c r="Q18" s="7">
        <f>AVERAGE(D19:D28)</f>
        <v>0.51041666666666674</v>
      </c>
      <c r="R18" s="7">
        <f>STDEV(D19:D28)/SQRT(6)</f>
        <v>4.6842838761222312E-2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1.25" customHeight="1">
      <c r="A19" s="7">
        <v>1</v>
      </c>
      <c r="B19" s="7">
        <v>14</v>
      </c>
      <c r="C19" s="7">
        <v>24</v>
      </c>
      <c r="D19" s="7">
        <f t="shared" ref="D19:D22" si="13">B19/C19</f>
        <v>0.58333333333333337</v>
      </c>
      <c r="E19" s="19">
        <v>15</v>
      </c>
      <c r="F19" s="7">
        <v>24</v>
      </c>
      <c r="G19" s="7">
        <f t="shared" ref="G19:G22" si="14">E19/F19</f>
        <v>0.625</v>
      </c>
      <c r="H19" s="19">
        <v>11</v>
      </c>
      <c r="I19" s="7">
        <v>24</v>
      </c>
      <c r="J19" s="7">
        <f t="shared" ref="J19:J22" si="15">H19/I19</f>
        <v>0.45833333333333331</v>
      </c>
      <c r="K19" s="19">
        <v>10</v>
      </c>
      <c r="L19" s="7">
        <v>24</v>
      </c>
      <c r="M19" s="7">
        <f t="shared" ref="M19:M22" si="16">K19/L19</f>
        <v>0.41666666666666669</v>
      </c>
      <c r="N19" s="6"/>
      <c r="O19" s="28" t="s">
        <v>7</v>
      </c>
      <c r="P19" s="29"/>
      <c r="Q19" s="7">
        <f>AVERAGE(G19:G28)</f>
        <v>0.48958333333333331</v>
      </c>
      <c r="R19" s="7">
        <f>STDEV(D20:D29)/SQRT(6)</f>
        <v>5.1967463705193749E-2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1.25" customHeight="1">
      <c r="A20" s="7">
        <v>2</v>
      </c>
      <c r="B20" s="7">
        <v>15</v>
      </c>
      <c r="C20" s="7">
        <v>24</v>
      </c>
      <c r="D20" s="7">
        <f t="shared" si="13"/>
        <v>0.625</v>
      </c>
      <c r="E20" s="19">
        <v>12</v>
      </c>
      <c r="F20" s="7">
        <v>24</v>
      </c>
      <c r="G20" s="7">
        <f t="shared" si="14"/>
        <v>0.5</v>
      </c>
      <c r="H20" s="19">
        <v>16</v>
      </c>
      <c r="I20" s="7">
        <v>24</v>
      </c>
      <c r="J20" s="7">
        <f t="shared" si="15"/>
        <v>0.66666666666666663</v>
      </c>
      <c r="K20" s="19">
        <v>15</v>
      </c>
      <c r="L20" s="7">
        <v>24</v>
      </c>
      <c r="M20" s="7">
        <f t="shared" si="16"/>
        <v>0.625</v>
      </c>
      <c r="N20" s="6"/>
      <c r="O20" s="30" t="s">
        <v>18</v>
      </c>
      <c r="P20" s="30"/>
      <c r="Q20" s="7">
        <f>AVERAGE(J19:J28)</f>
        <v>0.52083333333333326</v>
      </c>
      <c r="R20" s="7">
        <f>STDEV(J19:J28)/SQRT(6)</f>
        <v>7.4146376750217499E-2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1.25" customHeight="1">
      <c r="A21" s="7">
        <v>3</v>
      </c>
      <c r="B21" s="7">
        <v>11</v>
      </c>
      <c r="C21" s="7">
        <v>24</v>
      </c>
      <c r="D21" s="7">
        <f t="shared" si="13"/>
        <v>0.45833333333333331</v>
      </c>
      <c r="E21" s="19">
        <v>12</v>
      </c>
      <c r="F21" s="7">
        <v>24</v>
      </c>
      <c r="G21" s="7">
        <f t="shared" si="14"/>
        <v>0.5</v>
      </c>
      <c r="H21" s="19">
        <v>16</v>
      </c>
      <c r="I21" s="7">
        <v>24</v>
      </c>
      <c r="J21" s="7">
        <f t="shared" si="15"/>
        <v>0.66666666666666663</v>
      </c>
      <c r="K21" s="19">
        <v>14</v>
      </c>
      <c r="L21" s="7">
        <v>24</v>
      </c>
      <c r="M21" s="7">
        <f t="shared" si="16"/>
        <v>0.58333333333333337</v>
      </c>
      <c r="N21" s="6"/>
      <c r="O21" s="31" t="s">
        <v>19</v>
      </c>
      <c r="P21" s="31"/>
      <c r="Q21" s="7">
        <f>AVERAGE(M19:M28)</f>
        <v>0.5</v>
      </c>
      <c r="R21" s="7">
        <f>STDEV(M19:M28)/SQRT(6)</f>
        <v>5.007710104811107E-2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1.25" customHeight="1">
      <c r="A22" s="7">
        <v>4</v>
      </c>
      <c r="B22" s="7">
        <v>9</v>
      </c>
      <c r="C22" s="7">
        <v>24</v>
      </c>
      <c r="D22" s="7">
        <f t="shared" si="13"/>
        <v>0.375</v>
      </c>
      <c r="E22" s="19">
        <v>8</v>
      </c>
      <c r="F22" s="7">
        <v>24</v>
      </c>
      <c r="G22" s="7">
        <f t="shared" si="14"/>
        <v>0.33333333333333331</v>
      </c>
      <c r="H22" s="19">
        <v>7</v>
      </c>
      <c r="I22" s="7">
        <v>24</v>
      </c>
      <c r="J22" s="7">
        <f t="shared" si="15"/>
        <v>0.29166666666666669</v>
      </c>
      <c r="K22" s="19">
        <v>9</v>
      </c>
      <c r="L22" s="7">
        <v>24</v>
      </c>
      <c r="M22" s="7">
        <f t="shared" si="16"/>
        <v>0.375</v>
      </c>
      <c r="N22" s="6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1.2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1.2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1.2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1.2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1.2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1.2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1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1.25" customHeight="1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1.25" customHeight="1">
      <c r="A31" s="6"/>
      <c r="B31" s="34" t="s">
        <v>16</v>
      </c>
      <c r="C31" s="35"/>
      <c r="D31" s="36"/>
      <c r="E31" s="37" t="s">
        <v>10</v>
      </c>
      <c r="F31" s="38"/>
      <c r="G31" s="39"/>
      <c r="H31" s="40" t="s">
        <v>16</v>
      </c>
      <c r="I31" s="41"/>
      <c r="J31" s="42"/>
      <c r="K31" s="24" t="s">
        <v>10</v>
      </c>
      <c r="L31" s="32"/>
      <c r="M31" s="25"/>
      <c r="N31" s="6"/>
      <c r="O31" s="6"/>
      <c r="P31" s="6"/>
      <c r="Q31" s="7" t="s">
        <v>4</v>
      </c>
      <c r="R31" s="8" t="s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1.25" customHeight="1">
      <c r="A32" s="9" t="s">
        <v>5</v>
      </c>
      <c r="B32" s="7" t="s">
        <v>1</v>
      </c>
      <c r="C32" s="7" t="s">
        <v>2</v>
      </c>
      <c r="D32" s="7" t="s">
        <v>3</v>
      </c>
      <c r="E32" s="7" t="s">
        <v>1</v>
      </c>
      <c r="F32" s="7" t="s">
        <v>2</v>
      </c>
      <c r="G32" s="7" t="s">
        <v>3</v>
      </c>
      <c r="H32" s="7" t="s">
        <v>1</v>
      </c>
      <c r="I32" s="7" t="s">
        <v>2</v>
      </c>
      <c r="J32" s="7" t="s">
        <v>3</v>
      </c>
      <c r="K32" s="7" t="s">
        <v>1</v>
      </c>
      <c r="L32" s="7" t="s">
        <v>2</v>
      </c>
      <c r="M32" s="7" t="s">
        <v>3</v>
      </c>
      <c r="N32" s="6"/>
      <c r="O32" s="26" t="s">
        <v>14</v>
      </c>
      <c r="P32" s="27"/>
      <c r="Q32" s="7">
        <f>AVERAGE(D33:D42)</f>
        <v>0.64583333333333326</v>
      </c>
      <c r="R32" s="7">
        <f>STDEV(D33:D42)/SQRT(6)</f>
        <v>4.2808430576173624E-2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1.25" customHeight="1">
      <c r="A33" s="7">
        <v>1</v>
      </c>
      <c r="B33" s="47">
        <v>18</v>
      </c>
      <c r="C33" s="7">
        <v>24</v>
      </c>
      <c r="D33" s="7">
        <f t="shared" ref="D33:D36" si="17">B33/C33</f>
        <v>0.75</v>
      </c>
      <c r="E33" s="48">
        <v>18</v>
      </c>
      <c r="F33" s="7">
        <v>24</v>
      </c>
      <c r="G33" s="7">
        <f t="shared" ref="G33:G36" si="18">E33/F33</f>
        <v>0.75</v>
      </c>
      <c r="H33" s="19">
        <v>12</v>
      </c>
      <c r="I33" s="7">
        <v>24</v>
      </c>
      <c r="J33" s="7">
        <f t="shared" ref="J33:J36" si="19">H33/I33</f>
        <v>0.5</v>
      </c>
      <c r="K33" s="19">
        <v>11</v>
      </c>
      <c r="L33" s="7">
        <v>24</v>
      </c>
      <c r="M33" s="7">
        <f t="shared" ref="M33:M36" si="20">K33/L33</f>
        <v>0.45833333333333331</v>
      </c>
      <c r="N33" s="6"/>
      <c r="O33" s="28" t="s">
        <v>7</v>
      </c>
      <c r="P33" s="29"/>
      <c r="Q33" s="7">
        <f>AVERAGE(G33:G42)</f>
        <v>0.61458333333333326</v>
      </c>
      <c r="R33" s="7">
        <f>STDEV(D34:D43)/SQRT(6)</f>
        <v>3.9283710065919394E-2</v>
      </c>
      <c r="S33" s="2"/>
      <c r="T33" s="2"/>
      <c r="U33" s="2" t="s">
        <v>17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1.25" customHeight="1">
      <c r="A34" s="7">
        <v>2</v>
      </c>
      <c r="B34" s="47">
        <v>16</v>
      </c>
      <c r="C34" s="7">
        <v>24</v>
      </c>
      <c r="D34" s="7">
        <f t="shared" si="17"/>
        <v>0.66666666666666663</v>
      </c>
      <c r="E34" s="48">
        <v>16</v>
      </c>
      <c r="F34" s="7">
        <v>24</v>
      </c>
      <c r="G34" s="7">
        <f t="shared" si="18"/>
        <v>0.66666666666666663</v>
      </c>
      <c r="H34" s="19">
        <v>18</v>
      </c>
      <c r="I34" s="7">
        <v>24</v>
      </c>
      <c r="J34" s="7">
        <f t="shared" si="19"/>
        <v>0.75</v>
      </c>
      <c r="K34" s="19">
        <v>15</v>
      </c>
      <c r="L34" s="7">
        <v>24</v>
      </c>
      <c r="M34" s="7">
        <f t="shared" si="20"/>
        <v>0.625</v>
      </c>
      <c r="N34" s="6"/>
      <c r="O34" s="30" t="s">
        <v>18</v>
      </c>
      <c r="P34" s="30"/>
      <c r="Q34" s="7">
        <f>AVERAGE(J33:J42)</f>
        <v>0.63541666666666663</v>
      </c>
      <c r="R34" s="7">
        <f>STDEV(J33:J42)/SQRT(6)</f>
        <v>6.4212645864260273E-2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1.25" customHeight="1">
      <c r="A35" s="7">
        <v>3</v>
      </c>
      <c r="B35" s="47">
        <v>16</v>
      </c>
      <c r="C35" s="7">
        <v>24</v>
      </c>
      <c r="D35" s="7">
        <f t="shared" si="17"/>
        <v>0.66666666666666663</v>
      </c>
      <c r="E35" s="48">
        <v>15</v>
      </c>
      <c r="F35" s="7">
        <v>24</v>
      </c>
      <c r="G35" s="7">
        <f t="shared" si="18"/>
        <v>0.625</v>
      </c>
      <c r="H35" s="19">
        <v>19</v>
      </c>
      <c r="I35" s="7">
        <v>24</v>
      </c>
      <c r="J35" s="7">
        <f t="shared" si="19"/>
        <v>0.79166666666666663</v>
      </c>
      <c r="K35" s="19">
        <v>18</v>
      </c>
      <c r="L35" s="7">
        <v>24</v>
      </c>
      <c r="M35" s="7">
        <f t="shared" si="20"/>
        <v>0.75</v>
      </c>
      <c r="N35" s="6"/>
      <c r="O35" s="31" t="s">
        <v>19</v>
      </c>
      <c r="P35" s="31"/>
      <c r="Q35" s="7">
        <f>AVERAGE(M33:M42)</f>
        <v>0.59375</v>
      </c>
      <c r="R35" s="7">
        <f>STDEV(M33:M42)/SQRT(6)</f>
        <v>5.0794232077527E-2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1.25" customHeight="1">
      <c r="A36" s="7">
        <v>4</v>
      </c>
      <c r="B36" s="47">
        <v>12</v>
      </c>
      <c r="C36" s="7">
        <v>24</v>
      </c>
      <c r="D36" s="7">
        <f t="shared" si="17"/>
        <v>0.5</v>
      </c>
      <c r="E36" s="48">
        <v>10</v>
      </c>
      <c r="F36" s="7">
        <v>24</v>
      </c>
      <c r="G36" s="7">
        <f t="shared" si="18"/>
        <v>0.41666666666666669</v>
      </c>
      <c r="H36" s="19">
        <v>12</v>
      </c>
      <c r="I36" s="7">
        <v>24</v>
      </c>
      <c r="J36" s="7">
        <f t="shared" si="19"/>
        <v>0.5</v>
      </c>
      <c r="K36" s="19">
        <v>13</v>
      </c>
      <c r="L36" s="7">
        <v>24</v>
      </c>
      <c r="M36" s="7">
        <f t="shared" si="20"/>
        <v>0.54166666666666663</v>
      </c>
      <c r="N36" s="6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1.25" customHeight="1">
      <c r="A37" s="7">
        <v>5</v>
      </c>
      <c r="B37" s="7"/>
      <c r="C37" s="7"/>
      <c r="D37" s="7"/>
      <c r="E37" s="47"/>
      <c r="F37" s="7"/>
      <c r="G37" s="7"/>
      <c r="H37" s="7"/>
      <c r="I37" s="7"/>
      <c r="J37" s="7"/>
      <c r="K37" s="7"/>
      <c r="L37" s="7"/>
      <c r="M37" s="7"/>
      <c r="N37" s="6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1.25" customHeight="1">
      <c r="A38" s="7">
        <v>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1.25" customHeight="1">
      <c r="A39" s="7">
        <v>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6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1.25" customHeight="1">
      <c r="A40" s="7">
        <v>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1.25" customHeight="1">
      <c r="A41" s="7">
        <v>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1.25" customHeight="1">
      <c r="A42" s="7">
        <v>10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6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1.25" customHeight="1">
      <c r="A44" s="10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2"/>
      <c r="P44" s="12"/>
      <c r="Q44" s="12"/>
      <c r="R44" s="1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1.25" customHeight="1">
      <c r="A45" s="11"/>
      <c r="B45" s="24" t="s">
        <v>6</v>
      </c>
      <c r="C45" s="32"/>
      <c r="D45" s="25"/>
      <c r="E45" s="24" t="s">
        <v>11</v>
      </c>
      <c r="F45" s="32"/>
      <c r="G45" s="25"/>
      <c r="H45" s="24" t="s">
        <v>6</v>
      </c>
      <c r="I45" s="32"/>
      <c r="J45" s="25"/>
      <c r="K45" s="24" t="s">
        <v>11</v>
      </c>
      <c r="L45" s="32"/>
      <c r="M45" s="25"/>
      <c r="N45" s="12"/>
      <c r="O45" s="11"/>
      <c r="P45" s="11"/>
      <c r="Q45" s="13" t="s">
        <v>4</v>
      </c>
      <c r="R45" s="14" t="s">
        <v>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1.25" customHeight="1">
      <c r="A46" s="15" t="s">
        <v>5</v>
      </c>
      <c r="B46" s="13" t="s">
        <v>1</v>
      </c>
      <c r="C46" s="13" t="s">
        <v>2</v>
      </c>
      <c r="D46" s="13" t="s">
        <v>3</v>
      </c>
      <c r="E46" s="13" t="s">
        <v>1</v>
      </c>
      <c r="F46" s="13" t="s">
        <v>2</v>
      </c>
      <c r="G46" s="13" t="s">
        <v>3</v>
      </c>
      <c r="H46" s="13" t="s">
        <v>1</v>
      </c>
      <c r="I46" s="13" t="s">
        <v>2</v>
      </c>
      <c r="J46" s="13" t="s">
        <v>3</v>
      </c>
      <c r="K46" s="13" t="s">
        <v>1</v>
      </c>
      <c r="L46" s="13" t="s">
        <v>2</v>
      </c>
      <c r="M46" s="13" t="s">
        <v>3</v>
      </c>
      <c r="N46" s="12"/>
      <c r="O46" s="24" t="s">
        <v>6</v>
      </c>
      <c r="P46" s="25"/>
      <c r="Q46" s="13">
        <f>AVERAGE(D47:D56)</f>
        <v>0</v>
      </c>
      <c r="R46" s="13">
        <f>STDEV(D47:D56)/SQRT(6)</f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1.25" customHeight="1">
      <c r="A47" s="13">
        <v>1</v>
      </c>
      <c r="B47" s="13"/>
      <c r="C47" s="13">
        <v>24</v>
      </c>
      <c r="D47" s="13">
        <f t="shared" ref="D47:D52" si="21">B47/C47</f>
        <v>0</v>
      </c>
      <c r="E47" s="13"/>
      <c r="F47" s="13">
        <v>24</v>
      </c>
      <c r="G47" s="13">
        <f t="shared" ref="G47:G52" si="22">E47/F47</f>
        <v>0</v>
      </c>
      <c r="H47" s="13"/>
      <c r="I47" s="13">
        <v>24</v>
      </c>
      <c r="J47" s="13">
        <f t="shared" ref="J47:J52" si="23">H47/I47</f>
        <v>0</v>
      </c>
      <c r="K47" s="13"/>
      <c r="L47" s="13">
        <v>24</v>
      </c>
      <c r="M47" s="13">
        <f t="shared" ref="M47:M52" si="24">K47/L47</f>
        <v>0</v>
      </c>
      <c r="N47" s="12"/>
      <c r="O47" s="24" t="s">
        <v>12</v>
      </c>
      <c r="P47" s="25"/>
      <c r="Q47" s="13">
        <f>AVERAGE(G47:G56)</f>
        <v>0</v>
      </c>
      <c r="R47" s="13">
        <f>STDEV(D48:D57)/SQRT(6)</f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1.25" customHeight="1">
      <c r="A48" s="13">
        <v>2</v>
      </c>
      <c r="B48" s="13"/>
      <c r="C48" s="13">
        <v>24</v>
      </c>
      <c r="D48" s="13">
        <f t="shared" si="21"/>
        <v>0</v>
      </c>
      <c r="E48" s="13"/>
      <c r="F48" s="13">
        <v>24</v>
      </c>
      <c r="G48" s="13">
        <f t="shared" si="22"/>
        <v>0</v>
      </c>
      <c r="H48" s="13"/>
      <c r="I48" s="13">
        <v>24</v>
      </c>
      <c r="J48" s="13">
        <f t="shared" si="23"/>
        <v>0</v>
      </c>
      <c r="K48" s="13"/>
      <c r="L48" s="13">
        <v>24</v>
      </c>
      <c r="M48" s="13">
        <f t="shared" si="24"/>
        <v>0</v>
      </c>
      <c r="N48" s="12"/>
      <c r="O48" s="12"/>
      <c r="P48" s="12"/>
      <c r="Q48" s="13">
        <f>AVERAGE(J47:J56)</f>
        <v>0</v>
      </c>
      <c r="R48" s="13">
        <f>STDEV(J47:J56)/SQRT(6)</f>
        <v>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1.25" customHeight="1">
      <c r="A49" s="13">
        <v>3</v>
      </c>
      <c r="B49" s="13"/>
      <c r="C49" s="13">
        <v>24</v>
      </c>
      <c r="D49" s="13">
        <f t="shared" si="21"/>
        <v>0</v>
      </c>
      <c r="E49" s="13"/>
      <c r="F49" s="13">
        <v>24</v>
      </c>
      <c r="G49" s="13">
        <f t="shared" si="22"/>
        <v>0</v>
      </c>
      <c r="H49" s="13"/>
      <c r="I49" s="13">
        <v>24</v>
      </c>
      <c r="J49" s="13">
        <f t="shared" si="23"/>
        <v>0</v>
      </c>
      <c r="K49" s="13"/>
      <c r="L49" s="13">
        <v>24</v>
      </c>
      <c r="M49" s="13">
        <f t="shared" si="24"/>
        <v>0</v>
      </c>
      <c r="N49" s="12"/>
      <c r="O49" s="11"/>
      <c r="P49" s="12"/>
      <c r="Q49" s="13">
        <f>AVERAGE(M47:M56)</f>
        <v>0</v>
      </c>
      <c r="R49" s="13">
        <f>STDEV(M47:M56)/SQRT(6)</f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1.25" customHeight="1">
      <c r="A50" s="13">
        <v>4</v>
      </c>
      <c r="B50" s="13"/>
      <c r="C50" s="13">
        <v>24</v>
      </c>
      <c r="D50" s="13">
        <f t="shared" si="21"/>
        <v>0</v>
      </c>
      <c r="E50" s="13"/>
      <c r="F50" s="13">
        <v>24</v>
      </c>
      <c r="G50" s="13">
        <f t="shared" si="22"/>
        <v>0</v>
      </c>
      <c r="H50" s="13"/>
      <c r="I50" s="13">
        <v>24</v>
      </c>
      <c r="J50" s="13">
        <f t="shared" si="23"/>
        <v>0</v>
      </c>
      <c r="K50" s="13"/>
      <c r="L50" s="13">
        <v>24</v>
      </c>
      <c r="M50" s="13">
        <f t="shared" si="24"/>
        <v>0</v>
      </c>
      <c r="N50" s="12"/>
      <c r="O50" s="12"/>
      <c r="P50" s="12"/>
      <c r="Q50" s="12"/>
      <c r="R50" s="1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1.25" customHeight="1">
      <c r="A51" s="13">
        <v>5</v>
      </c>
      <c r="B51" s="13"/>
      <c r="C51" s="13">
        <v>24</v>
      </c>
      <c r="D51" s="13">
        <f t="shared" si="21"/>
        <v>0</v>
      </c>
      <c r="E51" s="13"/>
      <c r="F51" s="13">
        <v>24</v>
      </c>
      <c r="G51" s="13">
        <f t="shared" si="22"/>
        <v>0</v>
      </c>
      <c r="H51" s="13"/>
      <c r="I51" s="13">
        <v>24</v>
      </c>
      <c r="J51" s="13">
        <f t="shared" si="23"/>
        <v>0</v>
      </c>
      <c r="K51" s="13"/>
      <c r="L51" s="13">
        <v>24</v>
      </c>
      <c r="M51" s="13">
        <f t="shared" si="24"/>
        <v>0</v>
      </c>
      <c r="N51" s="12"/>
      <c r="O51" s="12"/>
      <c r="P51" s="12"/>
      <c r="Q51" s="12"/>
      <c r="R51" s="1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1.25" customHeight="1">
      <c r="A52" s="13">
        <v>6</v>
      </c>
      <c r="B52" s="13"/>
      <c r="C52" s="13">
        <v>24</v>
      </c>
      <c r="D52" s="13">
        <f t="shared" si="21"/>
        <v>0</v>
      </c>
      <c r="E52" s="13"/>
      <c r="F52" s="13">
        <v>24</v>
      </c>
      <c r="G52" s="13">
        <f t="shared" si="22"/>
        <v>0</v>
      </c>
      <c r="H52" s="13"/>
      <c r="I52" s="13">
        <v>24</v>
      </c>
      <c r="J52" s="13">
        <f t="shared" si="23"/>
        <v>0</v>
      </c>
      <c r="K52" s="13"/>
      <c r="L52" s="13">
        <v>24</v>
      </c>
      <c r="M52" s="13">
        <f t="shared" si="24"/>
        <v>0</v>
      </c>
      <c r="N52" s="12"/>
      <c r="O52" s="12"/>
      <c r="P52" s="12"/>
      <c r="Q52" s="12"/>
      <c r="R52" s="1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1.25" customHeight="1">
      <c r="A53" s="13">
        <v>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12"/>
      <c r="P53" s="12"/>
      <c r="Q53" s="12"/>
      <c r="R53" s="1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1.25" customHeight="1">
      <c r="A54" s="13">
        <v>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2"/>
      <c r="O54" s="12"/>
      <c r="P54" s="12"/>
      <c r="Q54" s="12"/>
      <c r="R54" s="1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1.25" customHeight="1">
      <c r="A55" s="13">
        <v>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12"/>
      <c r="P55" s="12"/>
      <c r="Q55" s="12"/>
      <c r="R55" s="1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1.25" customHeight="1">
      <c r="A56" s="13">
        <v>10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2"/>
      <c r="O56" s="12"/>
      <c r="P56" s="12"/>
      <c r="Q56" s="12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</sheetData>
  <mergeCells count="30">
    <mergeCell ref="O46:P46"/>
    <mergeCell ref="O47:P47"/>
    <mergeCell ref="O32:P32"/>
    <mergeCell ref="O33:P33"/>
    <mergeCell ref="O34:P34"/>
    <mergeCell ref="O35:P35"/>
    <mergeCell ref="B45:D45"/>
    <mergeCell ref="E45:G45"/>
    <mergeCell ref="H45:J45"/>
    <mergeCell ref="K45:M45"/>
    <mergeCell ref="O18:P18"/>
    <mergeCell ref="O19:P19"/>
    <mergeCell ref="O20:P20"/>
    <mergeCell ref="O21:P21"/>
    <mergeCell ref="B31:D31"/>
    <mergeCell ref="E31:G31"/>
    <mergeCell ref="H31:J31"/>
    <mergeCell ref="K31:M31"/>
    <mergeCell ref="O6:P6"/>
    <mergeCell ref="O7:P7"/>
    <mergeCell ref="B17:D17"/>
    <mergeCell ref="E17:G17"/>
    <mergeCell ref="H17:J17"/>
    <mergeCell ref="K17:M17"/>
    <mergeCell ref="B3:D3"/>
    <mergeCell ref="E3:G3"/>
    <mergeCell ref="H3:J3"/>
    <mergeCell ref="K3:M3"/>
    <mergeCell ref="O4:P4"/>
    <mergeCell ref="O5:P5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Kir2.1 (T)</vt:lpstr>
      <vt:lpstr>SS47744 roundup (T)</vt:lpstr>
      <vt:lpstr>SS31345 fdg (T)</vt:lpstr>
      <vt:lpstr>SS31372 sink,sync (T)</vt:lpstr>
      <vt:lpstr>SS48944 FMIn (T)</vt:lpstr>
      <vt:lpstr>SS35420 meteor (T)</vt:lpstr>
      <vt:lpstr>Sheet2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Dilan de Silva</cp:lastModifiedBy>
  <dcterms:created xsi:type="dcterms:W3CDTF">2022-02-16T08:52:50Z</dcterms:created>
  <dcterms:modified xsi:type="dcterms:W3CDTF">2026-01-17T04:37:52Z</dcterms:modified>
</cp:coreProperties>
</file>