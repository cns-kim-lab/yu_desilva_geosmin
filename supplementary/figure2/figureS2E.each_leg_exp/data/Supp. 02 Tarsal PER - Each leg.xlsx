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My Drive\Yonsei\1. Geo_2025 - FLY RESEARCH\1. DATA is data!\RAW DATA - FIGURES\"/>
    </mc:Choice>
  </mc:AlternateContent>
  <xr:revisionPtr revIDLastSave="0" documentId="13_ncr:1_{A1C35F31-11C9-49B5-BF50-C24A3E11FF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d M vs F" sheetId="5" r:id="rId1"/>
    <sheet name="Fed " sheetId="3" r:id="rId2"/>
    <sheet name="Starved" sheetId="4" r:id="rId3"/>
    <sheet name="Sheet1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5" l="1"/>
  <c r="G23" i="5"/>
  <c r="G37" i="5"/>
  <c r="D37" i="5"/>
  <c r="G36" i="5" l="1"/>
  <c r="D36" i="5"/>
  <c r="G35" i="5"/>
  <c r="D35" i="5"/>
  <c r="G34" i="5"/>
  <c r="D34" i="5"/>
  <c r="K32" i="5" s="1"/>
  <c r="Q10" i="5" s="1"/>
  <c r="G33" i="5"/>
  <c r="D33" i="5"/>
  <c r="L32" i="5" s="1"/>
  <c r="U10" i="5" s="1"/>
  <c r="G22" i="5"/>
  <c r="D22" i="5"/>
  <c r="G21" i="5"/>
  <c r="D21" i="5"/>
  <c r="G20" i="5"/>
  <c r="D20" i="5"/>
  <c r="G19" i="5"/>
  <c r="D19" i="5"/>
  <c r="K18" i="5" s="1"/>
  <c r="P10" i="5" s="1"/>
  <c r="G9" i="5"/>
  <c r="D9" i="5"/>
  <c r="G8" i="5"/>
  <c r="D8" i="5"/>
  <c r="G7" i="5"/>
  <c r="D7" i="5"/>
  <c r="G6" i="5"/>
  <c r="D6" i="5"/>
  <c r="G5" i="5"/>
  <c r="D5" i="5"/>
  <c r="K4" i="5" l="1"/>
  <c r="O10" i="5" s="1"/>
  <c r="L4" i="5"/>
  <c r="S10" i="5" s="1"/>
  <c r="L33" i="5"/>
  <c r="U11" i="5" s="1"/>
  <c r="L18" i="5"/>
  <c r="T10" i="5" s="1"/>
  <c r="L19" i="5"/>
  <c r="T11" i="5" s="1"/>
  <c r="S11" i="5"/>
  <c r="L5" i="5"/>
  <c r="K19" i="5"/>
  <c r="P11" i="5" s="1"/>
  <c r="K33" i="5"/>
  <c r="Q11" i="5" s="1"/>
  <c r="K5" i="5"/>
  <c r="O11" i="5" s="1"/>
  <c r="D37" i="3" l="1"/>
  <c r="D23" i="3"/>
  <c r="D5" i="3" l="1"/>
  <c r="D6" i="3"/>
  <c r="D7" i="3"/>
  <c r="D8" i="3"/>
  <c r="D9" i="3"/>
  <c r="D19" i="3"/>
  <c r="D20" i="3"/>
  <c r="D21" i="3"/>
  <c r="D22" i="3"/>
  <c r="D33" i="3"/>
  <c r="D34" i="3"/>
  <c r="D35" i="3"/>
  <c r="D36" i="3"/>
  <c r="D36" i="4"/>
  <c r="D35" i="4"/>
  <c r="D34" i="4"/>
  <c r="D33" i="4"/>
  <c r="I33" i="4" s="1"/>
  <c r="D22" i="4"/>
  <c r="D21" i="4"/>
  <c r="D20" i="4"/>
  <c r="D19" i="4"/>
  <c r="I19" i="4" s="1"/>
  <c r="D8" i="4"/>
  <c r="D7" i="4"/>
  <c r="D6" i="4"/>
  <c r="D5" i="4"/>
  <c r="I5" i="4" s="1"/>
  <c r="I19" i="3" l="1"/>
  <c r="I33" i="3"/>
  <c r="I5" i="3"/>
  <c r="R11" i="3"/>
  <c r="H33" i="4"/>
  <c r="N11" i="4" s="1"/>
  <c r="H19" i="4"/>
  <c r="M11" i="4" s="1"/>
  <c r="P11" i="4"/>
  <c r="Q11" i="4"/>
  <c r="R11" i="4"/>
  <c r="H5" i="4"/>
  <c r="L11" i="4" s="1"/>
  <c r="H33" i="3" l="1"/>
  <c r="N11" i="3" s="1"/>
  <c r="Q11" i="3"/>
  <c r="P11" i="3"/>
  <c r="H5" i="3" l="1"/>
  <c r="L11" i="3" s="1"/>
  <c r="H19" i="3"/>
  <c r="M11" i="3" s="1"/>
</calcChain>
</file>

<file path=xl/sharedStrings.xml><?xml version="1.0" encoding="utf-8"?>
<sst xmlns="http://schemas.openxmlformats.org/spreadsheetml/2006/main" count="122" uniqueCount="20">
  <si>
    <t>PER (average)</t>
    <phoneticPr fontId="1" type="noConversion"/>
  </si>
  <si>
    <t>SEM</t>
  </si>
  <si>
    <t>Plate #</t>
    <phoneticPr fontId="1" type="noConversion"/>
  </si>
  <si>
    <t>Response</t>
  </si>
  <si>
    <t>Total</t>
  </si>
  <si>
    <t>Response Rate</t>
  </si>
  <si>
    <t>PER (average)</t>
  </si>
  <si>
    <t>SEM T</t>
  </si>
  <si>
    <t>SEM L</t>
  </si>
  <si>
    <t>Modified; 100mM Suc. &amp; 10% Geo.</t>
  </si>
  <si>
    <t>foreleg</t>
  </si>
  <si>
    <t>midleg</t>
  </si>
  <si>
    <t>hindleg</t>
  </si>
  <si>
    <t>Fed -  Tarsal PER 100mM Suc.</t>
  </si>
  <si>
    <t>w1118</t>
  </si>
  <si>
    <t>male</t>
  </si>
  <si>
    <t>female</t>
  </si>
  <si>
    <t>100mM Suc.</t>
  </si>
  <si>
    <t>100mM Suc. Male</t>
  </si>
  <si>
    <t>100mM Suc.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</si>
</sst>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/>
    <xf numFmtId="0" fontId="2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'Fed M vs F'!$N$10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19050">
              <a:solidFill>
                <a:schemeClr val="bg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'Fed M vs F'!$S$10:$U$10</c:f>
                <c:numCache>
                  <c:formatCode>General</c:formatCode>
                  <c:ptCount val="3"/>
                  <c:pt idx="0">
                    <c:v>3.0618621784789728E-2</c:v>
                  </c:pt>
                  <c:pt idx="1">
                    <c:v>4.0397332145136071E-2</c:v>
                  </c:pt>
                  <c:pt idx="2">
                    <c:v>3.6324157862838942E-2</c:v>
                  </c:pt>
                </c:numCache>
              </c:numRef>
            </c:plus>
            <c:minus>
              <c:numRef>
                <c:f>'Fed M vs F'!$S$11:$U$11</c:f>
                <c:numCache>
                  <c:formatCode>General</c:formatCode>
                  <c:ptCount val="3"/>
                  <c:pt idx="0">
                    <c:v>7.7504480157242706E-2</c:v>
                  </c:pt>
                  <c:pt idx="1">
                    <c:v>4.8232653761625964E-2</c:v>
                  </c:pt>
                  <c:pt idx="2">
                    <c:v>4.4487826050130491E-2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'Fed M vs F'!$O$9:$Q$9</c:f>
              <c:strCache>
                <c:ptCount val="3"/>
                <c:pt idx="0">
                  <c:v>foreleg</c:v>
                </c:pt>
                <c:pt idx="1">
                  <c:v>midleg</c:v>
                </c:pt>
                <c:pt idx="2">
                  <c:v>hindleg</c:v>
                </c:pt>
              </c:strCache>
            </c:strRef>
          </c:cat>
          <c:val>
            <c:numRef>
              <c:f>'Fed M vs F'!$O$10:$Q$10</c:f>
              <c:numCache>
                <c:formatCode>General</c:formatCode>
                <c:ptCount val="3"/>
                <c:pt idx="0">
                  <c:v>0.6166666666666667</c:v>
                </c:pt>
                <c:pt idx="1">
                  <c:v>0.34166666666666667</c:v>
                </c:pt>
                <c:pt idx="2">
                  <c:v>0.14166666666666666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C-417D-AB1C-1164069ACD9C}"/>
            </c:ext>
          </c:extLst>
        </c:ser>
        <c:ser>
          <c:idx val="2"/>
          <c:order val="1"/>
          <c:tx>
            <c:strRef>
              <c:f>'Fed M vs F'!$N$11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CCCC"/>
            </a:solidFill>
            <a:ln w="19050">
              <a:solidFill>
                <a:schemeClr val="bg1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'Fed M vs F'!$S$11:$U$11</c:f>
                <c:numCache>
                  <c:formatCode>General</c:formatCode>
                  <c:ptCount val="3"/>
                  <c:pt idx="0">
                    <c:v>7.7504480157242706E-2</c:v>
                  </c:pt>
                  <c:pt idx="1">
                    <c:v>4.8232653761625964E-2</c:v>
                  </c:pt>
                  <c:pt idx="2">
                    <c:v>4.4487826050130491E-2</c:v>
                  </c:pt>
                </c:numCache>
              </c:numRef>
            </c:plus>
            <c:minus>
              <c:numRef>
                <c:f>'Fed M vs F'!$S$11:$U$11</c:f>
                <c:numCache>
                  <c:formatCode>General</c:formatCode>
                  <c:ptCount val="3"/>
                  <c:pt idx="0">
                    <c:v>7.7504480157242706E-2</c:v>
                  </c:pt>
                  <c:pt idx="1">
                    <c:v>4.8232653761625964E-2</c:v>
                  </c:pt>
                  <c:pt idx="2">
                    <c:v>4.4487826050130491E-2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'Fed M vs F'!$O$9:$Q$9</c:f>
              <c:strCache>
                <c:ptCount val="3"/>
                <c:pt idx="0">
                  <c:v>foreleg</c:v>
                </c:pt>
                <c:pt idx="1">
                  <c:v>midleg</c:v>
                </c:pt>
                <c:pt idx="2">
                  <c:v>hindleg</c:v>
                </c:pt>
              </c:strCache>
            </c:strRef>
          </c:cat>
          <c:val>
            <c:numRef>
              <c:f>'Fed M vs F'!$O$11:$Q$11</c:f>
              <c:numCache>
                <c:formatCode>General</c:formatCode>
                <c:ptCount val="3"/>
                <c:pt idx="0">
                  <c:v>0.60833333333333339</c:v>
                </c:pt>
                <c:pt idx="1">
                  <c:v>0.3833333333333333</c:v>
                </c:pt>
                <c:pt idx="2">
                  <c:v>0.21666666666666665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C-417D-AB1C-1164069AC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 Tarsal PER (100mM Suc.)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'Fed '!$K$11</c:f>
              <c:strCache>
                <c:ptCount val="1"/>
                <c:pt idx="0">
                  <c:v>w1118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'Fed '!$P$11:$R$11</c:f>
                <c:numCache>
                  <c:formatCode>General</c:formatCode>
                  <c:ptCount val="3"/>
                  <c:pt idx="0">
                    <c:v>6.1237243569579346E-2</c:v>
                  </c:pt>
                  <c:pt idx="1">
                    <c:v>4.5643546458763819E-2</c:v>
                  </c:pt>
                  <c:pt idx="2">
                    <c:v>3.3333333333333361E-2</c:v>
                  </c:pt>
                </c:numCache>
              </c:numRef>
            </c:plus>
            <c:minus>
              <c:numRef>
                <c:f>'Fed '!$P$11:$R$11</c:f>
                <c:numCache>
                  <c:formatCode>General</c:formatCode>
                  <c:ptCount val="3"/>
                  <c:pt idx="0">
                    <c:v>6.1237243569579346E-2</c:v>
                  </c:pt>
                  <c:pt idx="1">
                    <c:v>4.5643546458763819E-2</c:v>
                  </c:pt>
                  <c:pt idx="2">
                    <c:v>3.3333333333333361E-2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'Fed '!$L$10:$N$10</c:f>
              <c:strCache>
                <c:ptCount val="3"/>
                <c:pt idx="0">
                  <c:v>foreleg</c:v>
                </c:pt>
                <c:pt idx="1">
                  <c:v>midleg</c:v>
                </c:pt>
                <c:pt idx="2">
                  <c:v>hindleg</c:v>
                </c:pt>
              </c:strCache>
            </c:strRef>
          </c:cat>
          <c:val>
            <c:numRef>
              <c:f>'Fed '!$L$11:$N$11</c:f>
              <c:numCache>
                <c:formatCode>General</c:formatCode>
                <c:ptCount val="3"/>
                <c:pt idx="0">
                  <c:v>0.65000000000000013</c:v>
                </c:pt>
                <c:pt idx="1">
                  <c:v>0.41666666666666669</c:v>
                </c:pt>
                <c:pt idx="2">
                  <c:v>0.19999999999999998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5-4B16-A939-B6CD3B332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noMultiLvlLbl val="0"/>
      </c:catAx>
      <c:valAx>
        <c:axId val="545198415"/>
        <c:scaling>
          <c:orientation val="minMax"/>
          <c:max val="1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 Tarsal PER (100mM Suc.)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Starved!$K$11</c:f>
              <c:strCache>
                <c:ptCount val="1"/>
                <c:pt idx="0">
                  <c:v>w1118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Starved!$P$11:$R$11</c:f>
                <c:numCache>
                  <c:formatCode>General</c:formatCode>
                  <c:ptCount val="3"/>
                  <c:pt idx="0">
                    <c:v>2.0833333333333346E-2</c:v>
                  </c:pt>
                  <c:pt idx="1">
                    <c:v>7.1159380319163842E-2</c:v>
                  </c:pt>
                  <c:pt idx="2">
                    <c:v>5.8925565098878974E-2</c:v>
                  </c:pt>
                </c:numCache>
              </c:numRef>
            </c:plus>
            <c:minus>
              <c:numRef>
                <c:f>Starved!$P$11:$R$11</c:f>
                <c:numCache>
                  <c:formatCode>General</c:formatCode>
                  <c:ptCount val="3"/>
                  <c:pt idx="0">
                    <c:v>2.0833333333333346E-2</c:v>
                  </c:pt>
                  <c:pt idx="1">
                    <c:v>7.1159380319163842E-2</c:v>
                  </c:pt>
                  <c:pt idx="2">
                    <c:v>5.8925565098878974E-2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Starved!$L$10:$N$10</c:f>
              <c:strCache>
                <c:ptCount val="3"/>
                <c:pt idx="0">
                  <c:v>foreleg</c:v>
                </c:pt>
                <c:pt idx="1">
                  <c:v>midleg</c:v>
                </c:pt>
                <c:pt idx="2">
                  <c:v>hindleg</c:v>
                </c:pt>
              </c:strCache>
            </c:strRef>
          </c:cat>
          <c:val>
            <c:numRef>
              <c:f>Starved!$L$11:$N$11</c:f>
              <c:numCache>
                <c:formatCode>General</c:formatCode>
                <c:ptCount val="3"/>
                <c:pt idx="0">
                  <c:v>0.97916666666666663</c:v>
                </c:pt>
                <c:pt idx="1">
                  <c:v>0.5625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2A-465B-8491-0EA76C1F8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noMultiLvlLbl val="0"/>
      </c:catAx>
      <c:valAx>
        <c:axId val="545198415"/>
        <c:scaling>
          <c:orientation val="minMax"/>
          <c:max val="1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 Tarsal PER (100mM Suc.)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13</xdr:row>
      <xdr:rowOff>11112</xdr:rowOff>
    </xdr:from>
    <xdr:to>
      <xdr:col>17</xdr:col>
      <xdr:colOff>390525</xdr:colOff>
      <xdr:row>37</xdr:row>
      <xdr:rowOff>19049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8048625" y="1784667"/>
          <a:ext cx="2868930" cy="3210242"/>
          <a:chOff x="7800975" y="1906587"/>
          <a:chExt cx="2790825" cy="3436937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C497AEA6-D871-4958-B531-2FF6AAB36CBB}"/>
              </a:ext>
            </a:extLst>
          </xdr:cNvPr>
          <xdr:cNvGraphicFramePr>
            <a:graphicFrameLocks/>
          </xdr:cNvGraphicFramePr>
        </xdr:nvGraphicFramePr>
        <xdr:xfrm>
          <a:off x="7800975" y="1906587"/>
          <a:ext cx="2790825" cy="34369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A965F9A4-A9BF-477B-8DE1-939416FB0FBE}"/>
              </a:ext>
            </a:extLst>
          </xdr:cNvPr>
          <xdr:cNvSpPr txBox="1"/>
        </xdr:nvSpPr>
        <xdr:spPr>
          <a:xfrm>
            <a:off x="8874522" y="2093686"/>
            <a:ext cx="1427699" cy="2102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w1118, satiated condition</a:t>
            </a:r>
            <a:endParaRPr lang="ko-KR" altLang="ko-KR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</xdr:row>
      <xdr:rowOff>11112</xdr:rowOff>
    </xdr:from>
    <xdr:to>
      <xdr:col>14</xdr:col>
      <xdr:colOff>390525</xdr:colOff>
      <xdr:row>37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7AEA6-D871-4958-B531-2FF6AAB36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225822</xdr:colOff>
      <xdr:row>14</xdr:row>
      <xdr:rowOff>17236</xdr:rowOff>
    </xdr:from>
    <xdr:ext cx="1427699" cy="2102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65F9A4-A9BF-477B-8DE1-939416FB0FBE}"/>
            </a:ext>
          </a:extLst>
        </xdr:cNvPr>
        <xdr:cNvSpPr txBox="1"/>
      </xdr:nvSpPr>
      <xdr:spPr>
        <a:xfrm>
          <a:off x="6826647" y="2055586"/>
          <a:ext cx="1427699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w1118, satiated condition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</xdr:row>
      <xdr:rowOff>11112</xdr:rowOff>
    </xdr:from>
    <xdr:to>
      <xdr:col>14</xdr:col>
      <xdr:colOff>390525</xdr:colOff>
      <xdr:row>37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7AEA6-D871-4958-B531-2FF6AAB36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54372</xdr:colOff>
      <xdr:row>14</xdr:row>
      <xdr:rowOff>45811</xdr:rowOff>
    </xdr:from>
    <xdr:ext cx="806311" cy="2102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65F9A4-A9BF-477B-8DE1-939416FB0FBE}"/>
            </a:ext>
          </a:extLst>
        </xdr:cNvPr>
        <xdr:cNvSpPr txBox="1"/>
      </xdr:nvSpPr>
      <xdr:spPr>
        <a:xfrm>
          <a:off x="7255272" y="2084161"/>
          <a:ext cx="80631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12hr</a:t>
          </a:r>
          <a:r>
            <a:rPr lang="en-US" altLang="ko-KR" sz="8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altLang="ko-KR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Starved</a:t>
          </a:r>
          <a:endParaRPr lang="ko-KR" altLang="ko-KR" sz="800" b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zoomScaleNormal="100" workbookViewId="0"/>
  </sheetViews>
  <sheetFormatPr defaultColWidth="9" defaultRowHeight="10.199999999999999"/>
  <cols>
    <col min="1" max="16384" width="9" style="2"/>
  </cols>
  <sheetData>
    <row r="1" spans="1:21" s="10" customFormat="1" ht="14.25" customHeight="1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21">
      <c r="A2" s="2" t="s">
        <v>10</v>
      </c>
      <c r="B2" s="4"/>
      <c r="C2" s="4"/>
      <c r="D2" s="4"/>
      <c r="E2" s="4"/>
      <c r="F2" s="4"/>
      <c r="G2" s="4"/>
      <c r="N2" s="3"/>
      <c r="O2" s="3"/>
      <c r="P2" s="3"/>
      <c r="Q2" s="3"/>
    </row>
    <row r="3" spans="1:21">
      <c r="A3" s="4"/>
      <c r="B3" s="15" t="s">
        <v>18</v>
      </c>
      <c r="C3" s="16"/>
      <c r="D3" s="17"/>
      <c r="E3" s="18" t="s">
        <v>19</v>
      </c>
      <c r="F3" s="18"/>
      <c r="G3" s="18"/>
      <c r="I3" s="4"/>
      <c r="J3" s="4"/>
      <c r="K3" s="5" t="s">
        <v>6</v>
      </c>
      <c r="L3" s="6" t="s">
        <v>1</v>
      </c>
      <c r="N3" s="3"/>
      <c r="O3" s="3"/>
      <c r="P3" s="3"/>
      <c r="Q3" s="3"/>
    </row>
    <row r="4" spans="1:21">
      <c r="A4" s="7" t="s">
        <v>2</v>
      </c>
      <c r="B4" s="5" t="s">
        <v>3</v>
      </c>
      <c r="C4" s="5" t="s">
        <v>4</v>
      </c>
      <c r="D4" s="5" t="s">
        <v>5</v>
      </c>
      <c r="E4" s="5" t="s">
        <v>3</v>
      </c>
      <c r="F4" s="5" t="s">
        <v>4</v>
      </c>
      <c r="G4" s="5" t="s">
        <v>5</v>
      </c>
      <c r="I4" s="13" t="s">
        <v>18</v>
      </c>
      <c r="J4" s="14"/>
      <c r="K4" s="5">
        <f>AVERAGE(D5:D14)</f>
        <v>0.6166666666666667</v>
      </c>
      <c r="L4" s="5">
        <f>STDEV(D5:D14)/SQRT(5)</f>
        <v>3.0618621784789728E-2</v>
      </c>
      <c r="N4" s="3"/>
      <c r="O4" s="3"/>
      <c r="P4" s="3"/>
      <c r="Q4" s="3"/>
    </row>
    <row r="5" spans="1:21">
      <c r="A5" s="5">
        <v>1</v>
      </c>
      <c r="B5" s="9">
        <v>16</v>
      </c>
      <c r="C5" s="9">
        <v>24</v>
      </c>
      <c r="D5" s="9">
        <f>B5/C5</f>
        <v>0.66666666666666663</v>
      </c>
      <c r="E5" s="9">
        <v>17</v>
      </c>
      <c r="F5" s="9">
        <v>24</v>
      </c>
      <c r="G5" s="9">
        <f>E5/F5</f>
        <v>0.70833333333333337</v>
      </c>
      <c r="I5" s="13" t="s">
        <v>19</v>
      </c>
      <c r="J5" s="14"/>
      <c r="K5" s="5">
        <f>AVERAGE(G5:G14)</f>
        <v>0.60833333333333339</v>
      </c>
      <c r="L5" s="5">
        <f>STDEV(G5:G14)/SQRT(5)</f>
        <v>7.7504480157242706E-2</v>
      </c>
      <c r="N5" s="3"/>
      <c r="O5" s="3"/>
      <c r="P5" s="3"/>
      <c r="Q5" s="3"/>
    </row>
    <row r="6" spans="1:21">
      <c r="A6" s="5">
        <v>2</v>
      </c>
      <c r="B6" s="9">
        <v>17</v>
      </c>
      <c r="C6" s="9">
        <v>24</v>
      </c>
      <c r="D6" s="9">
        <f>B6/C6</f>
        <v>0.70833333333333337</v>
      </c>
      <c r="E6" s="9">
        <v>14</v>
      </c>
      <c r="F6" s="9">
        <v>24</v>
      </c>
      <c r="G6" s="9">
        <f>E6/F6</f>
        <v>0.58333333333333337</v>
      </c>
    </row>
    <row r="7" spans="1:21">
      <c r="A7" s="5">
        <v>3</v>
      </c>
      <c r="B7" s="9">
        <v>13</v>
      </c>
      <c r="C7" s="9">
        <v>24</v>
      </c>
      <c r="D7" s="9">
        <f t="shared" ref="D7:D9" si="0">B7/C7</f>
        <v>0.54166666666666663</v>
      </c>
      <c r="E7" s="9">
        <v>19</v>
      </c>
      <c r="F7" s="9">
        <v>24</v>
      </c>
      <c r="G7" s="9">
        <f t="shared" ref="G7:G9" si="1">E7/F7</f>
        <v>0.79166666666666663</v>
      </c>
    </row>
    <row r="8" spans="1:21">
      <c r="A8" s="5">
        <v>4</v>
      </c>
      <c r="B8" s="9">
        <v>14</v>
      </c>
      <c r="C8" s="9">
        <v>24</v>
      </c>
      <c r="D8" s="9">
        <f t="shared" si="0"/>
        <v>0.58333333333333337</v>
      </c>
      <c r="E8" s="9">
        <v>15</v>
      </c>
      <c r="F8" s="9">
        <v>24</v>
      </c>
      <c r="G8" s="9">
        <f t="shared" si="1"/>
        <v>0.625</v>
      </c>
      <c r="P8" s="8" t="s">
        <v>0</v>
      </c>
      <c r="Q8" s="8"/>
    </row>
    <row r="9" spans="1:21">
      <c r="A9" s="5">
        <v>5</v>
      </c>
      <c r="B9" s="9">
        <v>14</v>
      </c>
      <c r="C9" s="9">
        <v>24</v>
      </c>
      <c r="D9" s="9">
        <f t="shared" si="0"/>
        <v>0.58333333333333337</v>
      </c>
      <c r="E9" s="9">
        <v>8</v>
      </c>
      <c r="F9" s="9">
        <v>24</v>
      </c>
      <c r="G9" s="9">
        <f t="shared" si="1"/>
        <v>0.33333333333333331</v>
      </c>
      <c r="N9" s="11"/>
      <c r="O9" s="12" t="s">
        <v>10</v>
      </c>
      <c r="P9" s="12" t="s">
        <v>11</v>
      </c>
      <c r="Q9" s="12" t="s">
        <v>12</v>
      </c>
      <c r="S9" s="2" t="s">
        <v>7</v>
      </c>
      <c r="T9" s="2" t="s">
        <v>8</v>
      </c>
      <c r="U9" s="2" t="s">
        <v>8</v>
      </c>
    </row>
    <row r="10" spans="1:21">
      <c r="A10" s="5">
        <v>6</v>
      </c>
      <c r="B10" s="9"/>
      <c r="C10" s="9"/>
      <c r="D10" s="9"/>
      <c r="E10" s="9"/>
      <c r="F10" s="9"/>
      <c r="G10" s="9"/>
      <c r="N10" s="11" t="s">
        <v>15</v>
      </c>
      <c r="O10" s="12">
        <f>K4</f>
        <v>0.6166666666666667</v>
      </c>
      <c r="P10" s="12">
        <f>K18</f>
        <v>0.34166666666666667</v>
      </c>
      <c r="Q10" s="12">
        <f>K32</f>
        <v>0.14166666666666666</v>
      </c>
      <c r="S10" s="2">
        <f>L4</f>
        <v>3.0618621784789728E-2</v>
      </c>
      <c r="T10" s="2">
        <f>L18</f>
        <v>4.0397332145136071E-2</v>
      </c>
      <c r="U10" s="2">
        <f>L32</f>
        <v>3.6324157862838942E-2</v>
      </c>
    </row>
    <row r="11" spans="1:21">
      <c r="A11" s="5">
        <v>7</v>
      </c>
      <c r="B11" s="9"/>
      <c r="C11" s="9"/>
      <c r="D11" s="9"/>
      <c r="E11" s="9"/>
      <c r="F11" s="9"/>
      <c r="G11" s="9"/>
      <c r="N11" s="11" t="s">
        <v>16</v>
      </c>
      <c r="O11" s="12">
        <f>K5</f>
        <v>0.60833333333333339</v>
      </c>
      <c r="P11" s="12">
        <f>K19</f>
        <v>0.3833333333333333</v>
      </c>
      <c r="Q11" s="12">
        <f>K33</f>
        <v>0.21666666666666665</v>
      </c>
      <c r="S11" s="2">
        <f>L5</f>
        <v>7.7504480157242706E-2</v>
      </c>
      <c r="T11" s="2">
        <f>L19</f>
        <v>4.8232653761625964E-2</v>
      </c>
      <c r="U11" s="2">
        <f>L33</f>
        <v>4.4487826050130491E-2</v>
      </c>
    </row>
    <row r="12" spans="1:21">
      <c r="A12" s="5">
        <v>8</v>
      </c>
      <c r="B12" s="9"/>
      <c r="C12" s="9"/>
      <c r="D12" s="9"/>
      <c r="E12" s="9"/>
      <c r="F12" s="9"/>
      <c r="G12" s="9"/>
    </row>
    <row r="13" spans="1:21">
      <c r="A13" s="5">
        <v>9</v>
      </c>
      <c r="B13" s="5"/>
      <c r="C13" s="5"/>
      <c r="D13" s="5"/>
      <c r="E13" s="5"/>
      <c r="F13" s="5"/>
      <c r="G13" s="5"/>
    </row>
    <row r="14" spans="1:21">
      <c r="A14" s="5">
        <v>10</v>
      </c>
      <c r="B14" s="5"/>
      <c r="C14" s="5"/>
      <c r="D14" s="5"/>
      <c r="E14" s="5"/>
      <c r="F14" s="5"/>
      <c r="G14" s="5"/>
    </row>
    <row r="16" spans="1:21">
      <c r="A16" s="2" t="s">
        <v>11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15" t="s">
        <v>18</v>
      </c>
      <c r="C17" s="16"/>
      <c r="D17" s="17"/>
      <c r="E17" s="18" t="s">
        <v>19</v>
      </c>
      <c r="F17" s="18"/>
      <c r="G17" s="18"/>
      <c r="H17" s="4"/>
      <c r="I17" s="4"/>
      <c r="J17" s="4"/>
      <c r="K17" s="5" t="s">
        <v>0</v>
      </c>
      <c r="L17" s="6" t="s">
        <v>1</v>
      </c>
    </row>
    <row r="18" spans="1:12">
      <c r="A18" s="7" t="s">
        <v>2</v>
      </c>
      <c r="B18" s="5" t="s">
        <v>3</v>
      </c>
      <c r="C18" s="5" t="s">
        <v>4</v>
      </c>
      <c r="D18" s="5" t="s">
        <v>5</v>
      </c>
      <c r="E18" s="5" t="s">
        <v>3</v>
      </c>
      <c r="F18" s="5" t="s">
        <v>4</v>
      </c>
      <c r="G18" s="5" t="s">
        <v>5</v>
      </c>
      <c r="H18" s="4"/>
      <c r="I18" s="13" t="s">
        <v>18</v>
      </c>
      <c r="J18" s="14"/>
      <c r="K18" s="5">
        <f>AVERAGE(D19:D28)</f>
        <v>0.34166666666666667</v>
      </c>
      <c r="L18" s="5">
        <f>STDEV(D19:D28)/SQRT(5)</f>
        <v>4.0397332145136071E-2</v>
      </c>
    </row>
    <row r="19" spans="1:12">
      <c r="A19" s="5">
        <v>1</v>
      </c>
      <c r="B19" s="9">
        <v>9</v>
      </c>
      <c r="C19" s="9">
        <v>24</v>
      </c>
      <c r="D19" s="9">
        <f>B19/C19</f>
        <v>0.375</v>
      </c>
      <c r="E19" s="9">
        <v>8</v>
      </c>
      <c r="F19" s="9">
        <v>24</v>
      </c>
      <c r="G19" s="9">
        <f>E19/F19</f>
        <v>0.33333333333333331</v>
      </c>
      <c r="H19" s="4"/>
      <c r="I19" s="13" t="s">
        <v>19</v>
      </c>
      <c r="J19" s="14"/>
      <c r="K19" s="5">
        <f>AVERAGE(G19:G28)</f>
        <v>0.3833333333333333</v>
      </c>
      <c r="L19" s="5">
        <f>STDEV(G19:G28)/SQRT(5)</f>
        <v>4.8232653761625964E-2</v>
      </c>
    </row>
    <row r="20" spans="1:12">
      <c r="A20" s="5">
        <v>2</v>
      </c>
      <c r="B20" s="9">
        <v>5</v>
      </c>
      <c r="C20" s="9">
        <v>24</v>
      </c>
      <c r="D20" s="9">
        <f>B20/C20</f>
        <v>0.20833333333333334</v>
      </c>
      <c r="E20" s="9">
        <v>10</v>
      </c>
      <c r="F20" s="9">
        <v>24</v>
      </c>
      <c r="G20" s="9">
        <f>E20/F20</f>
        <v>0.41666666666666669</v>
      </c>
      <c r="H20" s="4"/>
    </row>
    <row r="21" spans="1:12">
      <c r="A21" s="5">
        <v>3</v>
      </c>
      <c r="B21" s="9">
        <v>11</v>
      </c>
      <c r="C21" s="9">
        <v>24</v>
      </c>
      <c r="D21" s="9">
        <f t="shared" ref="D21:D23" si="2">B21/C21</f>
        <v>0.45833333333333331</v>
      </c>
      <c r="E21" s="9">
        <v>6</v>
      </c>
      <c r="F21" s="9">
        <v>24</v>
      </c>
      <c r="G21" s="9">
        <f t="shared" ref="G21:G23" si="3">E21/F21</f>
        <v>0.25</v>
      </c>
      <c r="H21" s="4"/>
      <c r="I21" s="4"/>
      <c r="J21" s="4"/>
      <c r="K21" s="4"/>
      <c r="L21" s="4"/>
    </row>
    <row r="22" spans="1:12">
      <c r="A22" s="5">
        <v>4</v>
      </c>
      <c r="B22" s="9">
        <v>8</v>
      </c>
      <c r="C22" s="9">
        <v>24</v>
      </c>
      <c r="D22" s="9">
        <f t="shared" si="2"/>
        <v>0.33333333333333331</v>
      </c>
      <c r="E22" s="9">
        <v>13</v>
      </c>
      <c r="F22" s="9">
        <v>24</v>
      </c>
      <c r="G22" s="9">
        <f t="shared" si="3"/>
        <v>0.54166666666666663</v>
      </c>
      <c r="H22" s="4"/>
      <c r="I22" s="4"/>
      <c r="J22" s="4"/>
      <c r="K22" s="4"/>
      <c r="L22" s="4"/>
    </row>
    <row r="23" spans="1:12">
      <c r="A23" s="5">
        <v>5</v>
      </c>
      <c r="B23" s="9">
        <v>8</v>
      </c>
      <c r="C23" s="9">
        <v>24</v>
      </c>
      <c r="D23" s="9">
        <f t="shared" si="2"/>
        <v>0.33333333333333331</v>
      </c>
      <c r="E23" s="9">
        <v>9</v>
      </c>
      <c r="F23" s="9">
        <v>24</v>
      </c>
      <c r="G23" s="9">
        <f t="shared" si="3"/>
        <v>0.375</v>
      </c>
      <c r="H23" s="4"/>
      <c r="I23" s="4"/>
      <c r="J23" s="4"/>
      <c r="K23" s="4"/>
      <c r="L23" s="4"/>
    </row>
    <row r="24" spans="1:12">
      <c r="A24" s="5">
        <v>6</v>
      </c>
      <c r="B24" s="9"/>
      <c r="C24" s="9"/>
      <c r="D24" s="9"/>
      <c r="E24" s="9"/>
      <c r="F24" s="9"/>
      <c r="G24" s="9"/>
      <c r="H24" s="4"/>
      <c r="I24" s="4"/>
      <c r="J24" s="4"/>
      <c r="K24" s="4"/>
      <c r="L24" s="4"/>
    </row>
    <row r="25" spans="1:12">
      <c r="A25" s="5">
        <v>7</v>
      </c>
      <c r="B25" s="9"/>
      <c r="C25" s="9"/>
      <c r="D25" s="9"/>
      <c r="E25" s="9"/>
      <c r="F25" s="9"/>
      <c r="G25" s="9"/>
      <c r="H25" s="4"/>
      <c r="I25" s="4"/>
      <c r="J25" s="4"/>
      <c r="K25" s="4"/>
      <c r="L25" s="4"/>
    </row>
    <row r="26" spans="1:12">
      <c r="A26" s="5">
        <v>8</v>
      </c>
      <c r="B26" s="9"/>
      <c r="C26" s="9"/>
      <c r="D26" s="9"/>
      <c r="E26" s="9"/>
      <c r="F26" s="9"/>
      <c r="G26" s="9"/>
      <c r="H26" s="4"/>
      <c r="I26" s="4"/>
      <c r="J26" s="4"/>
      <c r="K26" s="4"/>
      <c r="L26" s="4"/>
    </row>
    <row r="27" spans="1:12">
      <c r="A27" s="5">
        <v>9</v>
      </c>
      <c r="B27" s="5"/>
      <c r="C27" s="5"/>
      <c r="D27" s="5"/>
      <c r="E27" s="5"/>
      <c r="F27" s="5"/>
      <c r="G27" s="5"/>
      <c r="H27" s="4"/>
      <c r="I27" s="4"/>
      <c r="J27" s="4"/>
      <c r="K27" s="4"/>
      <c r="L27" s="4"/>
    </row>
    <row r="28" spans="1:12">
      <c r="A28" s="5">
        <v>10</v>
      </c>
      <c r="B28" s="5"/>
      <c r="C28" s="5"/>
      <c r="D28" s="5"/>
      <c r="E28" s="5"/>
      <c r="F28" s="5"/>
      <c r="G28" s="5"/>
      <c r="H28" s="4"/>
      <c r="I28" s="4"/>
      <c r="J28" s="4"/>
      <c r="K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2" t="s">
        <v>11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15" t="s">
        <v>18</v>
      </c>
      <c r="C31" s="16"/>
      <c r="D31" s="17"/>
      <c r="E31" s="18" t="s">
        <v>19</v>
      </c>
      <c r="F31" s="18"/>
      <c r="G31" s="18"/>
      <c r="H31" s="4"/>
      <c r="I31" s="4"/>
      <c r="J31" s="4"/>
      <c r="K31" s="5" t="s">
        <v>0</v>
      </c>
      <c r="L31" s="6" t="s">
        <v>1</v>
      </c>
    </row>
    <row r="32" spans="1:12">
      <c r="A32" s="7" t="s">
        <v>2</v>
      </c>
      <c r="B32" s="5" t="s">
        <v>3</v>
      </c>
      <c r="C32" s="5" t="s">
        <v>4</v>
      </c>
      <c r="D32" s="5" t="s">
        <v>5</v>
      </c>
      <c r="E32" s="5" t="s">
        <v>3</v>
      </c>
      <c r="F32" s="5" t="s">
        <v>4</v>
      </c>
      <c r="G32" s="5" t="s">
        <v>5</v>
      </c>
      <c r="H32" s="4"/>
      <c r="I32" s="13" t="s">
        <v>18</v>
      </c>
      <c r="J32" s="14"/>
      <c r="K32" s="5">
        <f>AVERAGE(D33:D42)</f>
        <v>0.14166666666666666</v>
      </c>
      <c r="L32" s="5">
        <f>STDEV(D33:D42)/SQRT(5)</f>
        <v>3.6324157862838942E-2</v>
      </c>
    </row>
    <row r="33" spans="1:12">
      <c r="A33" s="5">
        <v>1</v>
      </c>
      <c r="B33" s="9">
        <v>1</v>
      </c>
      <c r="C33" s="9">
        <v>24</v>
      </c>
      <c r="D33" s="9">
        <f>B33/C33</f>
        <v>4.1666666666666664E-2</v>
      </c>
      <c r="E33" s="9">
        <v>8</v>
      </c>
      <c r="F33" s="9">
        <v>24</v>
      </c>
      <c r="G33" s="9">
        <f>E33/F33</f>
        <v>0.33333333333333331</v>
      </c>
      <c r="H33" s="4"/>
      <c r="I33" s="13" t="s">
        <v>19</v>
      </c>
      <c r="J33" s="14"/>
      <c r="K33" s="5">
        <f>AVERAGE(G33:G42)</f>
        <v>0.21666666666666665</v>
      </c>
      <c r="L33" s="5">
        <f>STDEV(G33:G42)/SQRT(5)</f>
        <v>4.4487826050130491E-2</v>
      </c>
    </row>
    <row r="34" spans="1:12">
      <c r="A34" s="5">
        <v>2</v>
      </c>
      <c r="B34" s="9">
        <v>2</v>
      </c>
      <c r="C34" s="9">
        <v>24</v>
      </c>
      <c r="D34" s="9">
        <f>B34/C34</f>
        <v>8.3333333333333329E-2</v>
      </c>
      <c r="E34" s="9">
        <v>5</v>
      </c>
      <c r="F34" s="9">
        <v>24</v>
      </c>
      <c r="G34" s="9">
        <f>E34/F34</f>
        <v>0.20833333333333334</v>
      </c>
      <c r="H34" s="4"/>
    </row>
    <row r="35" spans="1:12">
      <c r="A35" s="5">
        <v>3</v>
      </c>
      <c r="B35" s="9">
        <v>6</v>
      </c>
      <c r="C35" s="9">
        <v>24</v>
      </c>
      <c r="D35" s="9">
        <f t="shared" ref="D35:D37" si="4">B35/C35</f>
        <v>0.25</v>
      </c>
      <c r="E35" s="9">
        <v>7</v>
      </c>
      <c r="F35" s="9">
        <v>24</v>
      </c>
      <c r="G35" s="9">
        <f t="shared" ref="G35:G37" si="5">E35/F35</f>
        <v>0.29166666666666669</v>
      </c>
      <c r="H35" s="4"/>
      <c r="I35" s="4"/>
      <c r="J35" s="4"/>
      <c r="K35" s="4"/>
      <c r="L35" s="4"/>
    </row>
    <row r="36" spans="1:12">
      <c r="A36" s="5">
        <v>4</v>
      </c>
      <c r="B36" s="9">
        <v>4</v>
      </c>
      <c r="C36" s="9">
        <v>24</v>
      </c>
      <c r="D36" s="9">
        <f t="shared" si="4"/>
        <v>0.16666666666666666</v>
      </c>
      <c r="E36" s="9">
        <v>2</v>
      </c>
      <c r="F36" s="9">
        <v>24</v>
      </c>
      <c r="G36" s="9">
        <f t="shared" si="5"/>
        <v>8.3333333333333329E-2</v>
      </c>
      <c r="H36" s="4"/>
      <c r="I36" s="4"/>
      <c r="J36" s="4"/>
      <c r="K36" s="4"/>
      <c r="L36" s="4"/>
    </row>
    <row r="37" spans="1:12">
      <c r="A37" s="5">
        <v>5</v>
      </c>
      <c r="B37" s="9">
        <v>4</v>
      </c>
      <c r="C37" s="9">
        <v>24</v>
      </c>
      <c r="D37" s="9">
        <f t="shared" si="4"/>
        <v>0.16666666666666666</v>
      </c>
      <c r="E37" s="9">
        <v>4</v>
      </c>
      <c r="F37" s="9">
        <v>24</v>
      </c>
      <c r="G37" s="9">
        <f t="shared" si="5"/>
        <v>0.16666666666666666</v>
      </c>
      <c r="H37" s="4"/>
      <c r="I37" s="4"/>
      <c r="J37" s="4"/>
      <c r="K37" s="4"/>
      <c r="L37" s="4"/>
    </row>
    <row r="38" spans="1:12">
      <c r="A38" s="5">
        <v>6</v>
      </c>
      <c r="B38" s="9"/>
      <c r="C38" s="9"/>
      <c r="D38" s="9"/>
      <c r="E38" s="9"/>
      <c r="F38" s="9"/>
      <c r="G38" s="9"/>
      <c r="H38" s="4"/>
      <c r="I38" s="4"/>
      <c r="J38" s="4"/>
      <c r="K38" s="4"/>
      <c r="L38" s="4"/>
    </row>
    <row r="39" spans="1:12">
      <c r="A39" s="5">
        <v>7</v>
      </c>
      <c r="B39" s="9"/>
      <c r="C39" s="9"/>
      <c r="D39" s="9"/>
      <c r="E39" s="9"/>
      <c r="F39" s="9"/>
      <c r="G39" s="9"/>
      <c r="H39" s="4"/>
      <c r="I39" s="4"/>
      <c r="J39" s="4"/>
      <c r="K39" s="4"/>
      <c r="L39" s="4"/>
    </row>
    <row r="40" spans="1:12">
      <c r="A40" s="5">
        <v>8</v>
      </c>
      <c r="B40" s="9"/>
      <c r="C40" s="9"/>
      <c r="D40" s="9"/>
      <c r="E40" s="9"/>
      <c r="F40" s="9"/>
      <c r="G40" s="9"/>
      <c r="H40" s="4"/>
      <c r="I40" s="4"/>
      <c r="J40" s="4"/>
      <c r="K40" s="4"/>
      <c r="L40" s="4"/>
    </row>
    <row r="41" spans="1:12">
      <c r="A41" s="5">
        <v>9</v>
      </c>
      <c r="B41" s="5"/>
      <c r="C41" s="5"/>
      <c r="D41" s="5"/>
      <c r="E41" s="5"/>
      <c r="F41" s="5"/>
      <c r="G41" s="5"/>
      <c r="H41" s="4"/>
      <c r="I41" s="4"/>
      <c r="J41" s="4"/>
      <c r="K41" s="4"/>
      <c r="L41" s="4"/>
    </row>
    <row r="42" spans="1:12">
      <c r="A42" s="5">
        <v>10</v>
      </c>
      <c r="B42" s="5"/>
      <c r="C42" s="5"/>
      <c r="D42" s="5"/>
      <c r="E42" s="5"/>
      <c r="F42" s="5"/>
      <c r="G42" s="5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</sheetData>
  <mergeCells count="12">
    <mergeCell ref="I33:J33"/>
    <mergeCell ref="B3:D3"/>
    <mergeCell ref="E3:G3"/>
    <mergeCell ref="I4:J4"/>
    <mergeCell ref="I5:J5"/>
    <mergeCell ref="B17:D17"/>
    <mergeCell ref="E17:G17"/>
    <mergeCell ref="I18:J18"/>
    <mergeCell ref="I19:J19"/>
    <mergeCell ref="B31:D31"/>
    <mergeCell ref="E31:G31"/>
    <mergeCell ref="I32:J3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3"/>
  <sheetViews>
    <sheetView zoomScaleNormal="100" workbookViewId="0">
      <selection activeCell="S28" sqref="S28"/>
    </sheetView>
  </sheetViews>
  <sheetFormatPr defaultColWidth="9" defaultRowHeight="10.199999999999999"/>
  <cols>
    <col min="1" max="16384" width="9" style="2"/>
  </cols>
  <sheetData>
    <row r="1" spans="1:18" s="10" customFormat="1" ht="14.25" customHeight="1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8">
      <c r="A2" s="2" t="s">
        <v>10</v>
      </c>
      <c r="B2" s="4"/>
      <c r="C2" s="4"/>
      <c r="D2" s="4"/>
      <c r="K2" s="3"/>
      <c r="L2" s="3"/>
      <c r="M2" s="3"/>
      <c r="N2" s="3"/>
    </row>
    <row r="3" spans="1:18">
      <c r="A3" s="4"/>
      <c r="B3" s="19"/>
      <c r="C3" s="19"/>
      <c r="D3" s="19"/>
      <c r="F3" s="4"/>
      <c r="G3" s="4"/>
      <c r="H3" s="5" t="s">
        <v>6</v>
      </c>
      <c r="I3" s="6" t="s">
        <v>1</v>
      </c>
      <c r="K3" s="3"/>
      <c r="L3" s="3"/>
      <c r="M3" s="3"/>
      <c r="N3" s="3"/>
    </row>
    <row r="4" spans="1:18">
      <c r="A4" s="7" t="s">
        <v>2</v>
      </c>
      <c r="B4" s="5" t="s">
        <v>3</v>
      </c>
      <c r="C4" s="5" t="s">
        <v>4</v>
      </c>
      <c r="D4" s="5" t="s">
        <v>5</v>
      </c>
      <c r="F4" s="13"/>
      <c r="G4" s="14"/>
      <c r="H4" s="5"/>
      <c r="I4" s="5"/>
      <c r="K4" s="3"/>
      <c r="L4" s="3"/>
      <c r="M4" s="3"/>
      <c r="N4" s="3"/>
    </row>
    <row r="5" spans="1:18">
      <c r="A5" s="5">
        <v>1</v>
      </c>
      <c r="B5" s="9">
        <v>9</v>
      </c>
      <c r="C5" s="9">
        <v>12</v>
      </c>
      <c r="D5" s="9">
        <f>B5/C5</f>
        <v>0.75</v>
      </c>
      <c r="F5" s="13" t="s">
        <v>17</v>
      </c>
      <c r="G5" s="14"/>
      <c r="H5" s="5">
        <f>AVERAGE(D5:D14)</f>
        <v>0.65000000000000013</v>
      </c>
      <c r="I5" s="5">
        <f>STDEV(D5:D14)/SQRT(5)</f>
        <v>6.1237243569579346E-2</v>
      </c>
      <c r="K5" s="3"/>
      <c r="L5" s="3"/>
      <c r="M5" s="3"/>
      <c r="N5" s="3"/>
    </row>
    <row r="6" spans="1:18">
      <c r="A6" s="5">
        <v>2</v>
      </c>
      <c r="B6" s="9">
        <v>7</v>
      </c>
      <c r="C6" s="9">
        <v>12</v>
      </c>
      <c r="D6" s="9">
        <f>B6/C6</f>
        <v>0.58333333333333337</v>
      </c>
    </row>
    <row r="7" spans="1:18">
      <c r="A7" s="5">
        <v>3</v>
      </c>
      <c r="B7" s="9">
        <v>7</v>
      </c>
      <c r="C7" s="9">
        <v>12</v>
      </c>
      <c r="D7" s="9">
        <f t="shared" ref="D7:D9" si="0">B7/C7</f>
        <v>0.58333333333333337</v>
      </c>
    </row>
    <row r="8" spans="1:18">
      <c r="A8" s="5">
        <v>4</v>
      </c>
      <c r="B8" s="9">
        <v>6</v>
      </c>
      <c r="C8" s="9">
        <v>12</v>
      </c>
      <c r="D8" s="9">
        <f t="shared" si="0"/>
        <v>0.5</v>
      </c>
    </row>
    <row r="9" spans="1:18">
      <c r="A9" s="5">
        <v>5</v>
      </c>
      <c r="B9" s="9">
        <v>10</v>
      </c>
      <c r="C9" s="9">
        <v>12</v>
      </c>
      <c r="D9" s="9">
        <f t="shared" si="0"/>
        <v>0.83333333333333337</v>
      </c>
      <c r="K9" s="1"/>
      <c r="M9" s="8" t="s">
        <v>0</v>
      </c>
      <c r="N9" s="8"/>
    </row>
    <row r="10" spans="1:18">
      <c r="A10" s="5">
        <v>6</v>
      </c>
      <c r="B10" s="9"/>
      <c r="C10" s="9"/>
      <c r="D10" s="9"/>
      <c r="K10" s="11"/>
      <c r="L10" s="12" t="s">
        <v>10</v>
      </c>
      <c r="M10" s="12" t="s">
        <v>11</v>
      </c>
      <c r="N10" s="12" t="s">
        <v>12</v>
      </c>
      <c r="P10" s="2" t="s">
        <v>7</v>
      </c>
      <c r="Q10" s="2" t="s">
        <v>8</v>
      </c>
      <c r="R10" s="2" t="s">
        <v>8</v>
      </c>
    </row>
    <row r="11" spans="1:18">
      <c r="A11" s="5">
        <v>7</v>
      </c>
      <c r="B11" s="9"/>
      <c r="C11" s="9"/>
      <c r="D11" s="9"/>
      <c r="K11" s="11" t="s">
        <v>14</v>
      </c>
      <c r="L11" s="12">
        <f>H5</f>
        <v>0.65000000000000013</v>
      </c>
      <c r="M11" s="12">
        <f>H19</f>
        <v>0.41666666666666669</v>
      </c>
      <c r="N11" s="12">
        <f>H33</f>
        <v>0.19999999999999998</v>
      </c>
      <c r="P11" s="2">
        <f>I5</f>
        <v>6.1237243569579346E-2</v>
      </c>
      <c r="Q11" s="2">
        <f>I19</f>
        <v>4.5643546458763819E-2</v>
      </c>
      <c r="R11" s="2">
        <f>I33</f>
        <v>3.3333333333333361E-2</v>
      </c>
    </row>
    <row r="12" spans="1:18">
      <c r="A12" s="5">
        <v>8</v>
      </c>
      <c r="B12" s="9"/>
      <c r="C12" s="9"/>
      <c r="D12" s="9"/>
    </row>
    <row r="13" spans="1:18">
      <c r="A13" s="5">
        <v>9</v>
      </c>
      <c r="B13" s="5"/>
      <c r="C13" s="5"/>
      <c r="D13" s="5"/>
    </row>
    <row r="14" spans="1:18">
      <c r="A14" s="5">
        <v>10</v>
      </c>
      <c r="B14" s="5"/>
      <c r="C14" s="5"/>
      <c r="D14" s="5"/>
    </row>
    <row r="16" spans="1:18">
      <c r="A16" s="2" t="s">
        <v>11</v>
      </c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19" t="s">
        <v>9</v>
      </c>
      <c r="C17" s="19"/>
      <c r="D17" s="19"/>
      <c r="E17" s="4"/>
      <c r="F17" s="4"/>
      <c r="G17" s="4"/>
      <c r="H17" s="5" t="s">
        <v>0</v>
      </c>
      <c r="I17" s="6" t="s">
        <v>1</v>
      </c>
    </row>
    <row r="18" spans="1:9">
      <c r="A18" s="7" t="s">
        <v>2</v>
      </c>
      <c r="B18" s="5" t="s">
        <v>3</v>
      </c>
      <c r="C18" s="5" t="s">
        <v>4</v>
      </c>
      <c r="D18" s="5" t="s">
        <v>5</v>
      </c>
      <c r="E18" s="4"/>
      <c r="F18" s="13"/>
      <c r="G18" s="14"/>
      <c r="H18" s="5"/>
      <c r="I18" s="5"/>
    </row>
    <row r="19" spans="1:9">
      <c r="A19" s="5">
        <v>1</v>
      </c>
      <c r="B19" s="9">
        <v>4</v>
      </c>
      <c r="C19" s="9">
        <v>12</v>
      </c>
      <c r="D19" s="9">
        <f>B19/C19</f>
        <v>0.33333333333333331</v>
      </c>
      <c r="E19" s="4"/>
      <c r="F19" s="13" t="s">
        <v>17</v>
      </c>
      <c r="G19" s="14"/>
      <c r="H19" s="5">
        <f>AVERAGE(D19:D28)</f>
        <v>0.41666666666666669</v>
      </c>
      <c r="I19" s="5">
        <f>STDEV(D19:D28)/SQRT(5)</f>
        <v>4.5643546458763819E-2</v>
      </c>
    </row>
    <row r="20" spans="1:9">
      <c r="A20" s="5">
        <v>2</v>
      </c>
      <c r="B20" s="9">
        <v>7</v>
      </c>
      <c r="C20" s="9">
        <v>12</v>
      </c>
      <c r="D20" s="9">
        <f>B20/C20</f>
        <v>0.58333333333333337</v>
      </c>
      <c r="E20" s="4"/>
    </row>
    <row r="21" spans="1:9">
      <c r="A21" s="5">
        <v>3</v>
      </c>
      <c r="B21" s="9">
        <v>5</v>
      </c>
      <c r="C21" s="9">
        <v>12</v>
      </c>
      <c r="D21" s="9">
        <f t="shared" ref="D21:D23" si="1">B21/C21</f>
        <v>0.41666666666666669</v>
      </c>
      <c r="E21" s="4"/>
      <c r="F21" s="4"/>
      <c r="G21" s="4"/>
      <c r="H21" s="4"/>
      <c r="I21" s="4"/>
    </row>
    <row r="22" spans="1:9">
      <c r="A22" s="5">
        <v>4</v>
      </c>
      <c r="B22" s="9">
        <v>5</v>
      </c>
      <c r="C22" s="9">
        <v>12</v>
      </c>
      <c r="D22" s="9">
        <f t="shared" si="1"/>
        <v>0.41666666666666669</v>
      </c>
      <c r="E22" s="4"/>
      <c r="F22" s="4"/>
      <c r="G22" s="4"/>
      <c r="H22" s="4"/>
      <c r="I22" s="4"/>
    </row>
    <row r="23" spans="1:9">
      <c r="A23" s="5">
        <v>5</v>
      </c>
      <c r="B23" s="9">
        <v>4</v>
      </c>
      <c r="C23" s="9">
        <v>12</v>
      </c>
      <c r="D23" s="9">
        <f t="shared" si="1"/>
        <v>0.33333333333333331</v>
      </c>
      <c r="E23" s="4"/>
      <c r="F23" s="4"/>
      <c r="G23" s="4"/>
      <c r="H23" s="4"/>
      <c r="I23" s="4"/>
    </row>
    <row r="24" spans="1:9">
      <c r="A24" s="5">
        <v>6</v>
      </c>
      <c r="B24" s="9"/>
      <c r="C24" s="9"/>
      <c r="D24" s="9"/>
      <c r="E24" s="4"/>
      <c r="F24" s="4"/>
      <c r="G24" s="4"/>
      <c r="H24" s="4"/>
      <c r="I24" s="4"/>
    </row>
    <row r="25" spans="1:9">
      <c r="A25" s="5">
        <v>7</v>
      </c>
      <c r="B25" s="9"/>
      <c r="C25" s="9"/>
      <c r="D25" s="9"/>
      <c r="E25" s="4"/>
      <c r="F25" s="4"/>
      <c r="G25" s="4"/>
      <c r="H25" s="4"/>
      <c r="I25" s="4"/>
    </row>
    <row r="26" spans="1:9">
      <c r="A26" s="5">
        <v>8</v>
      </c>
      <c r="B26" s="9"/>
      <c r="C26" s="9"/>
      <c r="D26" s="9"/>
      <c r="E26" s="4"/>
      <c r="F26" s="4"/>
      <c r="G26" s="4"/>
      <c r="H26" s="4"/>
      <c r="I26" s="4"/>
    </row>
    <row r="27" spans="1:9">
      <c r="A27" s="5">
        <v>9</v>
      </c>
      <c r="B27" s="5"/>
      <c r="C27" s="5"/>
      <c r="D27" s="5"/>
      <c r="E27" s="4"/>
      <c r="F27" s="4"/>
      <c r="G27" s="4"/>
      <c r="H27" s="4"/>
      <c r="I27" s="4"/>
    </row>
    <row r="28" spans="1:9">
      <c r="A28" s="5">
        <v>10</v>
      </c>
      <c r="B28" s="5"/>
      <c r="C28" s="5"/>
      <c r="D28" s="5"/>
      <c r="E28" s="4"/>
      <c r="F28" s="4"/>
      <c r="G28" s="4"/>
      <c r="H28" s="4"/>
      <c r="I28" s="4"/>
    </row>
    <row r="29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2" t="s">
        <v>11</v>
      </c>
      <c r="B30" s="4"/>
      <c r="C30" s="4"/>
      <c r="D30" s="4"/>
      <c r="E30" s="4"/>
      <c r="F30" s="4"/>
      <c r="G30" s="4"/>
      <c r="H30" s="4"/>
      <c r="I30" s="4"/>
    </row>
    <row r="31" spans="1:9">
      <c r="A31" s="4"/>
      <c r="B31" s="19" t="s">
        <v>9</v>
      </c>
      <c r="C31" s="19"/>
      <c r="D31" s="19"/>
      <c r="E31" s="4"/>
      <c r="F31" s="4"/>
      <c r="G31" s="4"/>
      <c r="H31" s="5" t="s">
        <v>0</v>
      </c>
      <c r="I31" s="6" t="s">
        <v>1</v>
      </c>
    </row>
    <row r="32" spans="1:9">
      <c r="A32" s="7" t="s">
        <v>2</v>
      </c>
      <c r="B32" s="5" t="s">
        <v>3</v>
      </c>
      <c r="C32" s="5" t="s">
        <v>4</v>
      </c>
      <c r="D32" s="5" t="s">
        <v>5</v>
      </c>
      <c r="E32" s="4"/>
      <c r="F32" s="13"/>
      <c r="G32" s="14"/>
      <c r="H32" s="5"/>
      <c r="I32" s="5"/>
    </row>
    <row r="33" spans="1:9">
      <c r="A33" s="5">
        <v>1</v>
      </c>
      <c r="B33" s="9">
        <v>1</v>
      </c>
      <c r="C33" s="9">
        <v>12</v>
      </c>
      <c r="D33" s="9">
        <f>B33/C33</f>
        <v>8.3333333333333329E-2</v>
      </c>
      <c r="E33" s="4"/>
      <c r="F33" s="13" t="s">
        <v>17</v>
      </c>
      <c r="G33" s="14"/>
      <c r="H33" s="5">
        <f>AVERAGE(D33:D42)</f>
        <v>0.19999999999999998</v>
      </c>
      <c r="I33" s="5">
        <f>STDEV(D33:D42)/SQRT(5)</f>
        <v>3.3333333333333361E-2</v>
      </c>
    </row>
    <row r="34" spans="1:9">
      <c r="A34" s="5">
        <v>2</v>
      </c>
      <c r="B34" s="9">
        <v>3</v>
      </c>
      <c r="C34" s="9">
        <v>12</v>
      </c>
      <c r="D34" s="9">
        <f>B34/C34</f>
        <v>0.25</v>
      </c>
      <c r="E34" s="4"/>
    </row>
    <row r="35" spans="1:9">
      <c r="A35" s="5">
        <v>3</v>
      </c>
      <c r="B35" s="9">
        <v>3</v>
      </c>
      <c r="C35" s="9">
        <v>12</v>
      </c>
      <c r="D35" s="9">
        <f t="shared" ref="D35:D37" si="2">B35/C35</f>
        <v>0.25</v>
      </c>
      <c r="E35" s="4"/>
      <c r="F35" s="4"/>
      <c r="G35" s="4"/>
      <c r="H35" s="4"/>
      <c r="I35" s="4"/>
    </row>
    <row r="36" spans="1:9">
      <c r="A36" s="5">
        <v>4</v>
      </c>
      <c r="B36" s="9">
        <v>2</v>
      </c>
      <c r="C36" s="9">
        <v>12</v>
      </c>
      <c r="D36" s="9">
        <f t="shared" si="2"/>
        <v>0.16666666666666666</v>
      </c>
      <c r="E36" s="4"/>
      <c r="F36" s="4"/>
      <c r="G36" s="4"/>
      <c r="H36" s="4"/>
      <c r="I36" s="4"/>
    </row>
    <row r="37" spans="1:9">
      <c r="A37" s="5">
        <v>5</v>
      </c>
      <c r="B37" s="9">
        <v>3</v>
      </c>
      <c r="C37" s="9">
        <v>12</v>
      </c>
      <c r="D37" s="9">
        <f t="shared" si="2"/>
        <v>0.25</v>
      </c>
      <c r="E37" s="4"/>
      <c r="F37" s="4"/>
      <c r="G37" s="4"/>
      <c r="H37" s="4"/>
      <c r="I37" s="4"/>
    </row>
    <row r="38" spans="1:9">
      <c r="A38" s="5">
        <v>6</v>
      </c>
      <c r="B38" s="9"/>
      <c r="C38" s="9"/>
      <c r="D38" s="9"/>
      <c r="E38" s="4"/>
      <c r="F38" s="4"/>
      <c r="G38" s="4"/>
      <c r="H38" s="4"/>
      <c r="I38" s="4"/>
    </row>
    <row r="39" spans="1:9">
      <c r="A39" s="5">
        <v>7</v>
      </c>
      <c r="B39" s="9"/>
      <c r="C39" s="9"/>
      <c r="D39" s="9"/>
      <c r="E39" s="4"/>
      <c r="F39" s="4"/>
      <c r="G39" s="4"/>
      <c r="H39" s="4"/>
      <c r="I39" s="4"/>
    </row>
    <row r="40" spans="1:9">
      <c r="A40" s="5">
        <v>8</v>
      </c>
      <c r="B40" s="9"/>
      <c r="C40" s="9"/>
      <c r="D40" s="9"/>
      <c r="E40" s="4"/>
      <c r="F40" s="4"/>
      <c r="G40" s="4"/>
      <c r="H40" s="4"/>
      <c r="I40" s="4"/>
    </row>
    <row r="41" spans="1:9">
      <c r="A41" s="5">
        <v>9</v>
      </c>
      <c r="B41" s="5"/>
      <c r="C41" s="5"/>
      <c r="D41" s="5"/>
      <c r="E41" s="4"/>
      <c r="F41" s="4"/>
      <c r="G41" s="4"/>
      <c r="H41" s="4"/>
      <c r="I41" s="4"/>
    </row>
    <row r="42" spans="1:9">
      <c r="A42" s="5">
        <v>10</v>
      </c>
      <c r="B42" s="5"/>
      <c r="C42" s="5"/>
      <c r="D42" s="5"/>
      <c r="E42" s="4"/>
      <c r="F42" s="4"/>
      <c r="G42" s="4"/>
      <c r="H42" s="4"/>
      <c r="I42" s="4"/>
    </row>
    <row r="43" spans="1:9">
      <c r="A43" s="4"/>
      <c r="B43" s="4"/>
      <c r="C43" s="4"/>
      <c r="D43" s="4"/>
      <c r="E43" s="4"/>
      <c r="F43" s="4"/>
      <c r="G43" s="4"/>
      <c r="H43" s="4"/>
      <c r="I43" s="4"/>
    </row>
  </sheetData>
  <mergeCells count="9">
    <mergeCell ref="F32:G32"/>
    <mergeCell ref="F33:G33"/>
    <mergeCell ref="F18:G18"/>
    <mergeCell ref="F19:G19"/>
    <mergeCell ref="B3:D3"/>
    <mergeCell ref="F4:G4"/>
    <mergeCell ref="F5:G5"/>
    <mergeCell ref="B17:D17"/>
    <mergeCell ref="B31:D3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3"/>
  <sheetViews>
    <sheetView zoomScaleNormal="100" workbookViewId="0">
      <selection activeCell="I40" sqref="I40"/>
    </sheetView>
  </sheetViews>
  <sheetFormatPr defaultColWidth="9" defaultRowHeight="10.199999999999999"/>
  <cols>
    <col min="1" max="16384" width="9" style="2"/>
  </cols>
  <sheetData>
    <row r="1" spans="1:18" s="10" customFormat="1" ht="14.25" customHeight="1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8">
      <c r="A2" s="2" t="s">
        <v>10</v>
      </c>
      <c r="B2" s="4"/>
      <c r="C2" s="4"/>
      <c r="D2" s="4"/>
      <c r="K2" s="3"/>
      <c r="L2" s="3"/>
      <c r="M2" s="3"/>
      <c r="N2" s="3"/>
    </row>
    <row r="3" spans="1:18">
      <c r="A3" s="4"/>
      <c r="B3" s="19"/>
      <c r="C3" s="19"/>
      <c r="D3" s="19"/>
      <c r="F3" s="4"/>
      <c r="G3" s="4"/>
      <c r="H3" s="5" t="s">
        <v>6</v>
      </c>
      <c r="I3" s="6" t="s">
        <v>1</v>
      </c>
      <c r="K3" s="3"/>
      <c r="L3" s="3"/>
      <c r="M3" s="3"/>
      <c r="N3" s="3"/>
    </row>
    <row r="4" spans="1:18">
      <c r="A4" s="7" t="s">
        <v>2</v>
      </c>
      <c r="B4" s="5" t="s">
        <v>3</v>
      </c>
      <c r="C4" s="5" t="s">
        <v>4</v>
      </c>
      <c r="D4" s="5" t="s">
        <v>5</v>
      </c>
      <c r="F4" s="13"/>
      <c r="G4" s="14"/>
      <c r="H4" s="5"/>
      <c r="I4" s="5"/>
      <c r="K4" s="3"/>
      <c r="L4" s="3"/>
      <c r="M4" s="3"/>
      <c r="N4" s="3"/>
    </row>
    <row r="5" spans="1:18">
      <c r="A5" s="5">
        <v>1</v>
      </c>
      <c r="B5" s="9">
        <v>12</v>
      </c>
      <c r="C5" s="9">
        <v>12</v>
      </c>
      <c r="D5" s="9">
        <f>B5/C5</f>
        <v>1</v>
      </c>
      <c r="F5" s="13" t="s">
        <v>17</v>
      </c>
      <c r="G5" s="14"/>
      <c r="H5" s="5">
        <f>AVERAGE(D5:D14)</f>
        <v>0.97916666666666663</v>
      </c>
      <c r="I5" s="5">
        <f>STDEV(D5:D14)/SQRT(4)</f>
        <v>2.0833333333333346E-2</v>
      </c>
      <c r="K5" s="3"/>
      <c r="L5" s="3"/>
      <c r="M5" s="3"/>
      <c r="N5" s="3"/>
    </row>
    <row r="6" spans="1:18">
      <c r="A6" s="5">
        <v>2</v>
      </c>
      <c r="B6" s="9">
        <v>11</v>
      </c>
      <c r="C6" s="9">
        <v>12</v>
      </c>
      <c r="D6" s="9">
        <f>B6/C6</f>
        <v>0.91666666666666663</v>
      </c>
    </row>
    <row r="7" spans="1:18">
      <c r="A7" s="5">
        <v>3</v>
      </c>
      <c r="B7" s="9">
        <v>12</v>
      </c>
      <c r="C7" s="9">
        <v>12</v>
      </c>
      <c r="D7" s="9">
        <f t="shared" ref="D7:D8" si="0">B7/C7</f>
        <v>1</v>
      </c>
    </row>
    <row r="8" spans="1:18">
      <c r="A8" s="5">
        <v>4</v>
      </c>
      <c r="B8" s="9">
        <v>12</v>
      </c>
      <c r="C8" s="9">
        <v>12</v>
      </c>
      <c r="D8" s="9">
        <f t="shared" si="0"/>
        <v>1</v>
      </c>
    </row>
    <row r="9" spans="1:18">
      <c r="A9" s="5">
        <v>5</v>
      </c>
      <c r="B9" s="9"/>
      <c r="C9" s="9"/>
      <c r="D9" s="9"/>
      <c r="K9" s="1"/>
      <c r="M9" s="8" t="s">
        <v>0</v>
      </c>
      <c r="N9" s="8"/>
    </row>
    <row r="10" spans="1:18">
      <c r="A10" s="5">
        <v>6</v>
      </c>
      <c r="B10" s="9"/>
      <c r="C10" s="9"/>
      <c r="D10" s="9"/>
      <c r="K10" s="11"/>
      <c r="L10" s="12" t="s">
        <v>10</v>
      </c>
      <c r="M10" s="12" t="s">
        <v>11</v>
      </c>
      <c r="N10" s="12" t="s">
        <v>12</v>
      </c>
      <c r="P10" s="2" t="s">
        <v>7</v>
      </c>
      <c r="Q10" s="2" t="s">
        <v>8</v>
      </c>
      <c r="R10" s="2" t="s">
        <v>8</v>
      </c>
    </row>
    <row r="11" spans="1:18">
      <c r="A11" s="5">
        <v>7</v>
      </c>
      <c r="B11" s="9"/>
      <c r="C11" s="9"/>
      <c r="D11" s="9"/>
      <c r="K11" s="11" t="s">
        <v>14</v>
      </c>
      <c r="L11" s="12">
        <f>H5</f>
        <v>0.97916666666666663</v>
      </c>
      <c r="M11" s="12">
        <f>H19</f>
        <v>0.5625</v>
      </c>
      <c r="N11" s="12">
        <f>H33</f>
        <v>0.25</v>
      </c>
      <c r="P11" s="2">
        <f>I5</f>
        <v>2.0833333333333346E-2</v>
      </c>
      <c r="Q11" s="2">
        <f>I19</f>
        <v>7.1159380319163842E-2</v>
      </c>
      <c r="R11" s="2">
        <f>I33</f>
        <v>5.8925565098878974E-2</v>
      </c>
    </row>
    <row r="12" spans="1:18">
      <c r="A12" s="5">
        <v>8</v>
      </c>
      <c r="B12" s="9"/>
      <c r="C12" s="9"/>
      <c r="D12" s="9"/>
    </row>
    <row r="13" spans="1:18">
      <c r="A13" s="5">
        <v>9</v>
      </c>
      <c r="B13" s="5"/>
      <c r="C13" s="5"/>
      <c r="D13" s="5"/>
    </row>
    <row r="14" spans="1:18">
      <c r="A14" s="5">
        <v>10</v>
      </c>
      <c r="B14" s="5"/>
      <c r="C14" s="5"/>
      <c r="D14" s="5"/>
    </row>
    <row r="16" spans="1:18">
      <c r="A16" s="2" t="s">
        <v>11</v>
      </c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19" t="s">
        <v>9</v>
      </c>
      <c r="C17" s="19"/>
      <c r="D17" s="19"/>
      <c r="E17" s="4"/>
      <c r="F17" s="4"/>
      <c r="G17" s="4"/>
      <c r="H17" s="5" t="s">
        <v>0</v>
      </c>
      <c r="I17" s="6" t="s">
        <v>1</v>
      </c>
    </row>
    <row r="18" spans="1:9">
      <c r="A18" s="7" t="s">
        <v>2</v>
      </c>
      <c r="B18" s="5" t="s">
        <v>3</v>
      </c>
      <c r="C18" s="5" t="s">
        <v>4</v>
      </c>
      <c r="D18" s="5" t="s">
        <v>5</v>
      </c>
      <c r="E18" s="4"/>
      <c r="F18" s="13"/>
      <c r="G18" s="14"/>
      <c r="H18" s="5"/>
      <c r="I18" s="5"/>
    </row>
    <row r="19" spans="1:9">
      <c r="A19" s="5">
        <v>1</v>
      </c>
      <c r="B19" s="9">
        <v>7</v>
      </c>
      <c r="C19" s="9">
        <v>12</v>
      </c>
      <c r="D19" s="9">
        <f>B19/C19</f>
        <v>0.58333333333333337</v>
      </c>
      <c r="E19" s="4"/>
      <c r="F19" s="13" t="s">
        <v>17</v>
      </c>
      <c r="G19" s="14"/>
      <c r="H19" s="5">
        <f>AVERAGE(D19:D28)</f>
        <v>0.5625</v>
      </c>
      <c r="I19" s="5">
        <f>STDEV(D19:D28)/SQRT(4)</f>
        <v>7.1159380319163842E-2</v>
      </c>
    </row>
    <row r="20" spans="1:9">
      <c r="A20" s="5">
        <v>2</v>
      </c>
      <c r="B20" s="9">
        <v>5</v>
      </c>
      <c r="C20" s="9">
        <v>12</v>
      </c>
      <c r="D20" s="9">
        <f>B20/C20</f>
        <v>0.41666666666666669</v>
      </c>
      <c r="E20" s="4"/>
    </row>
    <row r="21" spans="1:9">
      <c r="A21" s="5">
        <v>3</v>
      </c>
      <c r="B21" s="9">
        <v>6</v>
      </c>
      <c r="C21" s="9">
        <v>12</v>
      </c>
      <c r="D21" s="9">
        <f t="shared" ref="D21:D22" si="1">B21/C21</f>
        <v>0.5</v>
      </c>
      <c r="E21" s="4"/>
      <c r="F21" s="4"/>
      <c r="G21" s="4"/>
      <c r="H21" s="4"/>
      <c r="I21" s="4"/>
    </row>
    <row r="22" spans="1:9">
      <c r="A22" s="5">
        <v>4</v>
      </c>
      <c r="B22" s="9">
        <v>9</v>
      </c>
      <c r="C22" s="9">
        <v>12</v>
      </c>
      <c r="D22" s="9">
        <f t="shared" si="1"/>
        <v>0.75</v>
      </c>
      <c r="E22" s="4"/>
      <c r="F22" s="4"/>
      <c r="G22" s="4"/>
      <c r="H22" s="4"/>
      <c r="I22" s="4"/>
    </row>
    <row r="23" spans="1:9">
      <c r="A23" s="5">
        <v>5</v>
      </c>
      <c r="B23" s="9"/>
      <c r="C23" s="9"/>
      <c r="D23" s="9"/>
      <c r="E23" s="4"/>
      <c r="F23" s="4"/>
      <c r="G23" s="4"/>
      <c r="H23" s="4"/>
      <c r="I23" s="4"/>
    </row>
    <row r="24" spans="1:9">
      <c r="A24" s="5">
        <v>6</v>
      </c>
      <c r="B24" s="9"/>
      <c r="C24" s="9"/>
      <c r="D24" s="9"/>
      <c r="E24" s="4"/>
      <c r="F24" s="4"/>
      <c r="G24" s="4"/>
      <c r="H24" s="4"/>
      <c r="I24" s="4"/>
    </row>
    <row r="25" spans="1:9">
      <c r="A25" s="5">
        <v>7</v>
      </c>
      <c r="B25" s="9"/>
      <c r="C25" s="9"/>
      <c r="D25" s="9"/>
      <c r="E25" s="4"/>
      <c r="F25" s="4"/>
      <c r="G25" s="4"/>
      <c r="H25" s="4"/>
      <c r="I25" s="4"/>
    </row>
    <row r="26" spans="1:9">
      <c r="A26" s="5">
        <v>8</v>
      </c>
      <c r="B26" s="9"/>
      <c r="C26" s="9"/>
      <c r="D26" s="9"/>
      <c r="E26" s="4"/>
      <c r="F26" s="4"/>
      <c r="G26" s="4"/>
      <c r="H26" s="4"/>
      <c r="I26" s="4"/>
    </row>
    <row r="27" spans="1:9">
      <c r="A27" s="5">
        <v>9</v>
      </c>
      <c r="B27" s="5"/>
      <c r="C27" s="5"/>
      <c r="D27" s="5"/>
      <c r="E27" s="4"/>
      <c r="F27" s="4"/>
      <c r="G27" s="4"/>
      <c r="H27" s="4"/>
      <c r="I27" s="4"/>
    </row>
    <row r="28" spans="1:9">
      <c r="A28" s="5">
        <v>10</v>
      </c>
      <c r="B28" s="5"/>
      <c r="C28" s="5"/>
      <c r="D28" s="5"/>
      <c r="E28" s="4"/>
      <c r="F28" s="4"/>
      <c r="G28" s="4"/>
      <c r="H28" s="4"/>
      <c r="I28" s="4"/>
    </row>
    <row r="29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2" t="s">
        <v>11</v>
      </c>
      <c r="B30" s="4"/>
      <c r="C30" s="4"/>
      <c r="D30" s="4"/>
      <c r="E30" s="4"/>
      <c r="F30" s="4"/>
      <c r="G30" s="4"/>
      <c r="H30" s="4"/>
      <c r="I30" s="4"/>
    </row>
    <row r="31" spans="1:9">
      <c r="A31" s="4"/>
      <c r="B31" s="19" t="s">
        <v>9</v>
      </c>
      <c r="C31" s="19"/>
      <c r="D31" s="19"/>
      <c r="E31" s="4"/>
      <c r="F31" s="4"/>
      <c r="G31" s="4"/>
      <c r="H31" s="5" t="s">
        <v>0</v>
      </c>
      <c r="I31" s="6" t="s">
        <v>1</v>
      </c>
    </row>
    <row r="32" spans="1:9">
      <c r="A32" s="7" t="s">
        <v>2</v>
      </c>
      <c r="B32" s="5" t="s">
        <v>3</v>
      </c>
      <c r="C32" s="5" t="s">
        <v>4</v>
      </c>
      <c r="D32" s="5" t="s">
        <v>5</v>
      </c>
      <c r="E32" s="4"/>
      <c r="F32" s="13"/>
      <c r="G32" s="14"/>
      <c r="H32" s="5"/>
      <c r="I32" s="5"/>
    </row>
    <row r="33" spans="1:9">
      <c r="A33" s="5">
        <v>1</v>
      </c>
      <c r="B33" s="9">
        <v>2</v>
      </c>
      <c r="C33" s="9">
        <v>12</v>
      </c>
      <c r="D33" s="9">
        <f>B33/C33</f>
        <v>0.16666666666666666</v>
      </c>
      <c r="E33" s="4"/>
      <c r="F33" s="13" t="s">
        <v>17</v>
      </c>
      <c r="G33" s="14"/>
      <c r="H33" s="5">
        <f>AVERAGE(D33:D42)</f>
        <v>0.25</v>
      </c>
      <c r="I33" s="5">
        <f>STDEV(D33:D42)/SQRT(4)</f>
        <v>5.8925565098878974E-2</v>
      </c>
    </row>
    <row r="34" spans="1:9">
      <c r="A34" s="5">
        <v>2</v>
      </c>
      <c r="B34" s="9">
        <v>3</v>
      </c>
      <c r="C34" s="9">
        <v>12</v>
      </c>
      <c r="D34" s="9">
        <f>B34/C34</f>
        <v>0.25</v>
      </c>
      <c r="E34" s="4"/>
    </row>
    <row r="35" spans="1:9">
      <c r="A35" s="5">
        <v>3</v>
      </c>
      <c r="B35" s="9">
        <v>2</v>
      </c>
      <c r="C35" s="9">
        <v>12</v>
      </c>
      <c r="D35" s="9">
        <f t="shared" ref="D35:D36" si="2">B35/C35</f>
        <v>0.16666666666666666</v>
      </c>
      <c r="E35" s="4"/>
      <c r="F35" s="4"/>
      <c r="G35" s="4"/>
      <c r="H35" s="4"/>
      <c r="I35" s="4"/>
    </row>
    <row r="36" spans="1:9">
      <c r="A36" s="5">
        <v>4</v>
      </c>
      <c r="B36" s="9">
        <v>5</v>
      </c>
      <c r="C36" s="9">
        <v>12</v>
      </c>
      <c r="D36" s="9">
        <f t="shared" si="2"/>
        <v>0.41666666666666669</v>
      </c>
      <c r="E36" s="4"/>
      <c r="F36" s="4"/>
      <c r="G36" s="4"/>
      <c r="H36" s="4"/>
      <c r="I36" s="4"/>
    </row>
    <row r="37" spans="1:9">
      <c r="A37" s="5">
        <v>5</v>
      </c>
      <c r="B37" s="9"/>
      <c r="C37" s="9"/>
      <c r="D37" s="9"/>
      <c r="E37" s="4"/>
      <c r="F37" s="4"/>
      <c r="G37" s="4"/>
      <c r="H37" s="4"/>
      <c r="I37" s="4"/>
    </row>
    <row r="38" spans="1:9">
      <c r="A38" s="5">
        <v>6</v>
      </c>
      <c r="B38" s="9"/>
      <c r="C38" s="9"/>
      <c r="D38" s="9"/>
      <c r="E38" s="4"/>
      <c r="F38" s="4"/>
      <c r="G38" s="4"/>
      <c r="H38" s="4"/>
      <c r="I38" s="4"/>
    </row>
    <row r="39" spans="1:9">
      <c r="A39" s="5">
        <v>7</v>
      </c>
      <c r="B39" s="9"/>
      <c r="C39" s="9"/>
      <c r="D39" s="9"/>
      <c r="E39" s="4"/>
      <c r="F39" s="4"/>
      <c r="G39" s="4"/>
      <c r="H39" s="4"/>
      <c r="I39" s="4"/>
    </row>
    <row r="40" spans="1:9">
      <c r="A40" s="5">
        <v>8</v>
      </c>
      <c r="B40" s="9"/>
      <c r="C40" s="9"/>
      <c r="D40" s="9"/>
      <c r="E40" s="4"/>
      <c r="F40" s="4"/>
      <c r="G40" s="4"/>
      <c r="H40" s="4"/>
      <c r="I40" s="4"/>
    </row>
    <row r="41" spans="1:9">
      <c r="A41" s="5">
        <v>9</v>
      </c>
      <c r="B41" s="5"/>
      <c r="C41" s="5"/>
      <c r="D41" s="5"/>
      <c r="E41" s="4"/>
      <c r="F41" s="4"/>
      <c r="G41" s="4"/>
      <c r="H41" s="4"/>
      <c r="I41" s="4"/>
    </row>
    <row r="42" spans="1:9">
      <c r="A42" s="5">
        <v>10</v>
      </c>
      <c r="B42" s="5"/>
      <c r="C42" s="5"/>
      <c r="D42" s="5"/>
      <c r="E42" s="4"/>
      <c r="F42" s="4"/>
      <c r="G42" s="4"/>
      <c r="H42" s="4"/>
      <c r="I42" s="4"/>
    </row>
    <row r="43" spans="1:9">
      <c r="A43" s="4"/>
      <c r="B43" s="4"/>
      <c r="C43" s="4"/>
      <c r="D43" s="4"/>
      <c r="E43" s="4"/>
      <c r="F43" s="4"/>
      <c r="G43" s="4"/>
      <c r="H43" s="4"/>
      <c r="I43" s="4"/>
    </row>
  </sheetData>
  <mergeCells count="9">
    <mergeCell ref="F19:G19"/>
    <mergeCell ref="B31:D31"/>
    <mergeCell ref="F32:G32"/>
    <mergeCell ref="F33:G33"/>
    <mergeCell ref="B3:D3"/>
    <mergeCell ref="F4:G4"/>
    <mergeCell ref="F5:G5"/>
    <mergeCell ref="B17:D17"/>
    <mergeCell ref="F18:G1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Fed M vs F</vt:lpstr>
      <vt:lpstr>Fed </vt:lpstr>
      <vt:lpstr>Starved</vt:lpstr>
      <vt:lpstr>Sheet1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DE SILVA, W.P.D.M.</cp:lastModifiedBy>
  <dcterms:created xsi:type="dcterms:W3CDTF">2022-02-16T08:52:50Z</dcterms:created>
  <dcterms:modified xsi:type="dcterms:W3CDTF">2025-05-25T17:08:39Z</dcterms:modified>
</cp:coreProperties>
</file>