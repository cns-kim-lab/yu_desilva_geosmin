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dilan\My Drive (dilandesilvakr@gmail.com)\Yonsei - GMAIL\Project1 - geosmin project\3. THIS WEEK REPORTs\x_THIS WEEK REPORT - 26.08.09\"/>
    </mc:Choice>
  </mc:AlternateContent>
  <xr:revisionPtr revIDLastSave="0" documentId="13_ncr:1_{3132A123-7404-41C6-A602-99B01C65D8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d " sheetId="3" r:id="rId1"/>
    <sheet name="Sheet1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  <c r="D6" i="3"/>
  <c r="D7" i="3"/>
  <c r="D8" i="3"/>
  <c r="D19" i="3"/>
  <c r="D20" i="3"/>
  <c r="D21" i="3"/>
  <c r="D22" i="3"/>
  <c r="D33" i="3"/>
  <c r="D34" i="3"/>
  <c r="D35" i="3"/>
  <c r="D36" i="3"/>
  <c r="I19" i="3" l="1"/>
  <c r="I33" i="3"/>
  <c r="R11" i="3" s="1"/>
  <c r="I5" i="3"/>
  <c r="H33" i="3" l="1"/>
  <c r="N11" i="3" s="1"/>
  <c r="Q11" i="3"/>
  <c r="P11" i="3"/>
  <c r="H5" i="3" l="1"/>
  <c r="L11" i="3" s="1"/>
  <c r="H19" i="3"/>
  <c r="M11" i="3" s="1"/>
</calcChain>
</file>

<file path=xl/sharedStrings.xml><?xml version="1.0" encoding="utf-8"?>
<sst xmlns="http://schemas.openxmlformats.org/spreadsheetml/2006/main" count="35" uniqueCount="16">
  <si>
    <t>PER (average)</t>
    <phoneticPr fontId="1" type="noConversion"/>
  </si>
  <si>
    <t>SEM</t>
  </si>
  <si>
    <t>Plate #</t>
    <phoneticPr fontId="1" type="noConversion"/>
  </si>
  <si>
    <t>Response</t>
  </si>
  <si>
    <t>Total</t>
  </si>
  <si>
    <t>Response Rate</t>
  </si>
  <si>
    <t>PER (average)</t>
  </si>
  <si>
    <t>SEM T</t>
  </si>
  <si>
    <t>SEM L</t>
  </si>
  <si>
    <t>Modified; 100mM Suc. &amp; 10% Geo.</t>
  </si>
  <si>
    <t>foreleg</t>
  </si>
  <si>
    <t>midleg</t>
  </si>
  <si>
    <t>hindleg</t>
  </si>
  <si>
    <t>Fed -  Tarsal PER 100mM Suc.</t>
  </si>
  <si>
    <t>w1118</t>
  </si>
  <si>
    <t>100mM Suc.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</si>
</sst>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/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/>
    <xf numFmtId="0" fontId="2" fillId="0" borderId="3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 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'Fed '!$K$11</c:f>
              <c:strCache>
                <c:ptCount val="1"/>
                <c:pt idx="0">
                  <c:v>w1118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9050">
              <a:solidFill>
                <a:schemeClr val="bg1"/>
              </a:solidFill>
              <a:prstDash val="solid"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'Fed '!$P$11:$R$11</c:f>
                <c:numCache>
                  <c:formatCode>General</c:formatCode>
                  <c:ptCount val="3"/>
                  <c:pt idx="0">
                    <c:v>4.1317985501787328E-2</c:v>
                  </c:pt>
                  <c:pt idx="1">
                    <c:v>4.4357553951864713E-2</c:v>
                  </c:pt>
                  <c:pt idx="2">
                    <c:v>3.4020690871988626E-2</c:v>
                  </c:pt>
                </c:numCache>
              </c:numRef>
            </c:plus>
            <c:minus>
              <c:numRef>
                <c:f>'Fed '!$P$11:$R$11</c:f>
                <c:numCache>
                  <c:formatCode>General</c:formatCode>
                  <c:ptCount val="3"/>
                  <c:pt idx="0">
                    <c:v>4.1317985501787328E-2</c:v>
                  </c:pt>
                  <c:pt idx="1">
                    <c:v>4.4357553951864713E-2</c:v>
                  </c:pt>
                  <c:pt idx="2">
                    <c:v>3.4020690871988626E-2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'Fed '!$L$10:$N$10</c:f>
              <c:strCache>
                <c:ptCount val="3"/>
                <c:pt idx="0">
                  <c:v>foreleg</c:v>
                </c:pt>
                <c:pt idx="1">
                  <c:v>midleg</c:v>
                </c:pt>
                <c:pt idx="2">
                  <c:v>hindleg</c:v>
                </c:pt>
              </c:strCache>
            </c:strRef>
          </c:cat>
          <c:val>
            <c:numRef>
              <c:f>'Fed '!$L$11:$N$11</c:f>
              <c:numCache>
                <c:formatCode>General</c:formatCode>
                <c:ptCount val="3"/>
                <c:pt idx="0">
                  <c:v>0.67708333333333337</c:v>
                </c:pt>
                <c:pt idx="1">
                  <c:v>0.35416666666666669</c:v>
                </c:pt>
                <c:pt idx="2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F5-4B16-A939-B6CD3B332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5200495"/>
        <c:axId val="545198415"/>
      </c:barChart>
      <c:catAx>
        <c:axId val="545200495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198415"/>
        <c:crosses val="autoZero"/>
        <c:auto val="1"/>
        <c:lblAlgn val="ctr"/>
        <c:lblOffset val="100"/>
        <c:noMultiLvlLbl val="0"/>
      </c:catAx>
      <c:valAx>
        <c:axId val="545198415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0">
                    <a:solidFill>
                      <a:sysClr val="windowText" lastClr="000000"/>
                    </a:solidFill>
                  </a:rPr>
                  <a:t> Tarsal PER (100mM Suc.)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200495"/>
        <c:crosses val="autoZero"/>
        <c:crossBetween val="between"/>
        <c:majorUnit val="0.2"/>
      </c:valAx>
      <c:spPr>
        <a:noFill/>
        <a:ln>
          <a:solidFill>
            <a:schemeClr val="bg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13</xdr:row>
      <xdr:rowOff>16827</xdr:rowOff>
    </xdr:from>
    <xdr:to>
      <xdr:col>13</xdr:col>
      <xdr:colOff>609600</xdr:colOff>
      <xdr:row>29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97AEA6-D871-4958-B531-2FF6AAB36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10</xdr:col>
      <xdr:colOff>412512</xdr:colOff>
      <xdr:row>14</xdr:row>
      <xdr:rowOff>17236</xdr:rowOff>
    </xdr:from>
    <xdr:ext cx="1838388" cy="21025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965F9A4-A9BF-477B-8DE1-939416FB0FBE}"/>
            </a:ext>
          </a:extLst>
        </xdr:cNvPr>
        <xdr:cNvSpPr txBox="1"/>
      </xdr:nvSpPr>
      <xdr:spPr>
        <a:xfrm>
          <a:off x="6603762" y="1922236"/>
          <a:ext cx="1838388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b="1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w1118, satiated condition, Female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3"/>
  <sheetViews>
    <sheetView tabSelected="1" zoomScaleNormal="100" workbookViewId="0"/>
  </sheetViews>
  <sheetFormatPr defaultColWidth="9" defaultRowHeight="10.199999999999999"/>
  <cols>
    <col min="1" max="16384" width="9" style="2"/>
  </cols>
  <sheetData>
    <row r="1" spans="1:18" s="10" customFormat="1" ht="14.25" customHeight="1">
      <c r="A1" s="1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8">
      <c r="A2" s="2" t="s">
        <v>10</v>
      </c>
      <c r="B2" s="4"/>
      <c r="C2" s="4"/>
      <c r="D2" s="4"/>
      <c r="K2" s="3"/>
      <c r="L2" s="3"/>
      <c r="M2" s="3"/>
      <c r="N2" s="3"/>
    </row>
    <row r="3" spans="1:18">
      <c r="A3" s="4"/>
      <c r="B3" s="15"/>
      <c r="C3" s="15"/>
      <c r="D3" s="15"/>
      <c r="F3" s="4"/>
      <c r="G3" s="4"/>
      <c r="H3" s="5" t="s">
        <v>6</v>
      </c>
      <c r="I3" s="6" t="s">
        <v>1</v>
      </c>
      <c r="K3" s="3"/>
      <c r="L3" s="3"/>
      <c r="M3" s="3"/>
      <c r="N3" s="3"/>
    </row>
    <row r="4" spans="1:18">
      <c r="A4" s="7" t="s">
        <v>2</v>
      </c>
      <c r="B4" s="5" t="s">
        <v>3</v>
      </c>
      <c r="C4" s="5" t="s">
        <v>4</v>
      </c>
      <c r="D4" s="5" t="s">
        <v>5</v>
      </c>
      <c r="F4" s="13"/>
      <c r="G4" s="14"/>
      <c r="H4" s="5"/>
      <c r="I4" s="5"/>
      <c r="K4" s="3"/>
      <c r="L4" s="3"/>
      <c r="M4" s="3"/>
      <c r="N4" s="3"/>
    </row>
    <row r="5" spans="1:18">
      <c r="A5" s="5">
        <v>1</v>
      </c>
      <c r="B5" s="16">
        <v>17</v>
      </c>
      <c r="C5" s="9">
        <v>24</v>
      </c>
      <c r="D5" s="9">
        <f>B5/C5</f>
        <v>0.70833333333333337</v>
      </c>
      <c r="F5" s="13" t="s">
        <v>15</v>
      </c>
      <c r="G5" s="14"/>
      <c r="H5" s="5">
        <f>AVERAGE(D5:D14)</f>
        <v>0.67708333333333337</v>
      </c>
      <c r="I5" s="5">
        <f>STDEV(D5:D14)/SQRT(5)</f>
        <v>4.1317985501787328E-2</v>
      </c>
      <c r="K5" s="3"/>
      <c r="L5" s="3"/>
      <c r="M5" s="3"/>
      <c r="N5" s="3"/>
    </row>
    <row r="6" spans="1:18">
      <c r="A6" s="5">
        <v>2</v>
      </c>
      <c r="B6" s="16">
        <v>14</v>
      </c>
      <c r="C6" s="9">
        <v>24</v>
      </c>
      <c r="D6" s="9">
        <f>B6/C6</f>
        <v>0.58333333333333337</v>
      </c>
    </row>
    <row r="7" spans="1:18">
      <c r="A7" s="5">
        <v>3</v>
      </c>
      <c r="B7" s="16">
        <v>15</v>
      </c>
      <c r="C7" s="9">
        <v>24</v>
      </c>
      <c r="D7" s="9">
        <f t="shared" ref="D7:D8" si="0">B7/C7</f>
        <v>0.625</v>
      </c>
    </row>
    <row r="8" spans="1:18">
      <c r="A8" s="5">
        <v>4</v>
      </c>
      <c r="B8" s="16">
        <v>19</v>
      </c>
      <c r="C8" s="9">
        <v>24</v>
      </c>
      <c r="D8" s="9">
        <f t="shared" si="0"/>
        <v>0.79166666666666663</v>
      </c>
    </row>
    <row r="9" spans="1:18">
      <c r="A9" s="5">
        <v>5</v>
      </c>
      <c r="B9" s="16"/>
      <c r="C9" s="9"/>
      <c r="D9" s="9"/>
      <c r="K9" s="1"/>
      <c r="M9" s="8" t="s">
        <v>0</v>
      </c>
      <c r="N9" s="8"/>
    </row>
    <row r="10" spans="1:18">
      <c r="A10" s="5">
        <v>6</v>
      </c>
      <c r="B10" s="9"/>
      <c r="C10" s="9"/>
      <c r="D10" s="9"/>
      <c r="K10" s="11"/>
      <c r="L10" s="12" t="s">
        <v>10</v>
      </c>
      <c r="M10" s="12" t="s">
        <v>11</v>
      </c>
      <c r="N10" s="12" t="s">
        <v>12</v>
      </c>
      <c r="P10" s="2" t="s">
        <v>7</v>
      </c>
      <c r="Q10" s="2" t="s">
        <v>8</v>
      </c>
      <c r="R10" s="2" t="s">
        <v>8</v>
      </c>
    </row>
    <row r="11" spans="1:18">
      <c r="A11" s="5">
        <v>7</v>
      </c>
      <c r="B11" s="9"/>
      <c r="C11" s="9"/>
      <c r="D11" s="9"/>
      <c r="K11" s="11" t="s">
        <v>14</v>
      </c>
      <c r="L11" s="12">
        <f>H5</f>
        <v>0.67708333333333337</v>
      </c>
      <c r="M11" s="12">
        <f>H19</f>
        <v>0.35416666666666669</v>
      </c>
      <c r="N11" s="12">
        <f>H33</f>
        <v>0.25</v>
      </c>
      <c r="P11" s="2">
        <f>I5</f>
        <v>4.1317985501787328E-2</v>
      </c>
      <c r="Q11" s="2">
        <f>I19</f>
        <v>4.4357553951864713E-2</v>
      </c>
      <c r="R11" s="2">
        <f>I33</f>
        <v>3.4020690871988626E-2</v>
      </c>
    </row>
    <row r="12" spans="1:18">
      <c r="A12" s="5">
        <v>8</v>
      </c>
      <c r="B12" s="9"/>
      <c r="C12" s="9"/>
      <c r="D12" s="9"/>
    </row>
    <row r="13" spans="1:18">
      <c r="A13" s="5">
        <v>9</v>
      </c>
      <c r="B13" s="5"/>
      <c r="C13" s="5"/>
      <c r="D13" s="5"/>
    </row>
    <row r="14" spans="1:18">
      <c r="A14" s="5">
        <v>10</v>
      </c>
      <c r="B14" s="5"/>
      <c r="C14" s="5"/>
      <c r="D14" s="5"/>
    </row>
    <row r="16" spans="1:18">
      <c r="A16" s="2" t="s">
        <v>11</v>
      </c>
      <c r="B16" s="4"/>
      <c r="C16" s="4"/>
      <c r="D16" s="4"/>
      <c r="E16" s="4"/>
      <c r="F16" s="4"/>
      <c r="G16" s="4"/>
      <c r="H16" s="4"/>
      <c r="I16" s="4"/>
    </row>
    <row r="17" spans="1:9">
      <c r="A17" s="4"/>
      <c r="B17" s="15" t="s">
        <v>9</v>
      </c>
      <c r="C17" s="15"/>
      <c r="D17" s="15"/>
      <c r="E17" s="4"/>
      <c r="F17" s="4"/>
      <c r="G17" s="4"/>
      <c r="H17" s="5" t="s">
        <v>0</v>
      </c>
      <c r="I17" s="6" t="s">
        <v>1</v>
      </c>
    </row>
    <row r="18" spans="1:9">
      <c r="A18" s="7" t="s">
        <v>2</v>
      </c>
      <c r="B18" s="5" t="s">
        <v>3</v>
      </c>
      <c r="C18" s="5" t="s">
        <v>4</v>
      </c>
      <c r="D18" s="5" t="s">
        <v>5</v>
      </c>
      <c r="E18" s="4"/>
      <c r="F18" s="13"/>
      <c r="G18" s="14"/>
      <c r="H18" s="5"/>
      <c r="I18" s="5"/>
    </row>
    <row r="19" spans="1:9">
      <c r="A19" s="5">
        <v>1</v>
      </c>
      <c r="B19" s="16">
        <v>10</v>
      </c>
      <c r="C19" s="9">
        <v>24</v>
      </c>
      <c r="D19" s="9">
        <f>B19/C19</f>
        <v>0.41666666666666669</v>
      </c>
      <c r="E19" s="4"/>
      <c r="F19" s="13" t="s">
        <v>15</v>
      </c>
      <c r="G19" s="14"/>
      <c r="H19" s="5">
        <f>AVERAGE(D19:D28)</f>
        <v>0.35416666666666669</v>
      </c>
      <c r="I19" s="5">
        <f>STDEV(D19:D28)/SQRT(5)</f>
        <v>4.4357553951864713E-2</v>
      </c>
    </row>
    <row r="20" spans="1:9">
      <c r="A20" s="5">
        <v>2</v>
      </c>
      <c r="B20" s="16">
        <v>7</v>
      </c>
      <c r="C20" s="9">
        <v>24</v>
      </c>
      <c r="D20" s="9">
        <f>B20/C20</f>
        <v>0.29166666666666669</v>
      </c>
      <c r="E20" s="4"/>
    </row>
    <row r="21" spans="1:9">
      <c r="A21" s="5">
        <v>3</v>
      </c>
      <c r="B21" s="16">
        <v>6</v>
      </c>
      <c r="C21" s="9">
        <v>24</v>
      </c>
      <c r="D21" s="9">
        <f t="shared" ref="D21:D22" si="1">B21/C21</f>
        <v>0.25</v>
      </c>
      <c r="E21" s="4"/>
      <c r="F21" s="4"/>
      <c r="G21" s="4"/>
      <c r="H21" s="4"/>
      <c r="I21" s="4"/>
    </row>
    <row r="22" spans="1:9">
      <c r="A22" s="5">
        <v>4</v>
      </c>
      <c r="B22" s="16">
        <v>11</v>
      </c>
      <c r="C22" s="9">
        <v>24</v>
      </c>
      <c r="D22" s="9">
        <f t="shared" si="1"/>
        <v>0.45833333333333331</v>
      </c>
      <c r="E22" s="4"/>
      <c r="F22" s="4"/>
      <c r="G22" s="4"/>
      <c r="H22" s="4"/>
      <c r="I22" s="4"/>
    </row>
    <row r="23" spans="1:9">
      <c r="A23" s="5">
        <v>5</v>
      </c>
      <c r="B23" s="16"/>
      <c r="C23" s="9"/>
      <c r="D23" s="9"/>
      <c r="E23" s="4"/>
      <c r="F23" s="4"/>
      <c r="G23" s="4"/>
      <c r="H23" s="4"/>
      <c r="I23" s="4"/>
    </row>
    <row r="24" spans="1:9">
      <c r="A24" s="5">
        <v>6</v>
      </c>
      <c r="B24" s="9"/>
      <c r="C24" s="9"/>
      <c r="D24" s="9"/>
      <c r="E24" s="4"/>
      <c r="F24" s="4"/>
      <c r="G24" s="4"/>
      <c r="H24" s="4"/>
      <c r="I24" s="4"/>
    </row>
    <row r="25" spans="1:9">
      <c r="A25" s="5">
        <v>7</v>
      </c>
      <c r="B25" s="9"/>
      <c r="C25" s="9"/>
      <c r="D25" s="9"/>
      <c r="E25" s="4"/>
      <c r="F25" s="4"/>
      <c r="G25" s="4"/>
      <c r="H25" s="4"/>
      <c r="I25" s="4"/>
    </row>
    <row r="26" spans="1:9">
      <c r="A26" s="5">
        <v>8</v>
      </c>
      <c r="B26" s="9"/>
      <c r="C26" s="9"/>
      <c r="D26" s="9"/>
      <c r="E26" s="4"/>
      <c r="F26" s="4"/>
      <c r="G26" s="4"/>
      <c r="H26" s="4"/>
      <c r="I26" s="4"/>
    </row>
    <row r="27" spans="1:9">
      <c r="A27" s="5">
        <v>9</v>
      </c>
      <c r="B27" s="5"/>
      <c r="C27" s="5"/>
      <c r="D27" s="5"/>
      <c r="E27" s="4"/>
      <c r="F27" s="4"/>
      <c r="G27" s="4"/>
      <c r="H27" s="4"/>
      <c r="I27" s="4"/>
    </row>
    <row r="28" spans="1:9">
      <c r="A28" s="5">
        <v>10</v>
      </c>
      <c r="B28" s="5"/>
      <c r="C28" s="5"/>
      <c r="D28" s="5"/>
      <c r="E28" s="4"/>
      <c r="F28" s="4"/>
      <c r="G28" s="4"/>
      <c r="H28" s="4"/>
      <c r="I28" s="4"/>
    </row>
    <row r="29" spans="1:9">
      <c r="A29" s="4"/>
      <c r="B29" s="4"/>
      <c r="C29" s="4"/>
      <c r="D29" s="4"/>
      <c r="E29" s="4"/>
      <c r="F29" s="4"/>
      <c r="G29" s="4"/>
      <c r="H29" s="4"/>
      <c r="I29" s="4"/>
    </row>
    <row r="30" spans="1:9">
      <c r="A30" s="2" t="s">
        <v>11</v>
      </c>
      <c r="B30" s="4"/>
      <c r="C30" s="4"/>
      <c r="D30" s="4"/>
      <c r="E30" s="4"/>
      <c r="F30" s="4"/>
      <c r="G30" s="4"/>
      <c r="H30" s="4"/>
      <c r="I30" s="4"/>
    </row>
    <row r="31" spans="1:9">
      <c r="A31" s="4"/>
      <c r="B31" s="15" t="s">
        <v>9</v>
      </c>
      <c r="C31" s="15"/>
      <c r="D31" s="15"/>
      <c r="E31" s="4"/>
      <c r="F31" s="4"/>
      <c r="G31" s="4"/>
      <c r="H31" s="5" t="s">
        <v>0</v>
      </c>
      <c r="I31" s="6" t="s">
        <v>1</v>
      </c>
    </row>
    <row r="32" spans="1:9">
      <c r="A32" s="7" t="s">
        <v>2</v>
      </c>
      <c r="B32" s="5" t="s">
        <v>3</v>
      </c>
      <c r="C32" s="5" t="s">
        <v>4</v>
      </c>
      <c r="D32" s="5" t="s">
        <v>5</v>
      </c>
      <c r="E32" s="4"/>
      <c r="F32" s="13"/>
      <c r="G32" s="14"/>
      <c r="H32" s="5"/>
      <c r="I32" s="5"/>
    </row>
    <row r="33" spans="1:9">
      <c r="A33" s="5">
        <v>1</v>
      </c>
      <c r="B33" s="16">
        <v>8</v>
      </c>
      <c r="C33" s="9">
        <v>24</v>
      </c>
      <c r="D33" s="9">
        <f>B33/C33</f>
        <v>0.33333333333333331</v>
      </c>
      <c r="E33" s="4"/>
      <c r="F33" s="13" t="s">
        <v>15</v>
      </c>
      <c r="G33" s="14"/>
      <c r="H33" s="5">
        <f>AVERAGE(D33:D42)</f>
        <v>0.25</v>
      </c>
      <c r="I33" s="5">
        <f>STDEV(D33:D42)/SQRT(5)</f>
        <v>3.4020690871988626E-2</v>
      </c>
    </row>
    <row r="34" spans="1:9">
      <c r="A34" s="5">
        <v>2</v>
      </c>
      <c r="B34" s="16">
        <v>5</v>
      </c>
      <c r="C34" s="9">
        <v>24</v>
      </c>
      <c r="D34" s="9">
        <f>B34/C34</f>
        <v>0.20833333333333334</v>
      </c>
      <c r="E34" s="4"/>
    </row>
    <row r="35" spans="1:9">
      <c r="A35" s="5">
        <v>3</v>
      </c>
      <c r="B35" s="16">
        <v>4</v>
      </c>
      <c r="C35" s="9">
        <v>24</v>
      </c>
      <c r="D35" s="9">
        <f t="shared" ref="D35:D36" si="2">B35/C35</f>
        <v>0.16666666666666666</v>
      </c>
      <c r="E35" s="4"/>
      <c r="F35" s="4"/>
      <c r="G35" s="4"/>
      <c r="H35" s="4"/>
      <c r="I35" s="4"/>
    </row>
    <row r="36" spans="1:9">
      <c r="A36" s="5">
        <v>4</v>
      </c>
      <c r="B36" s="16">
        <v>7</v>
      </c>
      <c r="C36" s="9">
        <v>24</v>
      </c>
      <c r="D36" s="9">
        <f t="shared" si="2"/>
        <v>0.29166666666666669</v>
      </c>
      <c r="E36" s="4"/>
      <c r="F36" s="4"/>
      <c r="G36" s="4"/>
      <c r="H36" s="4"/>
      <c r="I36" s="4"/>
    </row>
    <row r="37" spans="1:9">
      <c r="A37" s="5">
        <v>5</v>
      </c>
      <c r="B37" s="16"/>
      <c r="C37" s="9"/>
      <c r="D37" s="9"/>
      <c r="E37" s="4"/>
      <c r="F37" s="4"/>
      <c r="G37" s="4"/>
      <c r="H37" s="4"/>
      <c r="I37" s="4"/>
    </row>
    <row r="38" spans="1:9">
      <c r="A38" s="5">
        <v>6</v>
      </c>
      <c r="B38" s="16"/>
      <c r="C38" s="9"/>
      <c r="D38" s="9"/>
      <c r="E38" s="4"/>
      <c r="F38" s="4"/>
      <c r="G38" s="4"/>
      <c r="H38" s="4"/>
      <c r="I38" s="4"/>
    </row>
    <row r="39" spans="1:9">
      <c r="A39" s="5">
        <v>7</v>
      </c>
      <c r="B39" s="9"/>
      <c r="C39" s="9"/>
      <c r="D39" s="9"/>
      <c r="E39" s="4"/>
      <c r="F39" s="4"/>
      <c r="G39" s="4"/>
      <c r="H39" s="4"/>
      <c r="I39" s="4"/>
    </row>
    <row r="40" spans="1:9">
      <c r="A40" s="5">
        <v>8</v>
      </c>
      <c r="B40" s="9"/>
      <c r="C40" s="9"/>
      <c r="D40" s="9"/>
      <c r="E40" s="4"/>
      <c r="F40" s="4"/>
      <c r="G40" s="4"/>
      <c r="H40" s="4"/>
      <c r="I40" s="4"/>
    </row>
    <row r="41" spans="1:9">
      <c r="A41" s="5">
        <v>9</v>
      </c>
      <c r="B41" s="5"/>
      <c r="C41" s="5"/>
      <c r="D41" s="5"/>
      <c r="E41" s="4"/>
      <c r="F41" s="4"/>
      <c r="G41" s="4"/>
      <c r="H41" s="4"/>
      <c r="I41" s="4"/>
    </row>
    <row r="42" spans="1:9">
      <c r="A42" s="5">
        <v>10</v>
      </c>
      <c r="B42" s="5"/>
      <c r="C42" s="5"/>
      <c r="D42" s="5"/>
      <c r="E42" s="4"/>
      <c r="F42" s="4"/>
      <c r="G42" s="4"/>
      <c r="H42" s="4"/>
      <c r="I42" s="4"/>
    </row>
    <row r="43" spans="1:9">
      <c r="A43" s="4"/>
      <c r="B43" s="4"/>
      <c r="C43" s="4"/>
      <c r="D43" s="4"/>
      <c r="E43" s="4"/>
      <c r="F43" s="4"/>
      <c r="G43" s="4"/>
      <c r="H43" s="4"/>
      <c r="I43" s="4"/>
    </row>
  </sheetData>
  <mergeCells count="9">
    <mergeCell ref="F32:G32"/>
    <mergeCell ref="F33:G33"/>
    <mergeCell ref="F18:G18"/>
    <mergeCell ref="F19:G19"/>
    <mergeCell ref="B3:D3"/>
    <mergeCell ref="F4:G4"/>
    <mergeCell ref="F5:G5"/>
    <mergeCell ref="B17:D17"/>
    <mergeCell ref="B31:D3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Fed </vt:lpstr>
      <vt:lpstr>Sheet1</vt:lpstr>
    </vt:vector>
  </TitlesOfParts>
  <Company>YONSEI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데실바(구강생물학교실)</dc:creator>
  <cp:lastModifiedBy>Dilan de Silva</cp:lastModifiedBy>
  <dcterms:created xsi:type="dcterms:W3CDTF">2022-02-16T08:52:50Z</dcterms:created>
  <dcterms:modified xsi:type="dcterms:W3CDTF">2026-08-12T08:02:06Z</dcterms:modified>
</cp:coreProperties>
</file>