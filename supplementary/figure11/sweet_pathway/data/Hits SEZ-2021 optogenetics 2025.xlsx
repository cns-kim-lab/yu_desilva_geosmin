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lan\My Drive (dilandesilvakr@gmail.com)\Yonsei - GMAIL\1. Geo_2025 - FLY RESEARCH\3. THIS WEEK REPORTs\y_opto. SEZ-2021 lines 2025\"/>
    </mc:Choice>
  </mc:AlternateContent>
  <xr:revisionPtr revIDLastSave="0" documentId="13_ncr:1_{34026AC5-7F39-41BC-9045-69D0C3DA6395}" xr6:coauthVersionLast="47" xr6:coauthVersionMax="47" xr10:uidLastSave="{00000000-0000-0000-0000-000000000000}"/>
  <bookViews>
    <workbookView xWindow="1644" yWindow="1644" windowWidth="17280" windowHeight="10080" xr2:uid="{00000000-000D-0000-FFFF-FFFF00000000}"/>
  </bookViews>
  <sheets>
    <sheet name="Opto hit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5" l="1"/>
  <c r="D31" i="5"/>
  <c r="G30" i="5"/>
  <c r="D30" i="5"/>
  <c r="G29" i="5"/>
  <c r="D29" i="5"/>
  <c r="G28" i="5"/>
  <c r="D28" i="5"/>
  <c r="G71" i="5" l="1"/>
  <c r="D71" i="5"/>
  <c r="G70" i="5"/>
  <c r="D70" i="5"/>
  <c r="G69" i="5"/>
  <c r="D69" i="5"/>
  <c r="G68" i="5"/>
  <c r="D68" i="5"/>
  <c r="D61" i="5" l="1"/>
  <c r="D60" i="5"/>
  <c r="G59" i="5"/>
  <c r="D59" i="5"/>
  <c r="G58" i="5"/>
  <c r="D58" i="5"/>
  <c r="D51" i="5"/>
  <c r="D50" i="5"/>
  <c r="G49" i="5"/>
  <c r="D49" i="5"/>
  <c r="G48" i="5"/>
  <c r="D48" i="5"/>
  <c r="G41" i="5" l="1"/>
  <c r="D41" i="5"/>
  <c r="G40" i="5"/>
  <c r="D40" i="5"/>
  <c r="G39" i="5"/>
  <c r="D39" i="5"/>
  <c r="G38" i="5"/>
  <c r="D38" i="5"/>
  <c r="G21" i="5"/>
  <c r="D21" i="5"/>
  <c r="G20" i="5"/>
  <c r="D20" i="5"/>
  <c r="G19" i="5"/>
  <c r="D19" i="5"/>
  <c r="G18" i="5"/>
  <c r="D18" i="5"/>
  <c r="AC12" i="5" l="1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G201" i="5"/>
  <c r="D201" i="5"/>
  <c r="G200" i="5"/>
  <c r="D200" i="5"/>
  <c r="G199" i="5"/>
  <c r="D199" i="5"/>
  <c r="G198" i="5"/>
  <c r="D198" i="5"/>
  <c r="G191" i="5"/>
  <c r="D191" i="5"/>
  <c r="G190" i="5"/>
  <c r="D190" i="5"/>
  <c r="G189" i="5"/>
  <c r="D189" i="5"/>
  <c r="G188" i="5"/>
  <c r="D188" i="5"/>
  <c r="G181" i="5"/>
  <c r="D181" i="5"/>
  <c r="G180" i="5"/>
  <c r="D180" i="5"/>
  <c r="G179" i="5"/>
  <c r="D179" i="5"/>
  <c r="G178" i="5"/>
  <c r="D178" i="5"/>
  <c r="G171" i="5"/>
  <c r="D171" i="5"/>
  <c r="G170" i="5"/>
  <c r="D170" i="5"/>
  <c r="G169" i="5"/>
  <c r="D169" i="5"/>
  <c r="G168" i="5"/>
  <c r="D168" i="5"/>
  <c r="G161" i="5"/>
  <c r="D161" i="5"/>
  <c r="G160" i="5"/>
  <c r="D160" i="5"/>
  <c r="G159" i="5"/>
  <c r="D159" i="5"/>
  <c r="G158" i="5"/>
  <c r="D158" i="5"/>
  <c r="G151" i="5"/>
  <c r="D151" i="5"/>
  <c r="G150" i="5"/>
  <c r="D150" i="5"/>
  <c r="G149" i="5"/>
  <c r="D149" i="5"/>
  <c r="G148" i="5"/>
  <c r="D148" i="5"/>
  <c r="G141" i="5"/>
  <c r="D141" i="5"/>
  <c r="G140" i="5"/>
  <c r="D140" i="5"/>
  <c r="G139" i="5"/>
  <c r="D139" i="5"/>
  <c r="G138" i="5"/>
  <c r="D138" i="5"/>
  <c r="G131" i="5"/>
  <c r="D131" i="5"/>
  <c r="G130" i="5"/>
  <c r="D130" i="5"/>
  <c r="G129" i="5"/>
  <c r="D129" i="5"/>
  <c r="G128" i="5"/>
  <c r="D128" i="5"/>
  <c r="G121" i="5"/>
  <c r="D121" i="5"/>
  <c r="G120" i="5"/>
  <c r="D120" i="5"/>
  <c r="G119" i="5"/>
  <c r="D119" i="5"/>
  <c r="G118" i="5"/>
  <c r="D118" i="5"/>
  <c r="G111" i="5"/>
  <c r="D111" i="5"/>
  <c r="G110" i="5"/>
  <c r="D110" i="5"/>
  <c r="G109" i="5"/>
  <c r="D109" i="5"/>
  <c r="G108" i="5"/>
  <c r="D108" i="5"/>
  <c r="G101" i="5"/>
  <c r="D101" i="5"/>
  <c r="G100" i="5"/>
  <c r="D100" i="5"/>
  <c r="G99" i="5"/>
  <c r="D99" i="5"/>
  <c r="G98" i="5"/>
  <c r="D98" i="5"/>
  <c r="G91" i="5"/>
  <c r="D91" i="5"/>
  <c r="G90" i="5"/>
  <c r="D90" i="5"/>
  <c r="G89" i="5"/>
  <c r="D89" i="5"/>
  <c r="G88" i="5"/>
  <c r="D88" i="5"/>
  <c r="G81" i="5"/>
  <c r="D81" i="5"/>
  <c r="G80" i="5"/>
  <c r="D80" i="5"/>
  <c r="G79" i="5"/>
  <c r="D79" i="5"/>
  <c r="G78" i="5"/>
  <c r="D78" i="5"/>
  <c r="L138" i="5" l="1"/>
  <c r="AB17" i="5" s="1"/>
  <c r="L117" i="5"/>
  <c r="Z16" i="5" s="1"/>
  <c r="L88" i="5"/>
  <c r="W17" i="5" s="1"/>
  <c r="L77" i="5"/>
  <c r="V16" i="5" s="1"/>
  <c r="K68" i="5"/>
  <c r="K48" i="5"/>
  <c r="S14" i="5" s="1"/>
  <c r="L37" i="5"/>
  <c r="R16" i="5" s="1"/>
  <c r="K37" i="5"/>
  <c r="R13" i="5" s="1"/>
  <c r="L58" i="5"/>
  <c r="T17" i="5" s="1"/>
  <c r="L57" i="5"/>
  <c r="T16" i="5" s="1"/>
  <c r="L47" i="5"/>
  <c r="S16" i="5" s="1"/>
  <c r="AD12" i="5"/>
  <c r="AE12" i="5"/>
  <c r="G11" i="5"/>
  <c r="D11" i="5"/>
  <c r="G10" i="5"/>
  <c r="D10" i="5"/>
  <c r="L87" i="5"/>
  <c r="W16" i="5" s="1"/>
  <c r="K78" i="5"/>
  <c r="L18" i="5"/>
  <c r="P17" i="5" s="1"/>
  <c r="G9" i="5"/>
  <c r="D9" i="5"/>
  <c r="G8" i="5"/>
  <c r="D8" i="5"/>
  <c r="L198" i="5"/>
  <c r="L197" i="5"/>
  <c r="K188" i="5"/>
  <c r="AG14" i="5" s="1"/>
  <c r="L188" i="5"/>
  <c r="AG17" i="5" s="1"/>
  <c r="L187" i="5"/>
  <c r="AG16" i="5" s="1"/>
  <c r="K187" i="5"/>
  <c r="AG13" i="5" s="1"/>
  <c r="L178" i="5"/>
  <c r="L177" i="5"/>
  <c r="K167" i="5"/>
  <c r="AE13" i="5" s="1"/>
  <c r="L168" i="5"/>
  <c r="K168" i="5"/>
  <c r="AE14" i="5" s="1"/>
  <c r="L167" i="5"/>
  <c r="L157" i="5"/>
  <c r="L158" i="5"/>
  <c r="K158" i="5"/>
  <c r="AD14" i="5" s="1"/>
  <c r="L148" i="5"/>
  <c r="K148" i="5"/>
  <c r="AC14" i="5" s="1"/>
  <c r="K147" i="5"/>
  <c r="AC13" i="5" s="1"/>
  <c r="L147" i="5"/>
  <c r="K108" i="5"/>
  <c r="Y14" i="5" s="1"/>
  <c r="L107" i="5"/>
  <c r="Y16" i="5" s="1"/>
  <c r="L98" i="5"/>
  <c r="X17" i="5" s="1"/>
  <c r="L67" i="5"/>
  <c r="U16" i="5" s="1"/>
  <c r="K58" i="5"/>
  <c r="T14" i="5" s="1"/>
  <c r="AH12" i="5"/>
  <c r="AG12" i="5"/>
  <c r="AF12" i="5"/>
  <c r="O12" i="5"/>
  <c r="L8" i="5" l="1"/>
  <c r="O17" i="5" s="1"/>
  <c r="L7" i="5"/>
  <c r="O16" i="5" s="1"/>
  <c r="L17" i="5"/>
  <c r="P16" i="5" s="1"/>
  <c r="K18" i="5"/>
  <c r="P14" i="5" s="1"/>
  <c r="L137" i="5"/>
  <c r="AB16" i="5" s="1"/>
  <c r="K137" i="5"/>
  <c r="AB13" i="5" s="1"/>
  <c r="L128" i="5"/>
  <c r="AA17" i="5" s="1"/>
  <c r="K128" i="5"/>
  <c r="AA14" i="5" s="1"/>
  <c r="L127" i="5"/>
  <c r="AA16" i="5" s="1"/>
  <c r="K127" i="5"/>
  <c r="AA13" i="5" s="1"/>
  <c r="L118" i="5"/>
  <c r="Z17" i="5" s="1"/>
  <c r="K118" i="5"/>
  <c r="Z14" i="5" s="1"/>
  <c r="L108" i="5"/>
  <c r="Y17" i="5" s="1"/>
  <c r="K98" i="5"/>
  <c r="X14" i="5" s="1"/>
  <c r="K97" i="5"/>
  <c r="X13" i="5" s="1"/>
  <c r="L97" i="5"/>
  <c r="X16" i="5" s="1"/>
  <c r="K77" i="5"/>
  <c r="V13" i="5" s="1"/>
  <c r="V14" i="5"/>
  <c r="L78" i="5"/>
  <c r="V17" i="5" s="1"/>
  <c r="L68" i="5"/>
  <c r="U17" i="5" s="1"/>
  <c r="L48" i="5"/>
  <c r="S17" i="5" s="1"/>
  <c r="L38" i="5"/>
  <c r="R17" i="5" s="1"/>
  <c r="L28" i="5"/>
  <c r="Q17" i="5" s="1"/>
  <c r="K28" i="5"/>
  <c r="Q14" i="5" s="1"/>
  <c r="L27" i="5"/>
  <c r="Q16" i="5" s="1"/>
  <c r="U14" i="5"/>
  <c r="K67" i="5"/>
  <c r="U13" i="5" s="1"/>
  <c r="K8" i="5"/>
  <c r="O14" i="5" s="1"/>
  <c r="K88" i="5"/>
  <c r="W14" i="5" s="1"/>
  <c r="K177" i="5"/>
  <c r="AF13" i="5" s="1"/>
  <c r="K178" i="5"/>
  <c r="AF14" i="5" s="1"/>
  <c r="K157" i="5"/>
  <c r="AD13" i="5" s="1"/>
  <c r="K138" i="5"/>
  <c r="AB14" i="5" s="1"/>
  <c r="K117" i="5"/>
  <c r="Z13" i="5" s="1"/>
  <c r="K107" i="5"/>
  <c r="Y13" i="5" s="1"/>
  <c r="K87" i="5"/>
  <c r="W13" i="5" s="1"/>
  <c r="K57" i="5"/>
  <c r="T13" i="5" s="1"/>
  <c r="K47" i="5"/>
  <c r="S13" i="5" s="1"/>
  <c r="K38" i="5"/>
  <c r="R14" i="5" s="1"/>
  <c r="K27" i="5"/>
  <c r="Q13" i="5" s="1"/>
  <c r="K7" i="5"/>
  <c r="O13" i="5" s="1"/>
  <c r="K17" i="5"/>
  <c r="P13" i="5" s="1"/>
  <c r="K197" i="5"/>
  <c r="AH13" i="5" s="1"/>
  <c r="K198" i="5"/>
  <c r="AH14" i="5" s="1"/>
</calcChain>
</file>

<file path=xl/sharedStrings.xml><?xml version="1.0" encoding="utf-8"?>
<sst xmlns="http://schemas.openxmlformats.org/spreadsheetml/2006/main" count="296" uniqueCount="46">
  <si>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</si>
  <si>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</si>
  <si>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</si>
  <si>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</si>
  <si>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</si>
  <si>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</si>
  <si>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PER (average)</t>
  </si>
  <si>
    <t>Plate #</t>
  </si>
  <si>
    <t>Response Rate</t>
    <phoneticPr fontId="1" type="noConversion"/>
  </si>
  <si>
    <t xml:space="preserve">  </t>
    <phoneticPr fontId="1" type="noConversion"/>
  </si>
  <si>
    <t>100mM Suc.</t>
  </si>
  <si>
    <t>Table #</t>
    <phoneticPr fontId="1" type="noConversion"/>
  </si>
  <si>
    <t>Screening of SEZ lines</t>
    <phoneticPr fontId="1" type="noConversion"/>
  </si>
  <si>
    <t>Modified; 100mM Suc. &amp; 1% Geo.</t>
  </si>
  <si>
    <t>retinal +</t>
  </si>
  <si>
    <t>retinal -</t>
  </si>
  <si>
    <t>satiated condition</t>
  </si>
  <si>
    <t>SS47745</t>
  </si>
  <si>
    <t>roundup SS47745</t>
  </si>
  <si>
    <t>SS31386</t>
  </si>
  <si>
    <t>bract SS31386</t>
  </si>
  <si>
    <t>roundup SS47744</t>
  </si>
  <si>
    <t>SS47744</t>
  </si>
  <si>
    <t>rattle SS46917</t>
  </si>
  <si>
    <t>phantom SS44869</t>
  </si>
  <si>
    <t>clavicle SS48947</t>
  </si>
  <si>
    <t>SS48947</t>
  </si>
  <si>
    <t>cleaver (+ usnea) SS31022</t>
  </si>
  <si>
    <t>SS31022</t>
  </si>
  <si>
    <t>G2N-1 4</t>
  </si>
  <si>
    <t>FMIn 4</t>
  </si>
  <si>
    <t>Fdg 4</t>
  </si>
  <si>
    <t>Usnea 4</t>
  </si>
  <si>
    <t>TH-VUM</t>
  </si>
  <si>
    <t>**</t>
  </si>
  <si>
    <t>SS47080</t>
  </si>
  <si>
    <t>SS31345</t>
  </si>
  <si>
    <t>SS48944</t>
  </si>
  <si>
    <t>SS15725</t>
  </si>
  <si>
    <t>SS46885</t>
  </si>
  <si>
    <t>G2N-1 SS47080</t>
  </si>
  <si>
    <t>FMIn SS48944</t>
  </si>
  <si>
    <t>fdg SS31345</t>
  </si>
  <si>
    <t>usnea SS15725</t>
  </si>
  <si>
    <t>TH-VUM SS46885</t>
  </si>
  <si>
    <t>intensity: 95% 36.7uW/mm2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</si>
</sst>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9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8"/>
      <color rgb="FF00000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theme="6"/>
      <name val="Calibri"/>
      <family val="3"/>
      <charset val="129"/>
      <scheme val="minor"/>
    </font>
    <font>
      <b/>
      <sz val="11"/>
      <color theme="4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/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left"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4" xfId="0" applyFont="1" applyBorder="1" applyAlignment="1"/>
    <xf numFmtId="0" fontId="3" fillId="0" borderId="4" xfId="0" applyFont="1" applyBorder="1">
      <alignment vertical="center"/>
    </xf>
    <xf numFmtId="0" fontId="3" fillId="0" borderId="0" xfId="0" applyFont="1" applyAlignment="1">
      <alignment horizontal="left"/>
    </xf>
    <xf numFmtId="0" fontId="2" fillId="0" borderId="4" xfId="0" applyFont="1" applyBorder="1">
      <alignment vertical="center"/>
    </xf>
    <xf numFmtId="0" fontId="8" fillId="0" borderId="4" xfId="0" applyFont="1" applyBorder="1">
      <alignment vertical="center"/>
    </xf>
    <xf numFmtId="0" fontId="7" fillId="0" borderId="0" xfId="1" applyFont="1" applyFill="1" applyBorder="1" applyAlignment="1">
      <alignment horizontal="center" vertical="center" wrapText="1"/>
    </xf>
    <xf numFmtId="0" fontId="9" fillId="0" borderId="0" xfId="0" applyFont="1" applyAlignment="1"/>
    <xf numFmtId="0" fontId="7" fillId="0" borderId="0" xfId="0" applyFont="1" applyAlignment="1"/>
    <xf numFmtId="0" fontId="8" fillId="0" borderId="0" xfId="0" applyFont="1">
      <alignment vertical="center"/>
    </xf>
    <xf numFmtId="0" fontId="11" fillId="0" borderId="0" xfId="0" applyFont="1" applyAlignment="1"/>
    <xf numFmtId="0" fontId="10" fillId="3" borderId="0" xfId="0" applyFont="1" applyFill="1" applyAlignment="1"/>
    <xf numFmtId="0" fontId="10" fillId="0" borderId="0" xfId="0" applyFont="1" applyAlignment="1"/>
    <xf numFmtId="0" fontId="12" fillId="4" borderId="0" xfId="0" applyFont="1" applyFill="1" applyAlignment="1"/>
    <xf numFmtId="0" fontId="12" fillId="3" borderId="0" xfId="0" applyFont="1" applyFill="1" applyAlignment="1"/>
    <xf numFmtId="0" fontId="12" fillId="5" borderId="0" xfId="0" applyFont="1" applyFill="1" applyAlignment="1"/>
    <xf numFmtId="0" fontId="12" fillId="6" borderId="0" xfId="0" applyFont="1" applyFill="1" applyAlignment="1"/>
    <xf numFmtId="0" fontId="10" fillId="7" borderId="0" xfId="0" applyFont="1" applyFill="1" applyAlignment="1"/>
    <xf numFmtId="0" fontId="13" fillId="0" borderId="0" xfId="0" applyFont="1" applyAlignment="1"/>
    <xf numFmtId="0" fontId="0" fillId="6" borderId="0" xfId="0" applyFill="1" applyAlignment="1"/>
    <xf numFmtId="0" fontId="14" fillId="0" borderId="0" xfId="0" applyFont="1" applyAlignment="1"/>
    <xf numFmtId="0" fontId="15" fillId="0" borderId="0" xfId="0" applyFont="1" applyAlignment="1"/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'Opto hits'!$N$13</c:f>
              <c:strCache>
                <c:ptCount val="1"/>
                <c:pt idx="0">
                  <c:v>retinal -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'Opto hits'!$O$16:$AB$16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Ref>
                <c:f>'Opto hits'!$O$16:$AB$16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'Opto hits'!$O$12:$Z$12</c:f>
              <c:strCache>
                <c:ptCount val="12"/>
                <c:pt idx="0">
                  <c:v>roundup SS47745</c:v>
                </c:pt>
                <c:pt idx="1">
                  <c:v>roundup SS47744</c:v>
                </c:pt>
                <c:pt idx="2">
                  <c:v>rattle SS46917</c:v>
                </c:pt>
                <c:pt idx="3">
                  <c:v>bract SS31386</c:v>
                </c:pt>
                <c:pt idx="4">
                  <c:v>clavicle SS48947</c:v>
                </c:pt>
                <c:pt idx="5">
                  <c:v>cleaver (+ usnea) SS31022</c:v>
                </c:pt>
                <c:pt idx="6">
                  <c:v>phantom SS44869</c:v>
                </c:pt>
                <c:pt idx="7">
                  <c:v>G2N-1 SS47080</c:v>
                </c:pt>
                <c:pt idx="8">
                  <c:v>FMIn SS48944</c:v>
                </c:pt>
                <c:pt idx="9">
                  <c:v>fdg SS31345</c:v>
                </c:pt>
                <c:pt idx="10">
                  <c:v>usnea SS15725</c:v>
                </c:pt>
                <c:pt idx="11">
                  <c:v>TH-VUM SS46885</c:v>
                </c:pt>
              </c:strCache>
            </c:strRef>
          </c:cat>
          <c:val>
            <c:numRef>
              <c:f>'Opto hits'!$O$13:$Z$13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3-4333-92AE-1874372A3D6D}"/>
            </c:ext>
          </c:extLst>
        </c:ser>
        <c:ser>
          <c:idx val="2"/>
          <c:order val="1"/>
          <c:tx>
            <c:strRef>
              <c:f>'Opto hits'!$N$14</c:f>
              <c:strCache>
                <c:ptCount val="1"/>
                <c:pt idx="0">
                  <c:v>retinal +</c:v>
                </c:pt>
              </c:strCache>
            </c:strRef>
          </c:tx>
          <c:spPr>
            <a:solidFill>
              <a:schemeClr val="tx1"/>
            </a:solidFill>
            <a:ln w="19050">
              <a:solidFill>
                <a:schemeClr val="bg1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'Opto hits'!$O$17:$AH$17</c:f>
                <c:numCache>
                  <c:formatCode>General</c:formatCode>
                  <c:ptCount val="20"/>
                  <c:pt idx="0">
                    <c:v>7.4999999999999942E-2</c:v>
                  </c:pt>
                  <c:pt idx="1">
                    <c:v>8.1649658092772415E-2</c:v>
                  </c:pt>
                  <c:pt idx="2">
                    <c:v>8.5391256382996397E-2</c:v>
                  </c:pt>
                  <c:pt idx="3">
                    <c:v>7.4999999999999942E-2</c:v>
                  </c:pt>
                  <c:pt idx="4">
                    <c:v>0.14142135623730953</c:v>
                  </c:pt>
                  <c:pt idx="5">
                    <c:v>0.14142135623730948</c:v>
                  </c:pt>
                  <c:pt idx="6">
                    <c:v>0.12500000000000011</c:v>
                  </c:pt>
                  <c:pt idx="7">
                    <c:v>6.4549722436790455E-2</c:v>
                  </c:pt>
                  <c:pt idx="8">
                    <c:v>0.11086778913041732</c:v>
                  </c:pt>
                  <c:pt idx="9">
                    <c:v>8.5391256382996827E-2</c:v>
                  </c:pt>
                  <c:pt idx="10">
                    <c:v>0.10307764064044159</c:v>
                  </c:pt>
                  <c:pt idx="11">
                    <c:v>8.5391256382996661E-2</c:v>
                  </c:pt>
                  <c:pt idx="12">
                    <c:v>0</c:v>
                  </c:pt>
                  <c:pt idx="13">
                    <c:v>0</c:v>
                  </c:pt>
                  <c:pt idx="18">
                    <c:v>0</c:v>
                  </c:pt>
                </c:numCache>
              </c:numRef>
            </c:plus>
            <c:minus>
              <c:numRef>
                <c:f>'Opto hits'!$O$17:$AH$17</c:f>
                <c:numCache>
                  <c:formatCode>General</c:formatCode>
                  <c:ptCount val="20"/>
                  <c:pt idx="0">
                    <c:v>7.4999999999999942E-2</c:v>
                  </c:pt>
                  <c:pt idx="1">
                    <c:v>8.1649658092772415E-2</c:v>
                  </c:pt>
                  <c:pt idx="2">
                    <c:v>8.5391256382996397E-2</c:v>
                  </c:pt>
                  <c:pt idx="3">
                    <c:v>7.4999999999999942E-2</c:v>
                  </c:pt>
                  <c:pt idx="4">
                    <c:v>0.14142135623730953</c:v>
                  </c:pt>
                  <c:pt idx="5">
                    <c:v>0.14142135623730948</c:v>
                  </c:pt>
                  <c:pt idx="6">
                    <c:v>0.12500000000000011</c:v>
                  </c:pt>
                  <c:pt idx="7">
                    <c:v>6.4549722436790455E-2</c:v>
                  </c:pt>
                  <c:pt idx="8">
                    <c:v>0.11086778913041732</c:v>
                  </c:pt>
                  <c:pt idx="9">
                    <c:v>8.5391256382996827E-2</c:v>
                  </c:pt>
                  <c:pt idx="10">
                    <c:v>0.10307764064044159</c:v>
                  </c:pt>
                  <c:pt idx="11">
                    <c:v>8.5391256382996661E-2</c:v>
                  </c:pt>
                  <c:pt idx="12">
                    <c:v>0</c:v>
                  </c:pt>
                  <c:pt idx="13">
                    <c:v>0</c:v>
                  </c:pt>
                  <c:pt idx="1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'Opto hits'!$O$12:$Z$12</c:f>
              <c:strCache>
                <c:ptCount val="12"/>
                <c:pt idx="0">
                  <c:v>roundup SS47745</c:v>
                </c:pt>
                <c:pt idx="1">
                  <c:v>roundup SS47744</c:v>
                </c:pt>
                <c:pt idx="2">
                  <c:v>rattle SS46917</c:v>
                </c:pt>
                <c:pt idx="3">
                  <c:v>bract SS31386</c:v>
                </c:pt>
                <c:pt idx="4">
                  <c:v>clavicle SS48947</c:v>
                </c:pt>
                <c:pt idx="5">
                  <c:v>cleaver (+ usnea) SS31022</c:v>
                </c:pt>
                <c:pt idx="6">
                  <c:v>phantom SS44869</c:v>
                </c:pt>
                <c:pt idx="7">
                  <c:v>G2N-1 SS47080</c:v>
                </c:pt>
                <c:pt idx="8">
                  <c:v>FMIn SS48944</c:v>
                </c:pt>
                <c:pt idx="9">
                  <c:v>fdg SS31345</c:v>
                </c:pt>
                <c:pt idx="10">
                  <c:v>usnea SS15725</c:v>
                </c:pt>
                <c:pt idx="11">
                  <c:v>TH-VUM SS46885</c:v>
                </c:pt>
              </c:strCache>
            </c:strRef>
          </c:cat>
          <c:val>
            <c:numRef>
              <c:f>'Opto hits'!$O$14:$Z$14</c:f>
              <c:numCache>
                <c:formatCode>General</c:formatCode>
                <c:ptCount val="12"/>
                <c:pt idx="0">
                  <c:v>0.82499999999999996</c:v>
                </c:pt>
                <c:pt idx="1">
                  <c:v>0.8</c:v>
                </c:pt>
                <c:pt idx="2">
                  <c:v>0.77500000000000002</c:v>
                </c:pt>
                <c:pt idx="3">
                  <c:v>0.72499999999999998</c:v>
                </c:pt>
                <c:pt idx="4">
                  <c:v>0.3</c:v>
                </c:pt>
                <c:pt idx="5">
                  <c:v>0.4</c:v>
                </c:pt>
                <c:pt idx="6">
                  <c:v>0.47499999999999998</c:v>
                </c:pt>
                <c:pt idx="7">
                  <c:v>0.75</c:v>
                </c:pt>
                <c:pt idx="8">
                  <c:v>0.57499999999999996</c:v>
                </c:pt>
                <c:pt idx="9">
                  <c:v>0.67499999999999993</c:v>
                </c:pt>
                <c:pt idx="10">
                  <c:v>0.42499999999999993</c:v>
                </c:pt>
                <c:pt idx="11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3-4333-92AE-1874372A3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19</xdr:row>
      <xdr:rowOff>319</xdr:rowOff>
    </xdr:from>
    <xdr:to>
      <xdr:col>21</xdr:col>
      <xdr:colOff>12488</xdr:colOff>
      <xdr:row>36</xdr:row>
      <xdr:rowOff>399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A087C09-7D50-F9E7-9045-E9805A17C040}"/>
            </a:ext>
          </a:extLst>
        </xdr:cNvPr>
        <xdr:cNvGrpSpPr/>
      </xdr:nvGrpSpPr>
      <xdr:grpSpPr>
        <a:xfrm>
          <a:off x="8006220" y="2662100"/>
          <a:ext cx="4939391" cy="2254765"/>
          <a:chOff x="8117418" y="2705419"/>
          <a:chExt cx="5007820" cy="2330908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63612CB7-E1E5-425F-80BC-46C2105BA3B4}"/>
              </a:ext>
            </a:extLst>
          </xdr:cNvPr>
          <xdr:cNvGraphicFramePr>
            <a:graphicFrameLocks/>
          </xdr:cNvGraphicFramePr>
        </xdr:nvGraphicFramePr>
        <xdr:xfrm>
          <a:off x="8117418" y="2705419"/>
          <a:ext cx="5007820" cy="23309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549C6370-BBE7-4023-86AC-CFCB33C006B3}"/>
              </a:ext>
            </a:extLst>
          </xdr:cNvPr>
          <xdr:cNvSpPr txBox="1"/>
        </xdr:nvSpPr>
        <xdr:spPr>
          <a:xfrm>
            <a:off x="8892990" y="2805235"/>
            <a:ext cx="1156173" cy="2032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condition</a:t>
            </a:r>
            <a:endParaRPr lang="en-US" altLang="ko-KR" sz="8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  <xdr:oneCellAnchor>
    <xdr:from>
      <xdr:col>18</xdr:col>
      <xdr:colOff>153369</xdr:colOff>
      <xdr:row>22</xdr:row>
      <xdr:rowOff>19955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D8A3F6-F101-4894-B70D-E6EC5D2C2AE1}"/>
            </a:ext>
          </a:extLst>
        </xdr:cNvPr>
        <xdr:cNvSpPr txBox="1"/>
      </xdr:nvSpPr>
      <xdr:spPr>
        <a:xfrm>
          <a:off x="11297619" y="306414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800" b="0" i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plitgal4.janelia.org/cgi-bin/view_splitgal4_imagery.cgi?line=SS354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X203"/>
  <sheetViews>
    <sheetView tabSelected="1" zoomScale="73" zoomScaleNormal="73" workbookViewId="0">
      <selection activeCell="P188" sqref="P187:P188"/>
    </sheetView>
  </sheetViews>
  <sheetFormatPr defaultColWidth="9" defaultRowHeight="10.199999999999999"/>
  <cols>
    <col min="1" max="16384" width="9" style="2"/>
  </cols>
  <sheetData>
    <row r="1" spans="1:34" s="9" customFormat="1" ht="14.25" customHeight="1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4" s="9" customFormat="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4" s="9" customFormat="1" ht="14.25" customHeight="1">
      <c r="A3" s="1" t="s">
        <v>16</v>
      </c>
      <c r="B3" s="2"/>
      <c r="C3" s="2" t="s">
        <v>45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4">
      <c r="A4" s="4"/>
      <c r="N4" s="3"/>
      <c r="O4" s="3"/>
      <c r="P4" s="3"/>
    </row>
    <row r="5" spans="1:34" ht="14.4">
      <c r="A5" s="4">
        <v>1</v>
      </c>
      <c r="B5" s="22" t="s">
        <v>18</v>
      </c>
      <c r="C5" s="23" t="s">
        <v>17</v>
      </c>
      <c r="D5" s="5"/>
      <c r="E5" s="5"/>
      <c r="F5" s="5"/>
      <c r="G5" s="5"/>
      <c r="N5" s="3"/>
      <c r="O5" s="3"/>
      <c r="P5" s="3"/>
      <c r="Q5" s="3"/>
    </row>
    <row r="6" spans="1:34">
      <c r="A6" s="5"/>
      <c r="B6" s="36" t="s">
        <v>15</v>
      </c>
      <c r="C6" s="37"/>
      <c r="D6" s="38"/>
      <c r="E6" s="39" t="s">
        <v>14</v>
      </c>
      <c r="F6" s="39"/>
      <c r="G6" s="39"/>
      <c r="I6" s="5"/>
      <c r="J6" s="5"/>
      <c r="K6" s="10" t="s">
        <v>6</v>
      </c>
      <c r="L6" s="6" t="s">
        <v>1</v>
      </c>
      <c r="N6" s="3"/>
      <c r="O6" s="3"/>
      <c r="P6" s="3"/>
    </row>
    <row r="7" spans="1:34">
      <c r="A7" s="7" t="s">
        <v>2</v>
      </c>
      <c r="B7" s="10" t="s">
        <v>3</v>
      </c>
      <c r="C7" s="10" t="s">
        <v>4</v>
      </c>
      <c r="D7" s="10" t="s">
        <v>5</v>
      </c>
      <c r="E7" s="10" t="s">
        <v>3</v>
      </c>
      <c r="F7" s="10" t="s">
        <v>4</v>
      </c>
      <c r="G7" s="10" t="s">
        <v>5</v>
      </c>
      <c r="I7" s="34" t="s">
        <v>15</v>
      </c>
      <c r="J7" s="35"/>
      <c r="K7" s="10">
        <f>AVERAGE(D8:D13)</f>
        <v>0</v>
      </c>
      <c r="L7" s="10">
        <f>STDEV(D8:D13)/SQRT(4)</f>
        <v>0</v>
      </c>
      <c r="N7" s="3"/>
      <c r="O7" s="3"/>
      <c r="P7" s="3"/>
    </row>
    <row r="8" spans="1:34">
      <c r="A8" s="10">
        <v>1</v>
      </c>
      <c r="B8" s="8">
        <v>0</v>
      </c>
      <c r="C8" s="8">
        <v>10</v>
      </c>
      <c r="D8" s="8">
        <f t="shared" ref="D8:D11" si="0">B8/C8</f>
        <v>0</v>
      </c>
      <c r="E8" s="8">
        <v>10</v>
      </c>
      <c r="F8" s="8">
        <v>10</v>
      </c>
      <c r="G8" s="8">
        <f t="shared" ref="G8:G11" si="1">E8/F8</f>
        <v>1</v>
      </c>
      <c r="I8" s="34" t="s">
        <v>14</v>
      </c>
      <c r="J8" s="35"/>
      <c r="K8" s="10">
        <f>AVERAGE(G8:G13)</f>
        <v>0.82499999999999996</v>
      </c>
      <c r="L8" s="10">
        <f>STDEV(G8:G13)/SQRT(4)</f>
        <v>7.4999999999999942E-2</v>
      </c>
      <c r="N8" s="3"/>
      <c r="O8" s="3"/>
      <c r="P8" s="3"/>
      <c r="Q8" s="3"/>
    </row>
    <row r="9" spans="1:34">
      <c r="A9" s="10">
        <v>2</v>
      </c>
      <c r="B9" s="8">
        <v>0</v>
      </c>
      <c r="C9" s="8">
        <v>10</v>
      </c>
      <c r="D9" s="8">
        <f t="shared" si="0"/>
        <v>0</v>
      </c>
      <c r="E9" s="8">
        <v>9</v>
      </c>
      <c r="F9" s="8">
        <v>10</v>
      </c>
      <c r="G9" s="8">
        <f t="shared" si="1"/>
        <v>0.9</v>
      </c>
    </row>
    <row r="10" spans="1:34">
      <c r="A10" s="10">
        <v>3</v>
      </c>
      <c r="B10" s="8">
        <v>0</v>
      </c>
      <c r="C10" s="8">
        <v>10</v>
      </c>
      <c r="D10" s="8">
        <f t="shared" si="0"/>
        <v>0</v>
      </c>
      <c r="E10" s="8">
        <v>7</v>
      </c>
      <c r="F10" s="8">
        <v>10</v>
      </c>
      <c r="G10" s="8">
        <f t="shared" si="1"/>
        <v>0.7</v>
      </c>
      <c r="N10" s="4" t="s">
        <v>11</v>
      </c>
      <c r="O10" s="12">
        <v>1</v>
      </c>
      <c r="P10" s="12">
        <v>2</v>
      </c>
      <c r="Q10" s="12">
        <v>3</v>
      </c>
      <c r="R10" s="12">
        <v>4</v>
      </c>
      <c r="S10" s="12">
        <v>5</v>
      </c>
      <c r="T10" s="12">
        <v>6</v>
      </c>
      <c r="U10" s="12">
        <v>7</v>
      </c>
      <c r="V10" s="12">
        <v>8</v>
      </c>
      <c r="W10" s="12">
        <v>9</v>
      </c>
      <c r="X10" s="12">
        <v>10</v>
      </c>
      <c r="Y10" s="12">
        <v>11</v>
      </c>
      <c r="Z10" s="12">
        <v>12</v>
      </c>
      <c r="AA10" s="12">
        <v>13</v>
      </c>
      <c r="AB10" s="12">
        <v>14</v>
      </c>
      <c r="AC10" s="12">
        <v>15</v>
      </c>
      <c r="AD10" s="12">
        <v>16</v>
      </c>
      <c r="AE10" s="12">
        <v>17</v>
      </c>
      <c r="AF10" s="12">
        <v>18</v>
      </c>
      <c r="AG10" s="12">
        <v>19</v>
      </c>
      <c r="AH10" s="12">
        <v>20</v>
      </c>
    </row>
    <row r="11" spans="1:34">
      <c r="A11" s="10">
        <v>4</v>
      </c>
      <c r="B11" s="8">
        <v>0</v>
      </c>
      <c r="C11" s="8">
        <v>10</v>
      </c>
      <c r="D11" s="8">
        <f t="shared" si="0"/>
        <v>0</v>
      </c>
      <c r="E11" s="8">
        <v>7</v>
      </c>
      <c r="F11" s="8">
        <v>10</v>
      </c>
      <c r="G11" s="8">
        <f t="shared" si="1"/>
        <v>0.7</v>
      </c>
      <c r="P11" s="3"/>
      <c r="Q11" s="15"/>
      <c r="U11" s="9"/>
      <c r="V11" s="9"/>
      <c r="W11" s="9"/>
    </row>
    <row r="12" spans="1:34">
      <c r="A12" s="10">
        <v>5</v>
      </c>
      <c r="B12" s="8"/>
      <c r="C12" s="8"/>
      <c r="D12" s="8"/>
      <c r="E12" s="8"/>
      <c r="F12" s="8"/>
      <c r="G12" s="8"/>
      <c r="N12" s="16"/>
      <c r="O12" s="17" t="str">
        <f>B5</f>
        <v>roundup SS47745</v>
      </c>
      <c r="P12" s="17" t="str">
        <f>B15</f>
        <v>roundup SS47744</v>
      </c>
      <c r="Q12" s="17" t="str">
        <f>B25</f>
        <v>rattle SS46917</v>
      </c>
      <c r="R12" s="17" t="str">
        <f>B35</f>
        <v>bract SS31386</v>
      </c>
      <c r="S12" s="17" t="str">
        <f>B45</f>
        <v>clavicle SS48947</v>
      </c>
      <c r="T12" s="17" t="str">
        <f>B55</f>
        <v>cleaver (+ usnea) SS31022</v>
      </c>
      <c r="U12" s="17" t="str">
        <f>B65</f>
        <v>phantom SS44869</v>
      </c>
      <c r="V12" s="17" t="str">
        <f>B75</f>
        <v>G2N-1 SS47080</v>
      </c>
      <c r="W12" s="17" t="str">
        <f>B85</f>
        <v>FMIn SS48944</v>
      </c>
      <c r="X12" s="17" t="str">
        <f>B95</f>
        <v>fdg SS31345</v>
      </c>
      <c r="Y12" s="17" t="str">
        <f>B105</f>
        <v>usnea SS15725</v>
      </c>
      <c r="Z12" s="17" t="str">
        <f>B115</f>
        <v>TH-VUM SS46885</v>
      </c>
      <c r="AA12" s="17" t="str">
        <f>B125</f>
        <v>**</v>
      </c>
      <c r="AB12" s="17" t="str">
        <f>B135</f>
        <v>**</v>
      </c>
      <c r="AC12" s="17" t="str">
        <f>B145</f>
        <v>**</v>
      </c>
      <c r="AD12" s="17" t="str">
        <f>B155</f>
        <v>**</v>
      </c>
      <c r="AE12" s="17" t="str">
        <f>B165</f>
        <v>**</v>
      </c>
      <c r="AF12" s="17" t="str">
        <f>B175</f>
        <v>**</v>
      </c>
      <c r="AG12" s="17" t="str">
        <f>B185</f>
        <v>**</v>
      </c>
      <c r="AH12" s="17" t="str">
        <f>B195</f>
        <v>**</v>
      </c>
    </row>
    <row r="13" spans="1:34">
      <c r="A13" s="10">
        <v>6</v>
      </c>
      <c r="B13" s="8"/>
      <c r="C13" s="8"/>
      <c r="D13" s="8"/>
      <c r="E13" s="8"/>
      <c r="F13" s="8"/>
      <c r="G13" s="8"/>
      <c r="N13" s="16" t="s">
        <v>15</v>
      </c>
      <c r="O13" s="14">
        <f>K7</f>
        <v>0</v>
      </c>
      <c r="P13" s="14">
        <f>K17</f>
        <v>0</v>
      </c>
      <c r="Q13" s="14">
        <f>K27</f>
        <v>0</v>
      </c>
      <c r="R13" s="14">
        <f>K37</f>
        <v>0</v>
      </c>
      <c r="S13" s="14">
        <f>K47</f>
        <v>0</v>
      </c>
      <c r="T13" s="14">
        <f>K57</f>
        <v>0</v>
      </c>
      <c r="U13" s="14">
        <f>K67</f>
        <v>0</v>
      </c>
      <c r="V13" s="14">
        <f>K77</f>
        <v>0</v>
      </c>
      <c r="W13" s="14">
        <f>K87</f>
        <v>0</v>
      </c>
      <c r="X13" s="14">
        <f>K97</f>
        <v>0</v>
      </c>
      <c r="Y13" s="14">
        <f>K107</f>
        <v>0</v>
      </c>
      <c r="Z13" s="14">
        <f>K117</f>
        <v>0</v>
      </c>
      <c r="AA13" s="14">
        <f>K127</f>
        <v>0</v>
      </c>
      <c r="AB13" s="14">
        <f>K137</f>
        <v>0</v>
      </c>
      <c r="AC13" s="14">
        <f>K147</f>
        <v>0</v>
      </c>
      <c r="AD13" s="14">
        <f>K157</f>
        <v>0</v>
      </c>
      <c r="AE13" s="13">
        <f>K167</f>
        <v>0</v>
      </c>
      <c r="AF13" s="13">
        <f>K177</f>
        <v>0</v>
      </c>
      <c r="AG13" s="13">
        <f>K187</f>
        <v>0</v>
      </c>
      <c r="AH13" s="14">
        <f>K197</f>
        <v>0</v>
      </c>
    </row>
    <row r="14" spans="1:34">
      <c r="N14" s="16" t="s">
        <v>14</v>
      </c>
      <c r="O14" s="14">
        <f>K8</f>
        <v>0.82499999999999996</v>
      </c>
      <c r="P14" s="14">
        <f>K18</f>
        <v>0.8</v>
      </c>
      <c r="Q14" s="14">
        <f>K28</f>
        <v>0.77500000000000002</v>
      </c>
      <c r="R14" s="14">
        <f>K38</f>
        <v>0.72499999999999998</v>
      </c>
      <c r="S14" s="14">
        <f>K48</f>
        <v>0.3</v>
      </c>
      <c r="T14" s="14">
        <f>K58</f>
        <v>0.4</v>
      </c>
      <c r="U14" s="14">
        <f>K68</f>
        <v>0.47499999999999998</v>
      </c>
      <c r="V14" s="14">
        <f>K78</f>
        <v>0.75</v>
      </c>
      <c r="W14" s="14">
        <f>K88</f>
        <v>0.57499999999999996</v>
      </c>
      <c r="X14" s="14">
        <f>K98</f>
        <v>0.67499999999999993</v>
      </c>
      <c r="Y14" s="14">
        <f>K108</f>
        <v>0.42499999999999993</v>
      </c>
      <c r="Z14" s="14">
        <f>K118</f>
        <v>0.375</v>
      </c>
      <c r="AA14" s="14">
        <f>K128</f>
        <v>0</v>
      </c>
      <c r="AB14" s="14">
        <f>K138</f>
        <v>0</v>
      </c>
      <c r="AC14" s="14">
        <f>K148</f>
        <v>0</v>
      </c>
      <c r="AD14" s="14">
        <f>K158</f>
        <v>0</v>
      </c>
      <c r="AE14" s="13">
        <f>K168</f>
        <v>0</v>
      </c>
      <c r="AF14" s="13">
        <f>K178</f>
        <v>0</v>
      </c>
      <c r="AG14" s="13">
        <f>K188</f>
        <v>0</v>
      </c>
      <c r="AH14" s="14">
        <f>K198</f>
        <v>0</v>
      </c>
    </row>
    <row r="15" spans="1:34" ht="14.4">
      <c r="A15" s="4">
        <v>2</v>
      </c>
      <c r="B15" s="22" t="s">
        <v>21</v>
      </c>
      <c r="C15" s="31" t="s">
        <v>22</v>
      </c>
      <c r="D15" s="5"/>
      <c r="E15" s="5"/>
      <c r="F15" s="5"/>
      <c r="G15" s="5"/>
      <c r="H15" s="5"/>
      <c r="I15" s="5"/>
      <c r="J15" s="5"/>
      <c r="K15" s="5"/>
      <c r="L15" s="5"/>
    </row>
    <row r="16" spans="1:34">
      <c r="A16" s="5"/>
      <c r="B16" s="34" t="s">
        <v>15</v>
      </c>
      <c r="C16" s="40"/>
      <c r="D16" s="35"/>
      <c r="E16" s="41" t="s">
        <v>14</v>
      </c>
      <c r="F16" s="41"/>
      <c r="G16" s="41"/>
      <c r="H16" s="5"/>
      <c r="I16" s="5"/>
      <c r="J16" s="5"/>
      <c r="K16" s="10" t="s">
        <v>0</v>
      </c>
      <c r="L16" s="6" t="s">
        <v>1</v>
      </c>
      <c r="N16" s="2" t="s">
        <v>10</v>
      </c>
      <c r="O16" s="2">
        <f>L7</f>
        <v>0</v>
      </c>
      <c r="P16" s="2">
        <f>L17</f>
        <v>0</v>
      </c>
      <c r="Q16" s="2">
        <f>L27</f>
        <v>0</v>
      </c>
      <c r="R16" s="2">
        <f>L37</f>
        <v>0</v>
      </c>
      <c r="S16" s="2">
        <f>L47</f>
        <v>0</v>
      </c>
      <c r="T16" s="2">
        <f>L57</f>
        <v>0</v>
      </c>
      <c r="U16" s="2">
        <f>L67</f>
        <v>0</v>
      </c>
      <c r="V16" s="2">
        <f>L77</f>
        <v>0</v>
      </c>
      <c r="W16" s="2">
        <f>L87</f>
        <v>0</v>
      </c>
      <c r="X16" s="2">
        <f>L97</f>
        <v>0</v>
      </c>
      <c r="Y16" s="2">
        <f>L107</f>
        <v>0</v>
      </c>
      <c r="Z16" s="2">
        <f>L117</f>
        <v>0</v>
      </c>
      <c r="AA16" s="2">
        <f>L127</f>
        <v>0</v>
      </c>
      <c r="AB16" s="2">
        <f>L137</f>
        <v>0</v>
      </c>
      <c r="AG16" s="2">
        <f>L187</f>
        <v>0</v>
      </c>
    </row>
    <row r="17" spans="1:33">
      <c r="A17" s="7" t="s">
        <v>2</v>
      </c>
      <c r="B17" s="10" t="s">
        <v>3</v>
      </c>
      <c r="C17" s="10" t="s">
        <v>4</v>
      </c>
      <c r="D17" s="10" t="s">
        <v>5</v>
      </c>
      <c r="E17" s="10" t="s">
        <v>3</v>
      </c>
      <c r="F17" s="10" t="s">
        <v>4</v>
      </c>
      <c r="G17" s="10" t="s">
        <v>5</v>
      </c>
      <c r="H17" s="5"/>
      <c r="I17" s="34" t="s">
        <v>15</v>
      </c>
      <c r="J17" s="35"/>
      <c r="K17" s="10">
        <f>AVERAGE(D18:D23)</f>
        <v>0</v>
      </c>
      <c r="L17" s="10">
        <f>STDEV(D18:D23)/SQRT(4)</f>
        <v>0</v>
      </c>
      <c r="N17" s="2" t="s">
        <v>13</v>
      </c>
      <c r="O17" s="2">
        <f>L8</f>
        <v>7.4999999999999942E-2</v>
      </c>
      <c r="P17" s="2">
        <f>L18</f>
        <v>8.1649658092772415E-2</v>
      </c>
      <c r="Q17" s="2">
        <f>L28</f>
        <v>8.5391256382996397E-2</v>
      </c>
      <c r="R17" s="2">
        <f>L38</f>
        <v>7.4999999999999942E-2</v>
      </c>
      <c r="S17" s="2">
        <f>L48</f>
        <v>0.14142135623730953</v>
      </c>
      <c r="T17" s="2">
        <f>L58</f>
        <v>0.14142135623730948</v>
      </c>
      <c r="U17" s="2">
        <f>L68</f>
        <v>0.12500000000000011</v>
      </c>
      <c r="V17" s="2">
        <f>L78</f>
        <v>6.4549722436790455E-2</v>
      </c>
      <c r="W17" s="2">
        <f>L88</f>
        <v>0.11086778913041732</v>
      </c>
      <c r="X17" s="2">
        <f>L98</f>
        <v>8.5391256382996827E-2</v>
      </c>
      <c r="Y17" s="2">
        <f>L108</f>
        <v>0.10307764064044159</v>
      </c>
      <c r="Z17" s="2">
        <f>L118</f>
        <v>8.5391256382996661E-2</v>
      </c>
      <c r="AA17" s="2">
        <f>L128</f>
        <v>0</v>
      </c>
      <c r="AB17" s="2">
        <f>L138</f>
        <v>0</v>
      </c>
      <c r="AG17" s="2">
        <f>L188</f>
        <v>0</v>
      </c>
    </row>
    <row r="18" spans="1:33">
      <c r="A18" s="10">
        <v>1</v>
      </c>
      <c r="B18" s="8">
        <v>0</v>
      </c>
      <c r="C18" s="8">
        <v>10</v>
      </c>
      <c r="D18" s="8">
        <f t="shared" ref="D18:D21" si="2">B18/C18</f>
        <v>0</v>
      </c>
      <c r="E18" s="8">
        <v>8</v>
      </c>
      <c r="F18" s="8">
        <v>10</v>
      </c>
      <c r="G18" s="8">
        <f t="shared" ref="G18:G21" si="3">E18/F18</f>
        <v>0.8</v>
      </c>
      <c r="H18" s="5"/>
      <c r="I18" s="34" t="s">
        <v>14</v>
      </c>
      <c r="J18" s="35"/>
      <c r="K18" s="10">
        <f>AVERAGE(G18:G23)</f>
        <v>0.8</v>
      </c>
      <c r="L18" s="10">
        <f>STDEV(G18:G23)/SQRT(4)</f>
        <v>8.1649658092772415E-2</v>
      </c>
    </row>
    <row r="19" spans="1:33">
      <c r="A19" s="10">
        <v>2</v>
      </c>
      <c r="B19" s="8">
        <v>0</v>
      </c>
      <c r="C19" s="8">
        <v>10</v>
      </c>
      <c r="D19" s="8">
        <f t="shared" si="2"/>
        <v>0</v>
      </c>
      <c r="E19" s="8">
        <v>6</v>
      </c>
      <c r="F19" s="8">
        <v>10</v>
      </c>
      <c r="G19" s="8">
        <f t="shared" si="3"/>
        <v>0.6</v>
      </c>
      <c r="H19" s="5"/>
    </row>
    <row r="20" spans="1:33">
      <c r="A20" s="10">
        <v>3</v>
      </c>
      <c r="B20" s="8">
        <v>0</v>
      </c>
      <c r="C20" s="8">
        <v>10</v>
      </c>
      <c r="D20" s="8">
        <f t="shared" si="2"/>
        <v>0</v>
      </c>
      <c r="E20" s="8">
        <v>8</v>
      </c>
      <c r="F20" s="8">
        <v>10</v>
      </c>
      <c r="G20" s="8">
        <f t="shared" si="3"/>
        <v>0.8</v>
      </c>
      <c r="H20" s="5"/>
      <c r="I20" s="5"/>
    </row>
    <row r="21" spans="1:33">
      <c r="A21" s="10">
        <v>4</v>
      </c>
      <c r="B21" s="8">
        <v>0</v>
      </c>
      <c r="C21" s="8">
        <v>10</v>
      </c>
      <c r="D21" s="8">
        <f t="shared" si="2"/>
        <v>0</v>
      </c>
      <c r="E21" s="8">
        <v>10</v>
      </c>
      <c r="F21" s="8">
        <v>10</v>
      </c>
      <c r="G21" s="8">
        <f t="shared" si="3"/>
        <v>1</v>
      </c>
      <c r="H21" s="5"/>
      <c r="I21" s="5"/>
    </row>
    <row r="22" spans="1:33">
      <c r="A22" s="10">
        <v>5</v>
      </c>
      <c r="B22" s="8"/>
      <c r="C22" s="8"/>
      <c r="D22" s="8"/>
      <c r="E22" s="8"/>
      <c r="F22" s="8"/>
      <c r="G22" s="8"/>
      <c r="H22" s="5"/>
      <c r="I22" s="5"/>
    </row>
    <row r="23" spans="1:33">
      <c r="A23" s="10">
        <v>6</v>
      </c>
      <c r="B23" s="8"/>
      <c r="C23" s="8"/>
      <c r="D23" s="8"/>
      <c r="E23" s="8"/>
      <c r="F23" s="8"/>
      <c r="G23" s="8"/>
      <c r="H23" s="5"/>
      <c r="I23" s="5"/>
      <c r="J23" s="5"/>
      <c r="K23" s="5"/>
      <c r="L23" s="5"/>
    </row>
    <row r="24" spans="1:3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33" ht="14.4">
      <c r="A25" s="4">
        <v>3</v>
      </c>
      <c r="B25" s="22" t="s">
        <v>23</v>
      </c>
      <c r="C25" s="28"/>
      <c r="D25" s="5"/>
      <c r="E25" s="5"/>
      <c r="F25" s="5"/>
      <c r="G25" s="5"/>
      <c r="H25" s="5"/>
      <c r="I25" s="5"/>
      <c r="J25" s="5"/>
      <c r="K25" s="5"/>
      <c r="L25" s="5"/>
    </row>
    <row r="26" spans="1:33">
      <c r="A26" s="5"/>
      <c r="B26" s="34" t="s">
        <v>15</v>
      </c>
      <c r="C26" s="40"/>
      <c r="D26" s="35"/>
      <c r="E26" s="41" t="s">
        <v>14</v>
      </c>
      <c r="F26" s="41"/>
      <c r="G26" s="41"/>
      <c r="H26" s="5"/>
      <c r="I26" s="5"/>
      <c r="J26" s="5"/>
      <c r="K26" s="10" t="s">
        <v>6</v>
      </c>
      <c r="L26" s="6" t="s">
        <v>1</v>
      </c>
    </row>
    <row r="27" spans="1:33">
      <c r="A27" s="7" t="s">
        <v>2</v>
      </c>
      <c r="B27" s="10" t="s">
        <v>3</v>
      </c>
      <c r="C27" s="10" t="s">
        <v>4</v>
      </c>
      <c r="D27" s="10" t="s">
        <v>5</v>
      </c>
      <c r="E27" s="10" t="s">
        <v>3</v>
      </c>
      <c r="F27" s="10" t="s">
        <v>4</v>
      </c>
      <c r="G27" s="10" t="s">
        <v>5</v>
      </c>
      <c r="H27" s="5"/>
      <c r="I27" s="34" t="s">
        <v>15</v>
      </c>
      <c r="J27" s="35"/>
      <c r="K27" s="10">
        <f>AVERAGE(D28:D33)</f>
        <v>0</v>
      </c>
      <c r="L27" s="10">
        <f>STDEV(D28:D33)/SQRT(4)</f>
        <v>0</v>
      </c>
    </row>
    <row r="28" spans="1:33">
      <c r="A28" s="10">
        <v>1</v>
      </c>
      <c r="B28" s="8">
        <v>0</v>
      </c>
      <c r="C28" s="8">
        <v>10</v>
      </c>
      <c r="D28" s="8">
        <f>B28/C28</f>
        <v>0</v>
      </c>
      <c r="E28" s="8">
        <v>7</v>
      </c>
      <c r="F28" s="8">
        <v>10</v>
      </c>
      <c r="G28" s="8">
        <f>E28/F28</f>
        <v>0.7</v>
      </c>
      <c r="H28" s="5"/>
      <c r="I28" s="34" t="s">
        <v>14</v>
      </c>
      <c r="J28" s="35"/>
      <c r="K28" s="10">
        <f>AVERAGE(G28:G33)</f>
        <v>0.77500000000000002</v>
      </c>
      <c r="L28" s="10">
        <f>STDEV(G28:G33)/SQRT(4)</f>
        <v>8.5391256382996397E-2</v>
      </c>
    </row>
    <row r="29" spans="1:33">
      <c r="A29" s="10">
        <v>2</v>
      </c>
      <c r="B29" s="8">
        <v>0</v>
      </c>
      <c r="C29" s="8">
        <v>10</v>
      </c>
      <c r="D29" s="8">
        <f t="shared" ref="D29:D31" si="4">B29/C29</f>
        <v>0</v>
      </c>
      <c r="E29" s="8">
        <v>8</v>
      </c>
      <c r="F29" s="8">
        <v>10</v>
      </c>
      <c r="G29" s="8">
        <f t="shared" ref="G29:G31" si="5">E29/F29</f>
        <v>0.8</v>
      </c>
      <c r="H29" s="5"/>
    </row>
    <row r="30" spans="1:33">
      <c r="A30" s="10">
        <v>3</v>
      </c>
      <c r="B30" s="8">
        <v>0</v>
      </c>
      <c r="C30" s="8">
        <v>10</v>
      </c>
      <c r="D30" s="8">
        <f t="shared" si="4"/>
        <v>0</v>
      </c>
      <c r="E30" s="8">
        <v>10</v>
      </c>
      <c r="F30" s="8">
        <v>10</v>
      </c>
      <c r="G30" s="8">
        <f t="shared" si="5"/>
        <v>1</v>
      </c>
      <c r="H30" s="5"/>
      <c r="I30" s="5"/>
    </row>
    <row r="31" spans="1:33">
      <c r="A31" s="10">
        <v>4</v>
      </c>
      <c r="B31" s="8">
        <v>0</v>
      </c>
      <c r="C31" s="8">
        <v>10</v>
      </c>
      <c r="D31" s="8">
        <f t="shared" si="4"/>
        <v>0</v>
      </c>
      <c r="E31" s="8">
        <v>6</v>
      </c>
      <c r="F31" s="8">
        <v>10</v>
      </c>
      <c r="G31" s="8">
        <f t="shared" si="5"/>
        <v>0.6</v>
      </c>
      <c r="H31" s="5"/>
      <c r="I31" s="5"/>
    </row>
    <row r="32" spans="1:33">
      <c r="A32" s="10">
        <v>5</v>
      </c>
      <c r="B32" s="8"/>
      <c r="C32" s="8"/>
      <c r="D32" s="8"/>
      <c r="E32" s="8"/>
      <c r="F32" s="8"/>
      <c r="G32" s="8"/>
      <c r="H32" s="5"/>
      <c r="I32" s="5"/>
    </row>
    <row r="33" spans="1:22">
      <c r="A33" s="10">
        <v>6</v>
      </c>
      <c r="B33" s="8"/>
      <c r="C33" s="8"/>
      <c r="D33" s="8"/>
      <c r="E33" s="8"/>
      <c r="F33" s="8"/>
      <c r="G33" s="8"/>
      <c r="H33" s="5"/>
      <c r="I33" s="5"/>
      <c r="J33" s="5"/>
      <c r="K33" s="5"/>
      <c r="L33" s="5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22" ht="14.4">
      <c r="A35" s="4">
        <v>4</v>
      </c>
      <c r="B35" s="22" t="s">
        <v>20</v>
      </c>
      <c r="C35" s="28" t="s">
        <v>19</v>
      </c>
      <c r="D35" s="5"/>
      <c r="E35" s="5"/>
      <c r="F35" s="5"/>
      <c r="G35" s="5"/>
      <c r="H35" s="5"/>
      <c r="I35" s="5"/>
      <c r="J35" s="5"/>
      <c r="K35" s="5"/>
      <c r="L35" s="5"/>
    </row>
    <row r="36" spans="1:22">
      <c r="A36" s="5"/>
      <c r="B36" s="34" t="s">
        <v>15</v>
      </c>
      <c r="C36" s="40"/>
      <c r="D36" s="35"/>
      <c r="E36" s="41" t="s">
        <v>14</v>
      </c>
      <c r="F36" s="41"/>
      <c r="G36" s="41"/>
      <c r="H36" s="5"/>
      <c r="I36" s="5"/>
      <c r="J36" s="5"/>
      <c r="K36" s="10" t="s">
        <v>0</v>
      </c>
      <c r="L36" s="6" t="s">
        <v>1</v>
      </c>
    </row>
    <row r="37" spans="1:22" ht="13.2">
      <c r="A37" s="7" t="s">
        <v>2</v>
      </c>
      <c r="B37" s="10" t="s">
        <v>3</v>
      </c>
      <c r="C37" s="10" t="s">
        <v>4</v>
      </c>
      <c r="D37" s="10" t="s">
        <v>5</v>
      </c>
      <c r="E37" s="10" t="s">
        <v>3</v>
      </c>
      <c r="F37" s="10" t="s">
        <v>4</v>
      </c>
      <c r="G37" s="10" t="s">
        <v>5</v>
      </c>
      <c r="H37" s="5"/>
      <c r="I37" s="34" t="s">
        <v>15</v>
      </c>
      <c r="J37" s="35"/>
      <c r="K37" s="10">
        <f>AVERAGE(D38:D43)</f>
        <v>0</v>
      </c>
      <c r="L37" s="10">
        <f>STDEV(D38:D43)/SQRT(4)</f>
        <v>0</v>
      </c>
      <c r="P37" s="2" t="s">
        <v>9</v>
      </c>
      <c r="T37" s="18"/>
      <c r="U37" s="18"/>
      <c r="V37" s="18"/>
    </row>
    <row r="38" spans="1:22" ht="13.2">
      <c r="A38" s="10">
        <v>1</v>
      </c>
      <c r="B38" s="8">
        <v>0</v>
      </c>
      <c r="C38" s="8">
        <v>10</v>
      </c>
      <c r="D38" s="8">
        <f>B38/C38</f>
        <v>0</v>
      </c>
      <c r="E38" s="8">
        <v>6</v>
      </c>
      <c r="F38" s="8">
        <v>10</v>
      </c>
      <c r="G38" s="8">
        <f>E38/F38</f>
        <v>0.6</v>
      </c>
      <c r="H38" s="5"/>
      <c r="I38" s="34" t="s">
        <v>14</v>
      </c>
      <c r="J38" s="35"/>
      <c r="K38" s="10">
        <f>AVERAGE(G38:G43)</f>
        <v>0.72499999999999998</v>
      </c>
      <c r="L38" s="10">
        <f>STDEV(G38:G43)/SQRT(4)</f>
        <v>7.4999999999999942E-2</v>
      </c>
      <c r="T38" s="19"/>
      <c r="U38" s="19"/>
      <c r="V38" s="19"/>
    </row>
    <row r="39" spans="1:22" ht="13.2">
      <c r="A39" s="10">
        <v>2</v>
      </c>
      <c r="B39" s="8">
        <v>0</v>
      </c>
      <c r="C39" s="8">
        <v>10</v>
      </c>
      <c r="D39" s="8">
        <f t="shared" ref="D39:D41" si="6">B39/C39</f>
        <v>0</v>
      </c>
      <c r="E39" s="8">
        <v>8</v>
      </c>
      <c r="F39" s="8">
        <v>10</v>
      </c>
      <c r="G39" s="8">
        <f t="shared" ref="G39:G41" si="7">E39/F39</f>
        <v>0.8</v>
      </c>
      <c r="H39" s="5"/>
      <c r="T39" s="20"/>
      <c r="U39" s="20"/>
      <c r="V39" s="20"/>
    </row>
    <row r="40" spans="1:22">
      <c r="A40" s="10">
        <v>3</v>
      </c>
      <c r="B40" s="8">
        <v>0</v>
      </c>
      <c r="C40" s="8">
        <v>10</v>
      </c>
      <c r="D40" s="8">
        <f t="shared" si="6"/>
        <v>0</v>
      </c>
      <c r="E40" s="8">
        <v>9</v>
      </c>
      <c r="F40" s="8">
        <v>10</v>
      </c>
      <c r="G40" s="8">
        <f t="shared" si="7"/>
        <v>0.9</v>
      </c>
      <c r="H40" s="5"/>
    </row>
    <row r="41" spans="1:22">
      <c r="A41" s="10">
        <v>4</v>
      </c>
      <c r="B41" s="8">
        <v>0</v>
      </c>
      <c r="C41" s="8">
        <v>10</v>
      </c>
      <c r="D41" s="8">
        <f t="shared" si="6"/>
        <v>0</v>
      </c>
      <c r="E41" s="8">
        <v>6</v>
      </c>
      <c r="F41" s="8">
        <v>10</v>
      </c>
      <c r="G41" s="8">
        <f t="shared" si="7"/>
        <v>0.6</v>
      </c>
      <c r="H41" s="5"/>
    </row>
    <row r="42" spans="1:22">
      <c r="A42" s="10">
        <v>5</v>
      </c>
      <c r="B42" s="8"/>
      <c r="C42" s="8"/>
      <c r="D42" s="8"/>
      <c r="E42" s="8"/>
      <c r="F42" s="8"/>
      <c r="G42" s="8"/>
      <c r="H42" s="5"/>
    </row>
    <row r="43" spans="1:22">
      <c r="A43" s="10">
        <v>6</v>
      </c>
      <c r="B43" s="8"/>
      <c r="C43" s="8"/>
      <c r="D43" s="8"/>
      <c r="E43" s="8"/>
      <c r="F43" s="8"/>
      <c r="G43" s="8"/>
      <c r="H43" s="5"/>
    </row>
    <row r="45" spans="1:22" ht="14.4">
      <c r="A45" s="4">
        <v>5</v>
      </c>
      <c r="B45" s="22" t="s">
        <v>25</v>
      </c>
      <c r="C45" s="25" t="s">
        <v>26</v>
      </c>
      <c r="D45" s="5"/>
      <c r="E45" s="5"/>
      <c r="F45" s="5"/>
      <c r="G45" s="5"/>
    </row>
    <row r="46" spans="1:22">
      <c r="A46" s="5"/>
      <c r="B46" s="34" t="s">
        <v>15</v>
      </c>
      <c r="C46" s="40"/>
      <c r="D46" s="35"/>
      <c r="E46" s="41" t="s">
        <v>14</v>
      </c>
      <c r="F46" s="41"/>
      <c r="G46" s="41"/>
      <c r="I46" s="5"/>
      <c r="J46" s="5"/>
      <c r="K46" s="10" t="s">
        <v>6</v>
      </c>
      <c r="L46" s="6" t="s">
        <v>1</v>
      </c>
    </row>
    <row r="47" spans="1:22">
      <c r="A47" s="7" t="s">
        <v>7</v>
      </c>
      <c r="B47" s="10" t="s">
        <v>3</v>
      </c>
      <c r="C47" s="10" t="s">
        <v>4</v>
      </c>
      <c r="D47" s="10" t="s">
        <v>5</v>
      </c>
      <c r="E47" s="10" t="s">
        <v>3</v>
      </c>
      <c r="F47" s="10" t="s">
        <v>4</v>
      </c>
      <c r="G47" s="10" t="s">
        <v>8</v>
      </c>
      <c r="I47" s="34" t="s">
        <v>15</v>
      </c>
      <c r="J47" s="35"/>
      <c r="K47" s="10">
        <f>AVERAGE(D48:D53)</f>
        <v>0</v>
      </c>
      <c r="L47" s="10">
        <f>STDEV(D48:D53)/SQRT(4)</f>
        <v>0</v>
      </c>
    </row>
    <row r="48" spans="1:22">
      <c r="A48" s="10">
        <v>1</v>
      </c>
      <c r="B48" s="8">
        <v>0</v>
      </c>
      <c r="C48" s="8">
        <v>10</v>
      </c>
      <c r="D48" s="8">
        <f>B48/C48</f>
        <v>0</v>
      </c>
      <c r="E48" s="8">
        <v>1</v>
      </c>
      <c r="F48" s="8">
        <v>10</v>
      </c>
      <c r="G48" s="8">
        <f>E48/F48</f>
        <v>0.1</v>
      </c>
      <c r="I48" s="34" t="s">
        <v>14</v>
      </c>
      <c r="J48" s="35"/>
      <c r="K48" s="10">
        <f>AVERAGE(G48:G53)</f>
        <v>0.3</v>
      </c>
      <c r="L48" s="10">
        <f>STDEV(G48:G53)/SQRT(4)</f>
        <v>0.14142135623730953</v>
      </c>
    </row>
    <row r="49" spans="1:12">
      <c r="A49" s="10">
        <v>2</v>
      </c>
      <c r="B49" s="8">
        <v>0</v>
      </c>
      <c r="C49" s="8">
        <v>10</v>
      </c>
      <c r="D49" s="8">
        <f t="shared" ref="D49:D51" si="8">B49/C49</f>
        <v>0</v>
      </c>
      <c r="E49" s="8">
        <v>5</v>
      </c>
      <c r="F49" s="8">
        <v>10</v>
      </c>
      <c r="G49" s="8">
        <f t="shared" ref="G49" si="9">E49/F49</f>
        <v>0.5</v>
      </c>
    </row>
    <row r="50" spans="1:12">
      <c r="A50" s="10">
        <v>3</v>
      </c>
      <c r="B50" s="10"/>
      <c r="C50" s="8">
        <v>10</v>
      </c>
      <c r="D50" s="8">
        <f t="shared" si="8"/>
        <v>0</v>
      </c>
      <c r="E50" s="8"/>
      <c r="F50" s="8">
        <v>10</v>
      </c>
      <c r="G50" s="8"/>
    </row>
    <row r="51" spans="1:12">
      <c r="A51" s="10">
        <v>4</v>
      </c>
      <c r="B51" s="10"/>
      <c r="C51" s="8">
        <v>10</v>
      </c>
      <c r="D51" s="8">
        <f t="shared" si="8"/>
        <v>0</v>
      </c>
      <c r="E51" s="8"/>
      <c r="F51" s="8">
        <v>10</v>
      </c>
      <c r="G51" s="8"/>
    </row>
    <row r="52" spans="1:12">
      <c r="A52" s="10">
        <v>5</v>
      </c>
      <c r="B52" s="8"/>
      <c r="C52" s="8"/>
      <c r="D52" s="8"/>
      <c r="E52" s="8"/>
      <c r="F52" s="8"/>
      <c r="G52" s="8"/>
    </row>
    <row r="53" spans="1:12">
      <c r="A53" s="10">
        <v>6</v>
      </c>
      <c r="B53" s="8"/>
      <c r="C53" s="8"/>
      <c r="D53" s="8"/>
      <c r="E53" s="8"/>
      <c r="F53" s="8"/>
      <c r="G53" s="8"/>
    </row>
    <row r="55" spans="1:12" ht="14.4">
      <c r="A55" s="4">
        <v>6</v>
      </c>
      <c r="B55" s="29" t="s">
        <v>27</v>
      </c>
      <c r="C55" s="27" t="s">
        <v>28</v>
      </c>
      <c r="D55" s="5"/>
      <c r="E55" s="5"/>
      <c r="F55" s="5"/>
      <c r="G55" s="5"/>
    </row>
    <row r="56" spans="1:12">
      <c r="A56" s="5"/>
      <c r="B56" s="34" t="s">
        <v>15</v>
      </c>
      <c r="C56" s="40"/>
      <c r="D56" s="35"/>
      <c r="E56" s="41" t="s">
        <v>14</v>
      </c>
      <c r="F56" s="41"/>
      <c r="G56" s="41"/>
      <c r="I56" s="5"/>
      <c r="J56" s="5"/>
      <c r="K56" s="10" t="s">
        <v>6</v>
      </c>
      <c r="L56" s="6" t="s">
        <v>1</v>
      </c>
    </row>
    <row r="57" spans="1:12">
      <c r="A57" s="7" t="s">
        <v>2</v>
      </c>
      <c r="B57" s="10" t="s">
        <v>3</v>
      </c>
      <c r="C57" s="10" t="s">
        <v>4</v>
      </c>
      <c r="D57" s="10" t="s">
        <v>5</v>
      </c>
      <c r="E57" s="10" t="s">
        <v>3</v>
      </c>
      <c r="F57" s="10" t="s">
        <v>4</v>
      </c>
      <c r="G57" s="10" t="s">
        <v>5</v>
      </c>
      <c r="I57" s="34" t="s">
        <v>15</v>
      </c>
      <c r="J57" s="35"/>
      <c r="K57" s="10">
        <f>AVERAGE(D58:D63)</f>
        <v>0</v>
      </c>
      <c r="L57" s="10">
        <f>STDEV(D58:D63)/SQRT(4)</f>
        <v>0</v>
      </c>
    </row>
    <row r="58" spans="1:12">
      <c r="A58" s="10">
        <v>1</v>
      </c>
      <c r="B58" s="8">
        <v>0</v>
      </c>
      <c r="C58" s="8">
        <v>10</v>
      </c>
      <c r="D58" s="8">
        <f>B58/C58</f>
        <v>0</v>
      </c>
      <c r="E58" s="8">
        <v>6</v>
      </c>
      <c r="F58" s="8">
        <v>10</v>
      </c>
      <c r="G58" s="8">
        <f>E58/F58</f>
        <v>0.6</v>
      </c>
      <c r="I58" s="34" t="s">
        <v>14</v>
      </c>
      <c r="J58" s="35"/>
      <c r="K58" s="10">
        <f>AVERAGE(G58:G63)</f>
        <v>0.4</v>
      </c>
      <c r="L58" s="10">
        <f>STDEV(G58:G63)/SQRT(4)</f>
        <v>0.14142135623730948</v>
      </c>
    </row>
    <row r="59" spans="1:12">
      <c r="A59" s="10">
        <v>2</v>
      </c>
      <c r="B59" s="8">
        <v>0</v>
      </c>
      <c r="C59" s="8">
        <v>10</v>
      </c>
      <c r="D59" s="8">
        <f t="shared" ref="D59:D61" si="10">B59/C59</f>
        <v>0</v>
      </c>
      <c r="E59" s="8">
        <v>2</v>
      </c>
      <c r="F59" s="8">
        <v>10</v>
      </c>
      <c r="G59" s="8">
        <f t="shared" ref="G59" si="11">E59/F59</f>
        <v>0.2</v>
      </c>
    </row>
    <row r="60" spans="1:12">
      <c r="A60" s="10">
        <v>3</v>
      </c>
      <c r="B60" s="10"/>
      <c r="C60" s="8">
        <v>10</v>
      </c>
      <c r="D60" s="8">
        <f t="shared" si="10"/>
        <v>0</v>
      </c>
      <c r="E60" s="8"/>
      <c r="F60" s="8">
        <v>10</v>
      </c>
      <c r="G60" s="8"/>
    </row>
    <row r="61" spans="1:12">
      <c r="A61" s="10">
        <v>4</v>
      </c>
      <c r="B61" s="10"/>
      <c r="C61" s="8">
        <v>10</v>
      </c>
      <c r="D61" s="8">
        <f t="shared" si="10"/>
        <v>0</v>
      </c>
      <c r="E61" s="8"/>
      <c r="F61" s="8">
        <v>10</v>
      </c>
      <c r="G61" s="8"/>
    </row>
    <row r="62" spans="1:12">
      <c r="A62" s="10">
        <v>5</v>
      </c>
      <c r="B62" s="8"/>
      <c r="C62" s="8"/>
      <c r="D62" s="8"/>
      <c r="E62" s="8"/>
      <c r="F62" s="8"/>
      <c r="G62" s="8"/>
    </row>
    <row r="63" spans="1:12">
      <c r="A63" s="10">
        <v>6</v>
      </c>
      <c r="B63" s="8"/>
      <c r="C63" s="8"/>
      <c r="D63" s="8"/>
      <c r="E63" s="8"/>
      <c r="F63" s="8"/>
      <c r="G63" s="8"/>
    </row>
    <row r="65" spans="1:17" ht="14.4">
      <c r="A65" s="4">
        <v>7</v>
      </c>
      <c r="B65" s="32" t="s">
        <v>24</v>
      </c>
      <c r="C65" s="26"/>
      <c r="D65" s="5"/>
      <c r="E65" s="5"/>
      <c r="F65" s="5"/>
      <c r="G65" s="5"/>
    </row>
    <row r="66" spans="1:17">
      <c r="A66" s="5"/>
      <c r="B66" s="34" t="s">
        <v>15</v>
      </c>
      <c r="C66" s="40"/>
      <c r="D66" s="35"/>
      <c r="E66" s="41" t="s">
        <v>14</v>
      </c>
      <c r="F66" s="41"/>
      <c r="G66" s="41"/>
      <c r="I66" s="5"/>
      <c r="J66" s="5"/>
      <c r="K66" s="10" t="s">
        <v>6</v>
      </c>
      <c r="L66" s="6" t="s">
        <v>1</v>
      </c>
    </row>
    <row r="67" spans="1:17">
      <c r="A67" s="7" t="s">
        <v>2</v>
      </c>
      <c r="B67" s="10" t="s">
        <v>3</v>
      </c>
      <c r="C67" s="10" t="s">
        <v>4</v>
      </c>
      <c r="D67" s="10" t="s">
        <v>5</v>
      </c>
      <c r="E67" s="10" t="s">
        <v>3</v>
      </c>
      <c r="F67" s="10" t="s">
        <v>4</v>
      </c>
      <c r="G67" s="10" t="s">
        <v>5</v>
      </c>
      <c r="I67" s="34" t="s">
        <v>15</v>
      </c>
      <c r="J67" s="35"/>
      <c r="K67" s="10">
        <f>AVERAGE(D68:D73)</f>
        <v>0</v>
      </c>
      <c r="L67" s="10">
        <f>STDEV(D68:D73)/SQRT(4)</f>
        <v>0</v>
      </c>
    </row>
    <row r="68" spans="1:17">
      <c r="A68" s="10">
        <v>1</v>
      </c>
      <c r="B68" s="8">
        <v>0</v>
      </c>
      <c r="C68" s="8">
        <v>10</v>
      </c>
      <c r="D68" s="8">
        <f>B68/C68</f>
        <v>0</v>
      </c>
      <c r="E68" s="8">
        <v>2</v>
      </c>
      <c r="F68" s="8">
        <v>10</v>
      </c>
      <c r="G68" s="8">
        <f>E68/F68</f>
        <v>0.2</v>
      </c>
      <c r="I68" s="34" t="s">
        <v>14</v>
      </c>
      <c r="J68" s="35"/>
      <c r="K68" s="10">
        <f>AVERAGE(G68:G73)</f>
        <v>0.47499999999999998</v>
      </c>
      <c r="L68" s="10">
        <f>STDEV(G68:G73)/SQRT(4)</f>
        <v>0.12500000000000011</v>
      </c>
    </row>
    <row r="69" spans="1:17">
      <c r="A69" s="10">
        <v>2</v>
      </c>
      <c r="B69" s="8">
        <v>0</v>
      </c>
      <c r="C69" s="8">
        <v>10</v>
      </c>
      <c r="D69" s="8">
        <f t="shared" ref="D69:D71" si="12">B69/C69</f>
        <v>0</v>
      </c>
      <c r="E69" s="8">
        <v>8</v>
      </c>
      <c r="F69" s="8">
        <v>10</v>
      </c>
      <c r="G69" s="8">
        <f t="shared" ref="G69:G71" si="13">E69/F69</f>
        <v>0.8</v>
      </c>
    </row>
    <row r="70" spans="1:17">
      <c r="A70" s="10">
        <v>3</v>
      </c>
      <c r="B70" s="8">
        <v>0</v>
      </c>
      <c r="C70" s="8">
        <v>10</v>
      </c>
      <c r="D70" s="8">
        <f t="shared" si="12"/>
        <v>0</v>
      </c>
      <c r="E70" s="8">
        <v>4</v>
      </c>
      <c r="F70" s="8">
        <v>10</v>
      </c>
      <c r="G70" s="8">
        <f t="shared" si="13"/>
        <v>0.4</v>
      </c>
    </row>
    <row r="71" spans="1:17">
      <c r="A71" s="10">
        <v>4</v>
      </c>
      <c r="B71" s="8">
        <v>0</v>
      </c>
      <c r="C71" s="8">
        <v>10</v>
      </c>
      <c r="D71" s="8">
        <f t="shared" si="12"/>
        <v>0</v>
      </c>
      <c r="E71" s="8">
        <v>5</v>
      </c>
      <c r="F71" s="8">
        <v>10</v>
      </c>
      <c r="G71" s="8">
        <f t="shared" si="13"/>
        <v>0.5</v>
      </c>
    </row>
    <row r="72" spans="1:17">
      <c r="A72" s="10">
        <v>5</v>
      </c>
      <c r="B72" s="8"/>
      <c r="C72" s="8"/>
      <c r="D72" s="8"/>
      <c r="E72" s="8"/>
      <c r="F72" s="8"/>
      <c r="G72" s="8"/>
    </row>
    <row r="73" spans="1:17">
      <c r="A73" s="10">
        <v>6</v>
      </c>
      <c r="B73" s="8"/>
      <c r="C73" s="8"/>
      <c r="D73" s="8"/>
      <c r="E73" s="8"/>
      <c r="F73" s="8"/>
      <c r="G73" s="8"/>
    </row>
    <row r="75" spans="1:17" ht="14.4">
      <c r="A75" s="4">
        <v>8</v>
      </c>
      <c r="B75" s="22" t="s">
        <v>40</v>
      </c>
      <c r="C75" s="28" t="s">
        <v>35</v>
      </c>
      <c r="D75" s="5"/>
      <c r="E75" s="5"/>
      <c r="F75" s="5"/>
      <c r="G75" s="5"/>
      <c r="H75" s="5"/>
      <c r="I75" s="5"/>
      <c r="J75" s="5"/>
      <c r="K75" s="5"/>
      <c r="L75" s="5"/>
    </row>
    <row r="76" spans="1:17">
      <c r="A76" s="5"/>
      <c r="B76" s="34" t="s">
        <v>15</v>
      </c>
      <c r="C76" s="40"/>
      <c r="D76" s="35"/>
      <c r="E76" s="41" t="s">
        <v>14</v>
      </c>
      <c r="F76" s="41"/>
      <c r="G76" s="41"/>
      <c r="H76" s="5"/>
      <c r="I76" s="5"/>
      <c r="J76" s="5"/>
      <c r="K76" s="10" t="s">
        <v>0</v>
      </c>
      <c r="L76" s="6" t="s">
        <v>1</v>
      </c>
      <c r="O76" s="12"/>
      <c r="P76" s="12"/>
      <c r="Q76" s="12"/>
    </row>
    <row r="77" spans="1:17">
      <c r="A77" s="7" t="s">
        <v>2</v>
      </c>
      <c r="B77" s="10" t="s">
        <v>3</v>
      </c>
      <c r="C77" s="10" t="s">
        <v>4</v>
      </c>
      <c r="D77" s="10" t="s">
        <v>5</v>
      </c>
      <c r="E77" s="10" t="s">
        <v>3</v>
      </c>
      <c r="F77" s="10" t="s">
        <v>4</v>
      </c>
      <c r="G77" s="10" t="s">
        <v>5</v>
      </c>
      <c r="H77" s="5"/>
      <c r="I77" s="34" t="s">
        <v>15</v>
      </c>
      <c r="J77" s="35"/>
      <c r="K77" s="10">
        <f>AVERAGE(D78:D83)</f>
        <v>0</v>
      </c>
      <c r="L77" s="10">
        <f>STDEV(D78:D83)/SQRT(4)</f>
        <v>0</v>
      </c>
      <c r="O77" s="9"/>
      <c r="P77" s="9"/>
    </row>
    <row r="78" spans="1:17">
      <c r="A78" s="10">
        <v>1</v>
      </c>
      <c r="B78" s="8">
        <v>0</v>
      </c>
      <c r="C78" s="8">
        <v>10</v>
      </c>
      <c r="D78" s="8">
        <f>B78/C78</f>
        <v>0</v>
      </c>
      <c r="E78" s="8">
        <v>7</v>
      </c>
      <c r="F78" s="8">
        <v>10</v>
      </c>
      <c r="G78" s="8">
        <f>E78/F78</f>
        <v>0.7</v>
      </c>
      <c r="H78" s="5"/>
      <c r="I78" s="34" t="s">
        <v>14</v>
      </c>
      <c r="J78" s="35"/>
      <c r="K78" s="10">
        <f>AVERAGE(G78:G83)</f>
        <v>0.75</v>
      </c>
      <c r="L78" s="10">
        <f>STDEV(G78:G83)/SQRT(4)</f>
        <v>6.4549722436790455E-2</v>
      </c>
      <c r="O78" s="21"/>
      <c r="P78" s="21"/>
      <c r="Q78" s="21"/>
    </row>
    <row r="79" spans="1:17">
      <c r="A79" s="10">
        <v>2</v>
      </c>
      <c r="B79" s="8">
        <v>0</v>
      </c>
      <c r="C79" s="8">
        <v>10</v>
      </c>
      <c r="D79" s="8">
        <f t="shared" ref="D79:D81" si="14">B79/C79</f>
        <v>0</v>
      </c>
      <c r="E79" s="8">
        <v>8</v>
      </c>
      <c r="F79" s="8">
        <v>10</v>
      </c>
      <c r="G79" s="8">
        <f t="shared" ref="G79:G81" si="15">E79/F79</f>
        <v>0.8</v>
      </c>
      <c r="H79" s="5"/>
    </row>
    <row r="80" spans="1:17">
      <c r="A80" s="10">
        <v>3</v>
      </c>
      <c r="B80" s="8">
        <v>0</v>
      </c>
      <c r="C80" s="8">
        <v>10</v>
      </c>
      <c r="D80" s="8">
        <f t="shared" si="14"/>
        <v>0</v>
      </c>
      <c r="E80" s="8">
        <v>9</v>
      </c>
      <c r="F80" s="8">
        <v>10</v>
      </c>
      <c r="G80" s="8">
        <f t="shared" si="15"/>
        <v>0.9</v>
      </c>
      <c r="H80" s="5"/>
      <c r="I80" s="5" t="s">
        <v>29</v>
      </c>
      <c r="J80" s="2">
        <v>0.97777777777777775</v>
      </c>
      <c r="L80" s="2">
        <v>7.5</v>
      </c>
    </row>
    <row r="81" spans="1:12">
      <c r="A81" s="10">
        <v>4</v>
      </c>
      <c r="B81" s="8">
        <v>0</v>
      </c>
      <c r="C81" s="8">
        <v>10</v>
      </c>
      <c r="D81" s="8">
        <f t="shared" si="14"/>
        <v>0</v>
      </c>
      <c r="E81" s="8">
        <v>6</v>
      </c>
      <c r="F81" s="8">
        <v>10</v>
      </c>
      <c r="G81" s="8">
        <f t="shared" si="15"/>
        <v>0.6</v>
      </c>
      <c r="H81" s="5"/>
      <c r="I81" s="5"/>
    </row>
    <row r="82" spans="1:12">
      <c r="A82" s="10">
        <v>5</v>
      </c>
      <c r="B82" s="8"/>
      <c r="C82" s="8"/>
      <c r="D82" s="8"/>
      <c r="E82" s="8"/>
      <c r="F82" s="8"/>
      <c r="G82" s="8"/>
      <c r="H82" s="5"/>
      <c r="I82" s="5"/>
      <c r="J82" s="5"/>
      <c r="K82" s="5"/>
      <c r="L82" s="5"/>
    </row>
    <row r="83" spans="1:12">
      <c r="A83" s="10">
        <v>6</v>
      </c>
      <c r="B83" s="8"/>
      <c r="C83" s="8"/>
      <c r="D83" s="8"/>
      <c r="E83" s="8"/>
      <c r="F83" s="8"/>
      <c r="G83" s="8"/>
      <c r="H83" s="5"/>
      <c r="I83" s="5"/>
      <c r="J83" s="5"/>
      <c r="K83" s="5"/>
      <c r="L83" s="5"/>
    </row>
    <row r="84" spans="1:1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4.4">
      <c r="A85" s="4">
        <v>9</v>
      </c>
      <c r="B85" s="33" t="s">
        <v>41</v>
      </c>
      <c r="C85" s="28" t="s">
        <v>37</v>
      </c>
      <c r="D85" s="5"/>
      <c r="E85" s="5"/>
      <c r="F85" s="5"/>
      <c r="G85" s="5"/>
      <c r="H85" s="5"/>
      <c r="I85" s="5"/>
      <c r="J85" s="5"/>
      <c r="K85" s="5"/>
      <c r="L85" s="5"/>
    </row>
    <row r="86" spans="1:12">
      <c r="A86" s="5"/>
      <c r="B86" s="34" t="s">
        <v>15</v>
      </c>
      <c r="C86" s="40"/>
      <c r="D86" s="35"/>
      <c r="E86" s="41" t="s">
        <v>14</v>
      </c>
      <c r="F86" s="41"/>
      <c r="G86" s="41"/>
      <c r="H86" s="5"/>
      <c r="I86" s="5"/>
      <c r="J86" s="5"/>
      <c r="K86" s="10" t="s">
        <v>6</v>
      </c>
      <c r="L86" s="6" t="s">
        <v>1</v>
      </c>
    </row>
    <row r="87" spans="1:12">
      <c r="A87" s="7" t="s">
        <v>7</v>
      </c>
      <c r="B87" s="10" t="s">
        <v>3</v>
      </c>
      <c r="C87" s="10" t="s">
        <v>4</v>
      </c>
      <c r="D87" s="10" t="s">
        <v>5</v>
      </c>
      <c r="E87" s="10" t="s">
        <v>3</v>
      </c>
      <c r="F87" s="10" t="s">
        <v>4</v>
      </c>
      <c r="G87" s="10" t="s">
        <v>8</v>
      </c>
      <c r="H87" s="5"/>
      <c r="I87" s="34" t="s">
        <v>15</v>
      </c>
      <c r="J87" s="35"/>
      <c r="K87" s="10">
        <f>AVERAGE(D88:D93)</f>
        <v>0</v>
      </c>
      <c r="L87" s="10">
        <f>STDEV(D88:D93)/SQRT(4)</f>
        <v>0</v>
      </c>
    </row>
    <row r="88" spans="1:12">
      <c r="A88" s="10">
        <v>1</v>
      </c>
      <c r="B88" s="8">
        <v>0</v>
      </c>
      <c r="C88" s="8">
        <v>10</v>
      </c>
      <c r="D88" s="8">
        <f>B88/C88</f>
        <v>0</v>
      </c>
      <c r="E88" s="8">
        <v>3</v>
      </c>
      <c r="F88" s="8">
        <v>10</v>
      </c>
      <c r="G88" s="8">
        <f>E88/F88</f>
        <v>0.3</v>
      </c>
      <c r="H88" s="5"/>
      <c r="I88" s="34" t="s">
        <v>14</v>
      </c>
      <c r="J88" s="35"/>
      <c r="K88" s="10">
        <f>AVERAGE(G88:G93)</f>
        <v>0.57499999999999996</v>
      </c>
      <c r="L88" s="10">
        <f>STDEV(G88:G93)/SQRT(4)</f>
        <v>0.11086778913041732</v>
      </c>
    </row>
    <row r="89" spans="1:12">
      <c r="A89" s="10">
        <v>2</v>
      </c>
      <c r="B89" s="8">
        <v>0</v>
      </c>
      <c r="C89" s="8">
        <v>10</v>
      </c>
      <c r="D89" s="8">
        <f t="shared" ref="D89:D91" si="16">B89/C89</f>
        <v>0</v>
      </c>
      <c r="E89" s="8">
        <v>8</v>
      </c>
      <c r="F89" s="8">
        <v>10</v>
      </c>
      <c r="G89" s="8">
        <f t="shared" ref="G89:G91" si="17">E89/F89</f>
        <v>0.8</v>
      </c>
      <c r="H89" s="5"/>
    </row>
    <row r="90" spans="1:12">
      <c r="A90" s="10">
        <v>3</v>
      </c>
      <c r="B90" s="8">
        <v>0</v>
      </c>
      <c r="C90" s="8">
        <v>10</v>
      </c>
      <c r="D90" s="8">
        <f t="shared" si="16"/>
        <v>0</v>
      </c>
      <c r="E90" s="8">
        <v>5</v>
      </c>
      <c r="F90" s="8">
        <v>10</v>
      </c>
      <c r="G90" s="8">
        <f t="shared" si="17"/>
        <v>0.5</v>
      </c>
      <c r="H90" s="5"/>
      <c r="I90" s="5" t="s">
        <v>30</v>
      </c>
      <c r="J90" s="2">
        <v>0.77941176470588236</v>
      </c>
      <c r="L90" s="2">
        <v>5.5</v>
      </c>
    </row>
    <row r="91" spans="1:12">
      <c r="A91" s="10">
        <v>4</v>
      </c>
      <c r="B91" s="8">
        <v>0</v>
      </c>
      <c r="C91" s="8">
        <v>10</v>
      </c>
      <c r="D91" s="8">
        <f t="shared" si="16"/>
        <v>0</v>
      </c>
      <c r="E91" s="8">
        <v>7</v>
      </c>
      <c r="F91" s="8">
        <v>10</v>
      </c>
      <c r="G91" s="8">
        <f t="shared" si="17"/>
        <v>0.7</v>
      </c>
      <c r="H91" s="5"/>
      <c r="I91" s="5"/>
    </row>
    <row r="92" spans="1:12">
      <c r="A92" s="10">
        <v>5</v>
      </c>
      <c r="B92" s="8"/>
      <c r="C92" s="8"/>
      <c r="D92" s="8"/>
      <c r="E92" s="8"/>
      <c r="F92" s="8"/>
      <c r="G92" s="8"/>
      <c r="H92" s="5"/>
      <c r="I92" s="5"/>
    </row>
    <row r="93" spans="1:12">
      <c r="A93" s="10">
        <v>6</v>
      </c>
      <c r="B93" s="8"/>
      <c r="C93" s="8"/>
      <c r="D93" s="8"/>
      <c r="E93" s="8"/>
      <c r="F93" s="8"/>
      <c r="G93" s="8"/>
      <c r="H93" s="5"/>
      <c r="I93" s="5"/>
    </row>
    <row r="95" spans="1:12" ht="14.4">
      <c r="A95" s="4">
        <v>10</v>
      </c>
      <c r="B95" s="22" t="s">
        <v>42</v>
      </c>
      <c r="C95" s="28" t="s">
        <v>36</v>
      </c>
      <c r="D95" s="5"/>
      <c r="E95" s="5"/>
      <c r="F95" s="5"/>
      <c r="G95" s="5"/>
    </row>
    <row r="96" spans="1:12">
      <c r="A96" s="5"/>
      <c r="B96" s="34" t="s">
        <v>15</v>
      </c>
      <c r="C96" s="40"/>
      <c r="D96" s="35"/>
      <c r="E96" s="41" t="s">
        <v>14</v>
      </c>
      <c r="F96" s="41"/>
      <c r="G96" s="41"/>
      <c r="I96" s="5"/>
      <c r="J96" s="5"/>
      <c r="K96" s="10" t="s">
        <v>6</v>
      </c>
      <c r="L96" s="6" t="s">
        <v>1</v>
      </c>
    </row>
    <row r="97" spans="1:18">
      <c r="A97" s="7" t="s">
        <v>7</v>
      </c>
      <c r="B97" s="10" t="s">
        <v>3</v>
      </c>
      <c r="C97" s="10" t="s">
        <v>4</v>
      </c>
      <c r="D97" s="10" t="s">
        <v>5</v>
      </c>
      <c r="E97" s="10" t="s">
        <v>3</v>
      </c>
      <c r="F97" s="10" t="s">
        <v>4</v>
      </c>
      <c r="G97" s="10" t="s">
        <v>8</v>
      </c>
      <c r="I97" s="34" t="s">
        <v>15</v>
      </c>
      <c r="J97" s="35"/>
      <c r="K97" s="10">
        <f>AVERAGE(D98:D103)</f>
        <v>0</v>
      </c>
      <c r="L97" s="10">
        <f>STDEV(D98:D103)/SQRT(4)</f>
        <v>0</v>
      </c>
    </row>
    <row r="98" spans="1:18">
      <c r="A98" s="10">
        <v>1</v>
      </c>
      <c r="B98" s="8">
        <v>0</v>
      </c>
      <c r="C98" s="8">
        <v>10</v>
      </c>
      <c r="D98" s="8">
        <f>B98/C98</f>
        <v>0</v>
      </c>
      <c r="E98" s="8">
        <v>7</v>
      </c>
      <c r="F98" s="8">
        <v>10</v>
      </c>
      <c r="G98" s="8">
        <f>E98/F98</f>
        <v>0.7</v>
      </c>
      <c r="I98" s="34" t="s">
        <v>14</v>
      </c>
      <c r="J98" s="35"/>
      <c r="K98" s="10">
        <f>AVERAGE(G98:G103)</f>
        <v>0.67499999999999993</v>
      </c>
      <c r="L98" s="10">
        <f>STDEV(G98:G103)/SQRT(4)</f>
        <v>8.5391256382996827E-2</v>
      </c>
    </row>
    <row r="99" spans="1:18">
      <c r="A99" s="10">
        <v>2</v>
      </c>
      <c r="B99" s="8">
        <v>0</v>
      </c>
      <c r="C99" s="8">
        <v>10</v>
      </c>
      <c r="D99" s="8">
        <f t="shared" ref="D99:D101" si="18">B99/C99</f>
        <v>0</v>
      </c>
      <c r="E99" s="8">
        <v>6</v>
      </c>
      <c r="F99" s="8">
        <v>10</v>
      </c>
      <c r="G99" s="8">
        <f t="shared" ref="G99:G101" si="19">E99/F99</f>
        <v>0.6</v>
      </c>
    </row>
    <row r="100" spans="1:18">
      <c r="A100" s="10">
        <v>3</v>
      </c>
      <c r="B100" s="8">
        <v>0</v>
      </c>
      <c r="C100" s="8">
        <v>10</v>
      </c>
      <c r="D100" s="8">
        <f t="shared" si="18"/>
        <v>0</v>
      </c>
      <c r="E100" s="8">
        <v>9</v>
      </c>
      <c r="F100" s="8">
        <v>10</v>
      </c>
      <c r="G100" s="8">
        <f t="shared" si="19"/>
        <v>0.9</v>
      </c>
      <c r="I100" s="2" t="s">
        <v>31</v>
      </c>
      <c r="J100" s="2">
        <v>0.96551724137931039</v>
      </c>
      <c r="L100" s="2">
        <v>7</v>
      </c>
    </row>
    <row r="101" spans="1:18">
      <c r="A101" s="10">
        <v>4</v>
      </c>
      <c r="B101" s="8">
        <v>0</v>
      </c>
      <c r="C101" s="8">
        <v>10</v>
      </c>
      <c r="D101" s="8">
        <f t="shared" si="18"/>
        <v>0</v>
      </c>
      <c r="E101" s="8">
        <v>5</v>
      </c>
      <c r="F101" s="8">
        <v>10</v>
      </c>
      <c r="G101" s="8">
        <f t="shared" si="19"/>
        <v>0.5</v>
      </c>
    </row>
    <row r="102" spans="1:18">
      <c r="A102" s="10">
        <v>5</v>
      </c>
      <c r="B102" s="8"/>
      <c r="C102" s="8"/>
      <c r="D102" s="8"/>
      <c r="E102" s="8"/>
      <c r="F102" s="8"/>
      <c r="G102" s="8"/>
    </row>
    <row r="103" spans="1:18">
      <c r="A103" s="10">
        <v>6</v>
      </c>
      <c r="B103" s="8"/>
      <c r="C103" s="8"/>
      <c r="D103" s="8"/>
      <c r="E103" s="8"/>
      <c r="F103" s="8"/>
      <c r="G103" s="8"/>
    </row>
    <row r="105" spans="1:18" ht="14.4">
      <c r="A105" s="4">
        <v>11</v>
      </c>
      <c r="B105" s="24" t="s">
        <v>43</v>
      </c>
      <c r="C105" s="28" t="s">
        <v>38</v>
      </c>
      <c r="D105" s="5"/>
      <c r="E105" s="5"/>
      <c r="F105" s="5"/>
      <c r="G105" s="5"/>
      <c r="O105" s="12"/>
      <c r="P105" s="12"/>
      <c r="Q105" s="12"/>
      <c r="R105" s="12"/>
    </row>
    <row r="106" spans="1:18">
      <c r="A106" s="5"/>
      <c r="B106" s="34" t="s">
        <v>15</v>
      </c>
      <c r="C106" s="40"/>
      <c r="D106" s="35"/>
      <c r="E106" s="41" t="s">
        <v>14</v>
      </c>
      <c r="F106" s="41"/>
      <c r="G106" s="41"/>
      <c r="I106" s="5"/>
      <c r="J106" s="5"/>
      <c r="K106" s="10" t="s">
        <v>6</v>
      </c>
      <c r="L106" s="6" t="s">
        <v>1</v>
      </c>
    </row>
    <row r="107" spans="1:18">
      <c r="A107" s="7" t="s">
        <v>2</v>
      </c>
      <c r="B107" s="10" t="s">
        <v>3</v>
      </c>
      <c r="C107" s="10" t="s">
        <v>4</v>
      </c>
      <c r="D107" s="10" t="s">
        <v>5</v>
      </c>
      <c r="E107" s="10" t="s">
        <v>3</v>
      </c>
      <c r="F107" s="10" t="s">
        <v>4</v>
      </c>
      <c r="G107" s="10" t="s">
        <v>5</v>
      </c>
      <c r="I107" s="34" t="s">
        <v>15</v>
      </c>
      <c r="J107" s="35"/>
      <c r="K107" s="10">
        <f>AVERAGE(D108:D113)</f>
        <v>0</v>
      </c>
      <c r="L107" s="10">
        <f>STDEV(D108:D113)/SQRT(4)</f>
        <v>0</v>
      </c>
      <c r="O107" s="21"/>
      <c r="P107" s="21"/>
      <c r="Q107" s="21"/>
      <c r="R107" s="21"/>
    </row>
    <row r="108" spans="1:18">
      <c r="A108" s="10">
        <v>1</v>
      </c>
      <c r="B108" s="8">
        <v>0</v>
      </c>
      <c r="C108" s="8">
        <v>10</v>
      </c>
      <c r="D108" s="8">
        <f>B108/C108</f>
        <v>0</v>
      </c>
      <c r="E108" s="8">
        <v>2</v>
      </c>
      <c r="F108" s="8">
        <v>10</v>
      </c>
      <c r="G108" s="8">
        <f>E108/F108</f>
        <v>0.2</v>
      </c>
      <c r="I108" s="34" t="s">
        <v>14</v>
      </c>
      <c r="J108" s="35"/>
      <c r="K108" s="10">
        <f>AVERAGE(G108:G113)</f>
        <v>0.42499999999999993</v>
      </c>
      <c r="L108" s="10">
        <f>STDEV(G108:G113)/SQRT(4)</f>
        <v>0.10307764064044159</v>
      </c>
    </row>
    <row r="109" spans="1:18">
      <c r="A109" s="10">
        <v>2</v>
      </c>
      <c r="B109" s="8">
        <v>0</v>
      </c>
      <c r="C109" s="8">
        <v>10</v>
      </c>
      <c r="D109" s="8">
        <f t="shared" ref="D109:D111" si="20">B109/C109</f>
        <v>0</v>
      </c>
      <c r="E109" s="8">
        <v>7</v>
      </c>
      <c r="F109" s="8">
        <v>10</v>
      </c>
      <c r="G109" s="8">
        <f t="shared" ref="G109:G111" si="21">E109/F109</f>
        <v>0.7</v>
      </c>
    </row>
    <row r="110" spans="1:18">
      <c r="A110" s="10">
        <v>3</v>
      </c>
      <c r="B110" s="8">
        <v>0</v>
      </c>
      <c r="C110" s="8">
        <v>10</v>
      </c>
      <c r="D110" s="8">
        <f t="shared" si="20"/>
        <v>0</v>
      </c>
      <c r="E110" s="8">
        <v>4</v>
      </c>
      <c r="F110" s="8">
        <v>10</v>
      </c>
      <c r="G110" s="8">
        <f t="shared" si="21"/>
        <v>0.4</v>
      </c>
      <c r="I110" s="2" t="s">
        <v>32</v>
      </c>
      <c r="L110" s="2">
        <v>4</v>
      </c>
    </row>
    <row r="111" spans="1:18">
      <c r="A111" s="10">
        <v>4</v>
      </c>
      <c r="B111" s="8">
        <v>0</v>
      </c>
      <c r="C111" s="8">
        <v>10</v>
      </c>
      <c r="D111" s="8">
        <f t="shared" si="20"/>
        <v>0</v>
      </c>
      <c r="E111" s="8">
        <v>4</v>
      </c>
      <c r="F111" s="8">
        <v>10</v>
      </c>
      <c r="G111" s="8">
        <f t="shared" si="21"/>
        <v>0.4</v>
      </c>
    </row>
    <row r="112" spans="1:18">
      <c r="A112" s="10">
        <v>5</v>
      </c>
      <c r="B112" s="8"/>
      <c r="C112" s="8"/>
      <c r="D112" s="8"/>
      <c r="E112" s="8"/>
      <c r="F112" s="8"/>
      <c r="G112" s="8"/>
    </row>
    <row r="113" spans="1:362">
      <c r="A113" s="10">
        <v>6</v>
      </c>
      <c r="B113" s="8"/>
      <c r="C113" s="8"/>
      <c r="D113" s="8"/>
      <c r="E113" s="8"/>
      <c r="F113" s="8"/>
      <c r="G113" s="8"/>
    </row>
    <row r="115" spans="1:362" s="11" customFormat="1" ht="14.4">
      <c r="A115" s="4">
        <v>12</v>
      </c>
      <c r="B115" s="33" t="s">
        <v>44</v>
      </c>
      <c r="C115" s="28" t="s">
        <v>39</v>
      </c>
      <c r="D115" s="5"/>
      <c r="E115" s="5"/>
      <c r="F115" s="5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</row>
    <row r="116" spans="1:362" s="11" customFormat="1">
      <c r="A116" s="5"/>
      <c r="B116" s="34" t="s">
        <v>15</v>
      </c>
      <c r="C116" s="40"/>
      <c r="D116" s="35"/>
      <c r="E116" s="41" t="s">
        <v>14</v>
      </c>
      <c r="F116" s="41"/>
      <c r="G116" s="41"/>
      <c r="H116" s="2"/>
      <c r="I116" s="5"/>
      <c r="J116" s="5"/>
      <c r="K116" s="10" t="s">
        <v>6</v>
      </c>
      <c r="L116" s="6" t="s">
        <v>1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</row>
    <row r="117" spans="1:362" s="11" customFormat="1">
      <c r="A117" s="7" t="s">
        <v>2</v>
      </c>
      <c r="B117" s="10" t="s">
        <v>3</v>
      </c>
      <c r="C117" s="10" t="s">
        <v>4</v>
      </c>
      <c r="D117" s="10" t="s">
        <v>5</v>
      </c>
      <c r="E117" s="10" t="s">
        <v>3</v>
      </c>
      <c r="F117" s="10" t="s">
        <v>4</v>
      </c>
      <c r="G117" s="10" t="s">
        <v>5</v>
      </c>
      <c r="H117" s="2"/>
      <c r="I117" s="34" t="s">
        <v>15</v>
      </c>
      <c r="J117" s="35"/>
      <c r="K117" s="10">
        <f>AVERAGE(D118:D123)</f>
        <v>0</v>
      </c>
      <c r="L117" s="10">
        <f>STDEV(D118:D123)/SQRT(4)</f>
        <v>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</row>
    <row r="118" spans="1:362" s="11" customFormat="1">
      <c r="A118" s="10">
        <v>1</v>
      </c>
      <c r="B118" s="8">
        <v>0</v>
      </c>
      <c r="C118" s="8">
        <v>10</v>
      </c>
      <c r="D118" s="8">
        <f>B118/C118</f>
        <v>0</v>
      </c>
      <c r="E118" s="8">
        <v>2</v>
      </c>
      <c r="F118" s="8">
        <v>10</v>
      </c>
      <c r="G118" s="8">
        <f>E118/F118</f>
        <v>0.2</v>
      </c>
      <c r="H118" s="2"/>
      <c r="I118" s="34" t="s">
        <v>14</v>
      </c>
      <c r="J118" s="35"/>
      <c r="K118" s="10">
        <f>AVERAGE(G118:G123)</f>
        <v>0.375</v>
      </c>
      <c r="L118" s="10">
        <f>STDEV(G118:G123)/SQRT(4)</f>
        <v>8.5391256382996661E-2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</row>
    <row r="119" spans="1:362" s="11" customFormat="1">
      <c r="A119" s="10">
        <v>2</v>
      </c>
      <c r="B119" s="8">
        <v>0</v>
      </c>
      <c r="C119" s="8">
        <v>10</v>
      </c>
      <c r="D119" s="8">
        <f t="shared" ref="D119:D121" si="22">B119/C119</f>
        <v>0</v>
      </c>
      <c r="E119" s="8">
        <v>6</v>
      </c>
      <c r="F119" s="8">
        <v>10</v>
      </c>
      <c r="G119" s="8">
        <f t="shared" ref="G119:G121" si="23">E119/F119</f>
        <v>0.6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</row>
    <row r="120" spans="1:362" s="11" customFormat="1">
      <c r="A120" s="10">
        <v>3</v>
      </c>
      <c r="B120" s="8">
        <v>0</v>
      </c>
      <c r="C120" s="8">
        <v>10</v>
      </c>
      <c r="D120" s="8">
        <f t="shared" si="22"/>
        <v>0</v>
      </c>
      <c r="E120" s="8">
        <v>3</v>
      </c>
      <c r="F120" s="8">
        <v>10</v>
      </c>
      <c r="G120" s="8">
        <f t="shared" si="23"/>
        <v>0.3</v>
      </c>
      <c r="H120" s="2"/>
      <c r="I120" s="2" t="s">
        <v>33</v>
      </c>
      <c r="J120" s="2"/>
      <c r="K120" s="2"/>
      <c r="L120" s="2">
        <v>3.5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</row>
    <row r="121" spans="1:362" s="11" customFormat="1">
      <c r="A121" s="10">
        <v>4</v>
      </c>
      <c r="B121" s="8">
        <v>0</v>
      </c>
      <c r="C121" s="8">
        <v>10</v>
      </c>
      <c r="D121" s="8">
        <f t="shared" si="22"/>
        <v>0</v>
      </c>
      <c r="E121" s="8">
        <v>4</v>
      </c>
      <c r="F121" s="8">
        <v>10</v>
      </c>
      <c r="G121" s="8">
        <f t="shared" si="23"/>
        <v>0.4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</row>
    <row r="122" spans="1:362" s="11" customFormat="1">
      <c r="A122" s="10">
        <v>5</v>
      </c>
      <c r="B122" s="8"/>
      <c r="C122" s="8"/>
      <c r="D122" s="8"/>
      <c r="E122" s="8"/>
      <c r="F122" s="8"/>
      <c r="G122" s="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</row>
    <row r="123" spans="1:362" s="11" customFormat="1">
      <c r="A123" s="10">
        <v>6</v>
      </c>
      <c r="B123" s="8"/>
      <c r="C123" s="8"/>
      <c r="D123" s="8"/>
      <c r="E123" s="8"/>
      <c r="F123" s="8"/>
      <c r="G123" s="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</row>
    <row r="124" spans="1:362" s="11" customForma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</row>
    <row r="125" spans="1:362" s="11" customFormat="1" ht="14.4">
      <c r="A125" s="4">
        <v>13</v>
      </c>
      <c r="B125" s="24" t="s">
        <v>34</v>
      </c>
      <c r="C125" s="25"/>
      <c r="D125" s="5"/>
      <c r="E125" s="5"/>
      <c r="F125" s="5"/>
      <c r="G125" s="5"/>
      <c r="H125" s="5"/>
      <c r="I125" s="5"/>
      <c r="J125" s="5"/>
      <c r="K125" s="5"/>
      <c r="L125" s="5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</row>
    <row r="126" spans="1:362" s="11" customFormat="1">
      <c r="A126" s="5"/>
      <c r="B126" s="34" t="s">
        <v>15</v>
      </c>
      <c r="C126" s="40"/>
      <c r="D126" s="35"/>
      <c r="E126" s="41" t="s">
        <v>14</v>
      </c>
      <c r="F126" s="41"/>
      <c r="G126" s="41"/>
      <c r="H126" s="5"/>
      <c r="I126" s="5"/>
      <c r="J126" s="5"/>
      <c r="K126" s="10" t="s">
        <v>0</v>
      </c>
      <c r="L126" s="6" t="s"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</row>
    <row r="127" spans="1:362" s="11" customFormat="1">
      <c r="A127" s="7" t="s">
        <v>2</v>
      </c>
      <c r="B127" s="10" t="s">
        <v>3</v>
      </c>
      <c r="C127" s="10" t="s">
        <v>4</v>
      </c>
      <c r="D127" s="10" t="s">
        <v>5</v>
      </c>
      <c r="E127" s="10" t="s">
        <v>3</v>
      </c>
      <c r="F127" s="10" t="s">
        <v>4</v>
      </c>
      <c r="G127" s="10" t="s">
        <v>5</v>
      </c>
      <c r="H127" s="5"/>
      <c r="I127" s="34" t="s">
        <v>15</v>
      </c>
      <c r="J127" s="35"/>
      <c r="K127" s="10">
        <f>AVERAGE(D128:D133)</f>
        <v>0</v>
      </c>
      <c r="L127" s="10">
        <f>STDEV(D128:D133)/SQRT(4)</f>
        <v>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</row>
    <row r="128" spans="1:362" s="11" customFormat="1">
      <c r="A128" s="10">
        <v>1</v>
      </c>
      <c r="B128" s="8">
        <v>0</v>
      </c>
      <c r="C128" s="8">
        <v>10</v>
      </c>
      <c r="D128" s="8">
        <f>B128/C128</f>
        <v>0</v>
      </c>
      <c r="E128" s="8">
        <v>0</v>
      </c>
      <c r="F128" s="8">
        <v>10</v>
      </c>
      <c r="G128" s="8">
        <f>E128/F128</f>
        <v>0</v>
      </c>
      <c r="H128" s="5"/>
      <c r="I128" s="34" t="s">
        <v>14</v>
      </c>
      <c r="J128" s="35"/>
      <c r="K128" s="10">
        <f>AVERAGE(G128:G133)</f>
        <v>0</v>
      </c>
      <c r="L128" s="10">
        <f>STDEV(G128:G133)/SQRT(4)</f>
        <v>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</row>
    <row r="129" spans="1:362" s="11" customFormat="1">
      <c r="A129" s="10">
        <v>2</v>
      </c>
      <c r="B129" s="8">
        <v>0</v>
      </c>
      <c r="C129" s="8">
        <v>10</v>
      </c>
      <c r="D129" s="8">
        <f t="shared" ref="D129:D131" si="24">B129/C129</f>
        <v>0</v>
      </c>
      <c r="E129" s="8">
        <v>0</v>
      </c>
      <c r="F129" s="8">
        <v>10</v>
      </c>
      <c r="G129" s="8">
        <f t="shared" ref="G129:G131" si="25">E129/F129</f>
        <v>0</v>
      </c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</row>
    <row r="130" spans="1:362">
      <c r="A130" s="10">
        <v>3</v>
      </c>
      <c r="B130" s="10"/>
      <c r="C130" s="8">
        <v>10</v>
      </c>
      <c r="D130" s="8">
        <f t="shared" si="24"/>
        <v>0</v>
      </c>
      <c r="E130" s="8"/>
      <c r="F130" s="8">
        <v>10</v>
      </c>
      <c r="G130" s="8">
        <f t="shared" si="25"/>
        <v>0</v>
      </c>
      <c r="H130" s="5"/>
      <c r="I130" s="5"/>
    </row>
    <row r="131" spans="1:362">
      <c r="A131" s="10">
        <v>4</v>
      </c>
      <c r="B131" s="10"/>
      <c r="C131" s="8">
        <v>10</v>
      </c>
      <c r="D131" s="8">
        <f t="shared" si="24"/>
        <v>0</v>
      </c>
      <c r="E131" s="8"/>
      <c r="F131" s="8">
        <v>10</v>
      </c>
      <c r="G131" s="8">
        <f t="shared" si="25"/>
        <v>0</v>
      </c>
      <c r="H131" s="5"/>
      <c r="I131" s="5"/>
    </row>
    <row r="132" spans="1:362">
      <c r="A132" s="10">
        <v>5</v>
      </c>
      <c r="B132" s="8"/>
      <c r="C132" s="8"/>
      <c r="D132" s="8"/>
      <c r="E132" s="8"/>
      <c r="F132" s="8"/>
      <c r="G132" s="8"/>
      <c r="H132" s="5"/>
      <c r="I132" s="5"/>
    </row>
    <row r="133" spans="1:362">
      <c r="A133" s="10">
        <v>6</v>
      </c>
      <c r="B133" s="8"/>
      <c r="C133" s="8"/>
      <c r="D133" s="8"/>
      <c r="E133" s="8"/>
      <c r="F133" s="8"/>
      <c r="G133" s="8"/>
      <c r="H133" s="5"/>
      <c r="I133" s="5"/>
    </row>
    <row r="134" spans="1:36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362" ht="14.4">
      <c r="A135" s="4">
        <v>14</v>
      </c>
      <c r="B135" s="29" t="s">
        <v>34</v>
      </c>
      <c r="C135" s="26"/>
      <c r="D135" s="5"/>
      <c r="E135" s="29"/>
      <c r="F135" s="30"/>
      <c r="G135" s="5"/>
      <c r="H135" s="5"/>
      <c r="I135" s="5"/>
      <c r="J135" s="5"/>
      <c r="K135" s="5"/>
      <c r="L135" s="5"/>
    </row>
    <row r="136" spans="1:362">
      <c r="A136" s="5"/>
      <c r="B136" s="34" t="s">
        <v>15</v>
      </c>
      <c r="C136" s="40"/>
      <c r="D136" s="35"/>
      <c r="E136" s="41" t="s">
        <v>14</v>
      </c>
      <c r="F136" s="41"/>
      <c r="G136" s="41"/>
      <c r="H136" s="5"/>
      <c r="I136" s="5"/>
      <c r="J136" s="5"/>
      <c r="K136" s="10" t="s">
        <v>6</v>
      </c>
      <c r="L136" s="6" t="s">
        <v>1</v>
      </c>
    </row>
    <row r="137" spans="1:362">
      <c r="A137" s="7" t="s">
        <v>7</v>
      </c>
      <c r="B137" s="10" t="s">
        <v>3</v>
      </c>
      <c r="C137" s="10" t="s">
        <v>4</v>
      </c>
      <c r="D137" s="10" t="s">
        <v>5</v>
      </c>
      <c r="E137" s="10" t="s">
        <v>3</v>
      </c>
      <c r="F137" s="10" t="s">
        <v>4</v>
      </c>
      <c r="G137" s="10" t="s">
        <v>8</v>
      </c>
      <c r="H137" s="5"/>
      <c r="I137" s="34" t="s">
        <v>15</v>
      </c>
      <c r="J137" s="35"/>
      <c r="K137" s="10">
        <f>AVERAGE(D138:D143)</f>
        <v>0</v>
      </c>
      <c r="L137" s="10">
        <f>STDEV(D138:D143)/SQRT(4)</f>
        <v>0</v>
      </c>
    </row>
    <row r="138" spans="1:362">
      <c r="A138" s="10">
        <v>1</v>
      </c>
      <c r="B138" s="8">
        <v>0</v>
      </c>
      <c r="C138" s="8">
        <v>10</v>
      </c>
      <c r="D138" s="8">
        <f>B138/C138</f>
        <v>0</v>
      </c>
      <c r="E138" s="8">
        <v>0</v>
      </c>
      <c r="F138" s="8">
        <v>10</v>
      </c>
      <c r="G138" s="8">
        <f>E138/F138</f>
        <v>0</v>
      </c>
      <c r="H138" s="5"/>
      <c r="I138" s="34" t="s">
        <v>14</v>
      </c>
      <c r="J138" s="35"/>
      <c r="K138" s="10">
        <f>AVERAGE(G138:G143)</f>
        <v>0</v>
      </c>
      <c r="L138" s="10">
        <f>STDEV(G138:G143)/SQRT(4)</f>
        <v>0</v>
      </c>
    </row>
    <row r="139" spans="1:362">
      <c r="A139" s="10">
        <v>2</v>
      </c>
      <c r="B139" s="8">
        <v>0</v>
      </c>
      <c r="C139" s="8">
        <v>10</v>
      </c>
      <c r="D139" s="8">
        <f t="shared" ref="D139:D141" si="26">B139/C139</f>
        <v>0</v>
      </c>
      <c r="E139" s="8">
        <v>0</v>
      </c>
      <c r="F139" s="8">
        <v>10</v>
      </c>
      <c r="G139" s="8">
        <f t="shared" ref="G139:G141" si="27">E139/F139</f>
        <v>0</v>
      </c>
      <c r="H139" s="5"/>
    </row>
    <row r="140" spans="1:362">
      <c r="A140" s="10">
        <v>3</v>
      </c>
      <c r="B140" s="10"/>
      <c r="C140" s="8">
        <v>10</v>
      </c>
      <c r="D140" s="8">
        <f t="shared" si="26"/>
        <v>0</v>
      </c>
      <c r="E140" s="8"/>
      <c r="F140" s="8">
        <v>10</v>
      </c>
      <c r="G140" s="8">
        <f t="shared" si="27"/>
        <v>0</v>
      </c>
      <c r="H140" s="5"/>
      <c r="I140" s="5"/>
    </row>
    <row r="141" spans="1:362">
      <c r="A141" s="10">
        <v>4</v>
      </c>
      <c r="B141" s="10"/>
      <c r="C141" s="8">
        <v>10</v>
      </c>
      <c r="D141" s="8">
        <f t="shared" si="26"/>
        <v>0</v>
      </c>
      <c r="E141" s="8"/>
      <c r="F141" s="8">
        <v>10</v>
      </c>
      <c r="G141" s="8">
        <f t="shared" si="27"/>
        <v>0</v>
      </c>
      <c r="H141" s="5"/>
      <c r="I141" s="5"/>
    </row>
    <row r="142" spans="1:362">
      <c r="A142" s="10">
        <v>5</v>
      </c>
      <c r="B142" s="8"/>
      <c r="C142" s="8"/>
      <c r="D142" s="8"/>
      <c r="E142" s="8"/>
      <c r="F142" s="8"/>
      <c r="G142" s="8"/>
      <c r="H142" s="5"/>
      <c r="I142" s="5"/>
      <c r="J142" s="5"/>
      <c r="K142" s="5"/>
      <c r="L142" s="5"/>
    </row>
    <row r="143" spans="1:362">
      <c r="A143" s="10">
        <v>6</v>
      </c>
      <c r="B143" s="8"/>
      <c r="C143" s="8"/>
      <c r="D143" s="8"/>
      <c r="E143" s="8"/>
      <c r="F143" s="8"/>
      <c r="G143" s="8"/>
      <c r="H143" s="5"/>
      <c r="I143" s="5"/>
      <c r="J143" s="5"/>
      <c r="K143" s="5"/>
      <c r="L143" s="5"/>
    </row>
    <row r="145" spans="1:12" ht="14.4">
      <c r="A145" s="4">
        <v>15</v>
      </c>
      <c r="B145" s="24" t="s">
        <v>34</v>
      </c>
      <c r="C145" s="25"/>
      <c r="D145" s="5"/>
      <c r="E145" s="5"/>
      <c r="F145" s="5"/>
      <c r="G145" s="5"/>
    </row>
    <row r="146" spans="1:12">
      <c r="A146" s="5"/>
      <c r="B146" s="34" t="s">
        <v>15</v>
      </c>
      <c r="C146" s="40"/>
      <c r="D146" s="35"/>
      <c r="E146" s="41" t="s">
        <v>14</v>
      </c>
      <c r="F146" s="41"/>
      <c r="G146" s="41"/>
      <c r="I146" s="5"/>
      <c r="J146" s="5"/>
      <c r="K146" s="10" t="s">
        <v>6</v>
      </c>
      <c r="L146" s="6" t="s">
        <v>1</v>
      </c>
    </row>
    <row r="147" spans="1:12">
      <c r="A147" s="7" t="s">
        <v>7</v>
      </c>
      <c r="B147" s="10" t="s">
        <v>3</v>
      </c>
      <c r="C147" s="10" t="s">
        <v>4</v>
      </c>
      <c r="D147" s="10" t="s">
        <v>5</v>
      </c>
      <c r="E147" s="10" t="s">
        <v>3</v>
      </c>
      <c r="F147" s="10" t="s">
        <v>4</v>
      </c>
      <c r="G147" s="10" t="s">
        <v>8</v>
      </c>
      <c r="I147" s="34" t="s">
        <v>15</v>
      </c>
      <c r="J147" s="35"/>
      <c r="K147" s="10">
        <f>AVERAGE(D148:D153)</f>
        <v>0</v>
      </c>
      <c r="L147" s="10">
        <f>STDEV(D148:D153)/SQRT(3)</f>
        <v>0</v>
      </c>
    </row>
    <row r="148" spans="1:12">
      <c r="A148" s="10">
        <v>1</v>
      </c>
      <c r="B148" s="8">
        <v>0</v>
      </c>
      <c r="C148" s="8">
        <v>10</v>
      </c>
      <c r="D148" s="8">
        <f>B148/C148</f>
        <v>0</v>
      </c>
      <c r="E148" s="8">
        <v>0</v>
      </c>
      <c r="F148" s="8">
        <v>10</v>
      </c>
      <c r="G148" s="8">
        <f>E148/F148</f>
        <v>0</v>
      </c>
      <c r="I148" s="34" t="s">
        <v>14</v>
      </c>
      <c r="J148" s="35"/>
      <c r="K148" s="10">
        <f>AVERAGE(G148:G153)</f>
        <v>0</v>
      </c>
      <c r="L148" s="10">
        <f>STDEV(G148:G153)/SQRT(3)</f>
        <v>0</v>
      </c>
    </row>
    <row r="149" spans="1:12">
      <c r="A149" s="10">
        <v>2</v>
      </c>
      <c r="B149" s="8">
        <v>0</v>
      </c>
      <c r="C149" s="8">
        <v>10</v>
      </c>
      <c r="D149" s="8">
        <f t="shared" ref="D149:D151" si="28">B149/C149</f>
        <v>0</v>
      </c>
      <c r="E149" s="8">
        <v>0</v>
      </c>
      <c r="F149" s="8">
        <v>10</v>
      </c>
      <c r="G149" s="8">
        <f t="shared" ref="G149:G151" si="29">E149/F149</f>
        <v>0</v>
      </c>
    </row>
    <row r="150" spans="1:12">
      <c r="A150" s="10">
        <v>3</v>
      </c>
      <c r="B150" s="10"/>
      <c r="C150" s="8">
        <v>10</v>
      </c>
      <c r="D150" s="8">
        <f t="shared" si="28"/>
        <v>0</v>
      </c>
      <c r="E150" s="8"/>
      <c r="F150" s="8">
        <v>10</v>
      </c>
      <c r="G150" s="8">
        <f t="shared" si="29"/>
        <v>0</v>
      </c>
    </row>
    <row r="151" spans="1:12">
      <c r="A151" s="10">
        <v>4</v>
      </c>
      <c r="B151" s="10"/>
      <c r="C151" s="8">
        <v>10</v>
      </c>
      <c r="D151" s="8">
        <f t="shared" si="28"/>
        <v>0</v>
      </c>
      <c r="E151" s="8"/>
      <c r="F151" s="8">
        <v>10</v>
      </c>
      <c r="G151" s="8">
        <f t="shared" si="29"/>
        <v>0</v>
      </c>
    </row>
    <row r="152" spans="1:12">
      <c r="A152" s="10">
        <v>5</v>
      </c>
      <c r="B152" s="8"/>
      <c r="C152" s="8"/>
      <c r="D152" s="8"/>
      <c r="E152" s="8"/>
      <c r="F152" s="8"/>
      <c r="G152" s="8"/>
    </row>
    <row r="153" spans="1:12">
      <c r="A153" s="10">
        <v>6</v>
      </c>
      <c r="B153" s="8"/>
      <c r="C153" s="8"/>
      <c r="D153" s="8"/>
      <c r="E153" s="8"/>
      <c r="F153" s="8"/>
      <c r="G153" s="8"/>
    </row>
    <row r="155" spans="1:12" ht="14.4">
      <c r="A155" s="4">
        <v>16</v>
      </c>
      <c r="B155" s="24" t="s">
        <v>34</v>
      </c>
      <c r="C155" s="28"/>
      <c r="D155" s="5"/>
      <c r="E155" s="5"/>
      <c r="F155" s="5"/>
      <c r="G155" s="5"/>
    </row>
    <row r="156" spans="1:12">
      <c r="A156" s="5"/>
      <c r="B156" s="34" t="s">
        <v>15</v>
      </c>
      <c r="C156" s="40"/>
      <c r="D156" s="35"/>
      <c r="E156" s="41" t="s">
        <v>14</v>
      </c>
      <c r="F156" s="41"/>
      <c r="G156" s="41"/>
      <c r="I156" s="5"/>
      <c r="J156" s="5"/>
      <c r="K156" s="10" t="s">
        <v>6</v>
      </c>
      <c r="L156" s="6" t="s">
        <v>1</v>
      </c>
    </row>
    <row r="157" spans="1:12">
      <c r="A157" s="7" t="s">
        <v>2</v>
      </c>
      <c r="B157" s="10" t="s">
        <v>3</v>
      </c>
      <c r="C157" s="10" t="s">
        <v>4</v>
      </c>
      <c r="D157" s="10" t="s">
        <v>5</v>
      </c>
      <c r="E157" s="10" t="s">
        <v>3</v>
      </c>
      <c r="F157" s="10" t="s">
        <v>4</v>
      </c>
      <c r="G157" s="10" t="s">
        <v>5</v>
      </c>
      <c r="I157" s="34" t="s">
        <v>15</v>
      </c>
      <c r="J157" s="35"/>
      <c r="K157" s="10">
        <f>AVERAGE(D158:D163)</f>
        <v>0</v>
      </c>
      <c r="L157" s="10">
        <f>STDEV(D158:D163)/SQRT(3)</f>
        <v>0</v>
      </c>
    </row>
    <row r="158" spans="1:12">
      <c r="A158" s="10">
        <v>1</v>
      </c>
      <c r="B158" s="8">
        <v>0</v>
      </c>
      <c r="C158" s="8">
        <v>10</v>
      </c>
      <c r="D158" s="8">
        <f>B158/C158</f>
        <v>0</v>
      </c>
      <c r="E158" s="8">
        <v>0</v>
      </c>
      <c r="F158" s="8">
        <v>10</v>
      </c>
      <c r="G158" s="8">
        <f>E158/F158</f>
        <v>0</v>
      </c>
      <c r="I158" s="34" t="s">
        <v>14</v>
      </c>
      <c r="J158" s="35"/>
      <c r="K158" s="10">
        <f>AVERAGE(G158:G163)</f>
        <v>0</v>
      </c>
      <c r="L158" s="10">
        <f>STDEV(G158:G163)/SQRT(3)</f>
        <v>0</v>
      </c>
    </row>
    <row r="159" spans="1:12">
      <c r="A159" s="10">
        <v>2</v>
      </c>
      <c r="B159" s="8">
        <v>0</v>
      </c>
      <c r="C159" s="8">
        <v>10</v>
      </c>
      <c r="D159" s="8">
        <f t="shared" ref="D159:D161" si="30">B159/C159</f>
        <v>0</v>
      </c>
      <c r="E159" s="8">
        <v>0</v>
      </c>
      <c r="F159" s="8">
        <v>10</v>
      </c>
      <c r="G159" s="8">
        <f t="shared" ref="G159:G161" si="31">E159/F159</f>
        <v>0</v>
      </c>
    </row>
    <row r="160" spans="1:12">
      <c r="A160" s="10">
        <v>3</v>
      </c>
      <c r="B160" s="10"/>
      <c r="C160" s="8">
        <v>10</v>
      </c>
      <c r="D160" s="8">
        <f t="shared" si="30"/>
        <v>0</v>
      </c>
      <c r="E160" s="8"/>
      <c r="F160" s="8">
        <v>10</v>
      </c>
      <c r="G160" s="8">
        <f t="shared" si="31"/>
        <v>0</v>
      </c>
    </row>
    <row r="161" spans="1:12">
      <c r="A161" s="10">
        <v>4</v>
      </c>
      <c r="B161" s="10"/>
      <c r="C161" s="8">
        <v>10</v>
      </c>
      <c r="D161" s="8">
        <f t="shared" si="30"/>
        <v>0</v>
      </c>
      <c r="E161" s="8"/>
      <c r="F161" s="8">
        <v>10</v>
      </c>
      <c r="G161" s="8">
        <f t="shared" si="31"/>
        <v>0</v>
      </c>
    </row>
    <row r="162" spans="1:12">
      <c r="A162" s="10">
        <v>5</v>
      </c>
      <c r="B162" s="8"/>
      <c r="C162" s="8"/>
      <c r="D162" s="8"/>
      <c r="E162" s="8"/>
      <c r="F162" s="8"/>
      <c r="G162" s="8"/>
    </row>
    <row r="163" spans="1:12">
      <c r="A163" s="10">
        <v>6</v>
      </c>
      <c r="B163" s="8"/>
      <c r="C163" s="8"/>
      <c r="D163" s="8"/>
      <c r="E163" s="8"/>
      <c r="F163" s="8"/>
      <c r="G163" s="8"/>
    </row>
    <row r="165" spans="1:12" ht="14.4">
      <c r="A165" s="4">
        <v>17</v>
      </c>
      <c r="B165" s="24" t="s">
        <v>34</v>
      </c>
      <c r="C165" s="27"/>
      <c r="D165" s="5"/>
      <c r="E165" s="5"/>
      <c r="F165" s="5"/>
      <c r="G165" s="5"/>
    </row>
    <row r="166" spans="1:12">
      <c r="A166" s="5"/>
      <c r="B166" s="34" t="s">
        <v>15</v>
      </c>
      <c r="C166" s="40"/>
      <c r="D166" s="35"/>
      <c r="E166" s="41" t="s">
        <v>14</v>
      </c>
      <c r="F166" s="41"/>
      <c r="G166" s="41"/>
      <c r="I166" s="5"/>
      <c r="J166" s="5"/>
      <c r="K166" s="10" t="s">
        <v>6</v>
      </c>
      <c r="L166" s="6" t="s">
        <v>1</v>
      </c>
    </row>
    <row r="167" spans="1:12">
      <c r="A167" s="7" t="s">
        <v>2</v>
      </c>
      <c r="B167" s="10" t="s">
        <v>3</v>
      </c>
      <c r="C167" s="10" t="s">
        <v>4</v>
      </c>
      <c r="D167" s="10" t="s">
        <v>5</v>
      </c>
      <c r="E167" s="10" t="s">
        <v>3</v>
      </c>
      <c r="F167" s="10" t="s">
        <v>4</v>
      </c>
      <c r="G167" s="10" t="s">
        <v>5</v>
      </c>
      <c r="I167" s="34"/>
      <c r="J167" s="35"/>
      <c r="K167" s="10">
        <f>AVERAGE(D168:D173)</f>
        <v>0</v>
      </c>
      <c r="L167" s="10">
        <f>STDEV(D168:D173)/SQRT(3)</f>
        <v>0</v>
      </c>
    </row>
    <row r="168" spans="1:12">
      <c r="A168" s="10">
        <v>1</v>
      </c>
      <c r="B168" s="8">
        <v>0</v>
      </c>
      <c r="C168" s="8">
        <v>10</v>
      </c>
      <c r="D168" s="8">
        <f>B168/C168</f>
        <v>0</v>
      </c>
      <c r="E168" s="8">
        <v>0</v>
      </c>
      <c r="F168" s="8">
        <v>10</v>
      </c>
      <c r="G168" s="8">
        <f>E168/F168</f>
        <v>0</v>
      </c>
      <c r="I168" s="34"/>
      <c r="J168" s="35"/>
      <c r="K168" s="10">
        <f>AVERAGE(G168:G173)</f>
        <v>0</v>
      </c>
      <c r="L168" s="10">
        <f>STDEV(G168:G173)/SQRT(3)</f>
        <v>0</v>
      </c>
    </row>
    <row r="169" spans="1:12">
      <c r="A169" s="10">
        <v>2</v>
      </c>
      <c r="B169" s="8">
        <v>0</v>
      </c>
      <c r="C169" s="8">
        <v>10</v>
      </c>
      <c r="D169" s="8">
        <f t="shared" ref="D169:D171" si="32">B169/C169</f>
        <v>0</v>
      </c>
      <c r="E169" s="8">
        <v>0</v>
      </c>
      <c r="F169" s="8">
        <v>10</v>
      </c>
      <c r="G169" s="8">
        <f t="shared" ref="G169:G171" si="33">E169/F169</f>
        <v>0</v>
      </c>
    </row>
    <row r="170" spans="1:12">
      <c r="A170" s="10">
        <v>3</v>
      </c>
      <c r="B170" s="10"/>
      <c r="C170" s="8">
        <v>10</v>
      </c>
      <c r="D170" s="8">
        <f t="shared" si="32"/>
        <v>0</v>
      </c>
      <c r="E170" s="8"/>
      <c r="F170" s="8">
        <v>10</v>
      </c>
      <c r="G170" s="8">
        <f t="shared" si="33"/>
        <v>0</v>
      </c>
    </row>
    <row r="171" spans="1:12">
      <c r="A171" s="10">
        <v>4</v>
      </c>
      <c r="B171" s="10"/>
      <c r="C171" s="8">
        <v>10</v>
      </c>
      <c r="D171" s="8">
        <f t="shared" si="32"/>
        <v>0</v>
      </c>
      <c r="E171" s="8"/>
      <c r="F171" s="8">
        <v>10</v>
      </c>
      <c r="G171" s="8">
        <f t="shared" si="33"/>
        <v>0</v>
      </c>
    </row>
    <row r="172" spans="1:12">
      <c r="A172" s="10">
        <v>5</v>
      </c>
      <c r="B172" s="8"/>
      <c r="C172" s="8"/>
      <c r="D172" s="8"/>
      <c r="E172" s="8"/>
      <c r="F172" s="8"/>
      <c r="G172" s="8"/>
    </row>
    <row r="173" spans="1:12">
      <c r="A173" s="10">
        <v>6</v>
      </c>
      <c r="B173" s="8"/>
      <c r="C173" s="8"/>
      <c r="D173" s="8"/>
      <c r="E173" s="8"/>
      <c r="F173" s="8"/>
      <c r="G173" s="8"/>
    </row>
    <row r="175" spans="1:12" ht="14.4">
      <c r="A175" s="4">
        <v>18</v>
      </c>
      <c r="B175" s="24" t="s">
        <v>34</v>
      </c>
      <c r="C175" s="28"/>
      <c r="D175" s="5"/>
      <c r="E175" s="5"/>
      <c r="F175" s="5"/>
      <c r="G175" s="5"/>
      <c r="H175" s="5"/>
      <c r="I175" s="5"/>
      <c r="J175" s="5"/>
      <c r="K175" s="5"/>
      <c r="L175" s="5"/>
    </row>
    <row r="176" spans="1:12">
      <c r="A176" s="5"/>
      <c r="B176" s="34" t="s">
        <v>15</v>
      </c>
      <c r="C176" s="40"/>
      <c r="D176" s="35"/>
      <c r="E176" s="41" t="s">
        <v>14</v>
      </c>
      <c r="F176" s="41"/>
      <c r="G176" s="41"/>
      <c r="H176" s="5"/>
      <c r="I176" s="5"/>
      <c r="J176" s="5"/>
      <c r="K176" s="10" t="s">
        <v>0</v>
      </c>
      <c r="L176" s="6" t="s">
        <v>1</v>
      </c>
    </row>
    <row r="177" spans="1:12">
      <c r="A177" s="7" t="s">
        <v>2</v>
      </c>
      <c r="B177" s="10" t="s">
        <v>3</v>
      </c>
      <c r="C177" s="10" t="s">
        <v>4</v>
      </c>
      <c r="D177" s="10" t="s">
        <v>5</v>
      </c>
      <c r="E177" s="10" t="s">
        <v>3</v>
      </c>
      <c r="F177" s="10" t="s">
        <v>4</v>
      </c>
      <c r="G177" s="10" t="s">
        <v>5</v>
      </c>
      <c r="H177" s="5"/>
      <c r="I177" s="42"/>
      <c r="J177" s="43"/>
      <c r="K177" s="10">
        <f>AVERAGE(D178:D183)</f>
        <v>0</v>
      </c>
      <c r="L177" s="10">
        <f>STDEV(D178:D183)/SQRT(7)</f>
        <v>0</v>
      </c>
    </row>
    <row r="178" spans="1:12">
      <c r="A178" s="10">
        <v>1</v>
      </c>
      <c r="B178" s="8">
        <v>0</v>
      </c>
      <c r="C178" s="8">
        <v>10</v>
      </c>
      <c r="D178" s="8">
        <f>B178/C178</f>
        <v>0</v>
      </c>
      <c r="E178" s="8">
        <v>0</v>
      </c>
      <c r="F178" s="8">
        <v>10</v>
      </c>
      <c r="G178" s="8">
        <f>E178/F178</f>
        <v>0</v>
      </c>
      <c r="H178" s="5"/>
      <c r="I178" s="34"/>
      <c r="J178" s="35"/>
      <c r="K178" s="10">
        <f>AVERAGE(G178:G183)</f>
        <v>0</v>
      </c>
      <c r="L178" s="10">
        <f>STDEV(G178:G183)/SQRT(7)</f>
        <v>0</v>
      </c>
    </row>
    <row r="179" spans="1:12">
      <c r="A179" s="10">
        <v>2</v>
      </c>
      <c r="B179" s="8">
        <v>0</v>
      </c>
      <c r="C179" s="8">
        <v>10</v>
      </c>
      <c r="D179" s="8">
        <f t="shared" ref="D179:D181" si="34">B179/C179</f>
        <v>0</v>
      </c>
      <c r="E179" s="8">
        <v>0</v>
      </c>
      <c r="F179" s="8">
        <v>10</v>
      </c>
      <c r="G179" s="8">
        <f t="shared" ref="G179:G181" si="35">E179/F179</f>
        <v>0</v>
      </c>
      <c r="H179" s="5"/>
    </row>
    <row r="180" spans="1:12">
      <c r="A180" s="10">
        <v>3</v>
      </c>
      <c r="B180" s="10"/>
      <c r="C180" s="8">
        <v>10</v>
      </c>
      <c r="D180" s="8">
        <f t="shared" si="34"/>
        <v>0</v>
      </c>
      <c r="E180" s="8"/>
      <c r="F180" s="8">
        <v>10</v>
      </c>
      <c r="G180" s="8">
        <f t="shared" si="35"/>
        <v>0</v>
      </c>
      <c r="H180" s="5"/>
      <c r="I180" s="5"/>
      <c r="J180" s="5"/>
      <c r="K180" s="5"/>
      <c r="L180" s="5"/>
    </row>
    <row r="181" spans="1:12">
      <c r="A181" s="10">
        <v>4</v>
      </c>
      <c r="B181" s="10"/>
      <c r="C181" s="8">
        <v>10</v>
      </c>
      <c r="D181" s="8">
        <f t="shared" si="34"/>
        <v>0</v>
      </c>
      <c r="E181" s="8"/>
      <c r="F181" s="8">
        <v>10</v>
      </c>
      <c r="G181" s="8">
        <f t="shared" si="35"/>
        <v>0</v>
      </c>
      <c r="H181" s="5"/>
      <c r="I181" s="5"/>
      <c r="J181" s="5"/>
      <c r="K181" s="5"/>
      <c r="L181" s="5"/>
    </row>
    <row r="182" spans="1:12">
      <c r="A182" s="10">
        <v>5</v>
      </c>
      <c r="B182" s="8"/>
      <c r="C182" s="8"/>
      <c r="D182" s="8"/>
      <c r="E182" s="8"/>
      <c r="F182" s="8"/>
      <c r="G182" s="8"/>
      <c r="H182" s="5"/>
      <c r="I182" s="5"/>
      <c r="J182" s="5"/>
      <c r="K182" s="5"/>
      <c r="L182" s="5"/>
    </row>
    <row r="183" spans="1:12">
      <c r="A183" s="10">
        <v>6</v>
      </c>
      <c r="B183" s="8"/>
      <c r="C183" s="8"/>
      <c r="D183" s="8"/>
      <c r="E183" s="8"/>
      <c r="F183" s="8"/>
      <c r="G183" s="8"/>
      <c r="H183" s="5"/>
      <c r="I183" s="5"/>
      <c r="J183" s="5"/>
      <c r="K183" s="5"/>
      <c r="L183" s="5"/>
    </row>
    <row r="184" spans="1:1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4.4">
      <c r="A185" s="4">
        <v>19</v>
      </c>
      <c r="B185" s="22" t="s">
        <v>34</v>
      </c>
      <c r="C185" s="28"/>
      <c r="D185" s="5"/>
      <c r="E185" s="5"/>
      <c r="F185" s="5"/>
      <c r="G185" s="5"/>
      <c r="H185" s="5"/>
      <c r="I185" s="5"/>
      <c r="J185" s="5"/>
      <c r="K185" s="5"/>
      <c r="L185" s="5"/>
    </row>
    <row r="186" spans="1:12">
      <c r="A186" s="5"/>
      <c r="B186" s="34" t="s">
        <v>15</v>
      </c>
      <c r="C186" s="40"/>
      <c r="D186" s="35"/>
      <c r="E186" s="41" t="s">
        <v>14</v>
      </c>
      <c r="F186" s="41"/>
      <c r="G186" s="41"/>
      <c r="H186" s="5"/>
      <c r="I186" s="5"/>
      <c r="J186" s="5"/>
      <c r="K186" s="10" t="s">
        <v>6</v>
      </c>
      <c r="L186" s="6" t="s">
        <v>1</v>
      </c>
    </row>
    <row r="187" spans="1:12">
      <c r="A187" s="7" t="s">
        <v>7</v>
      </c>
      <c r="B187" s="10" t="s">
        <v>3</v>
      </c>
      <c r="C187" s="10" t="s">
        <v>4</v>
      </c>
      <c r="D187" s="10" t="s">
        <v>5</v>
      </c>
      <c r="E187" s="10" t="s">
        <v>3</v>
      </c>
      <c r="F187" s="10" t="s">
        <v>4</v>
      </c>
      <c r="G187" s="10" t="s">
        <v>8</v>
      </c>
      <c r="H187" s="5"/>
      <c r="I187" s="34"/>
      <c r="J187" s="35"/>
      <c r="K187" s="10">
        <f>AVERAGE(D188:D193)</f>
        <v>0</v>
      </c>
      <c r="L187" s="10">
        <f>STDEV(D188:D193)/SQRT(7)</f>
        <v>0</v>
      </c>
    </row>
    <row r="188" spans="1:12">
      <c r="A188" s="10">
        <v>1</v>
      </c>
      <c r="B188" s="8">
        <v>0</v>
      </c>
      <c r="C188" s="8">
        <v>10</v>
      </c>
      <c r="D188" s="8">
        <f>B188/C188</f>
        <v>0</v>
      </c>
      <c r="E188" s="8">
        <v>0</v>
      </c>
      <c r="F188" s="8">
        <v>10</v>
      </c>
      <c r="G188" s="8">
        <f>E188/F188</f>
        <v>0</v>
      </c>
      <c r="H188" s="5"/>
      <c r="I188" s="34"/>
      <c r="J188" s="35"/>
      <c r="K188" s="10">
        <f>AVERAGE(G188:G193)</f>
        <v>0</v>
      </c>
      <c r="L188" s="10">
        <f>STDEV(G188:G193)/SQRT(7)</f>
        <v>0</v>
      </c>
    </row>
    <row r="189" spans="1:12">
      <c r="A189" s="10">
        <v>2</v>
      </c>
      <c r="B189" s="8">
        <v>0</v>
      </c>
      <c r="C189" s="8">
        <v>10</v>
      </c>
      <c r="D189" s="8">
        <f t="shared" ref="D189:D191" si="36">B189/C189</f>
        <v>0</v>
      </c>
      <c r="E189" s="8">
        <v>0</v>
      </c>
      <c r="F189" s="8">
        <v>10</v>
      </c>
      <c r="G189" s="8">
        <f t="shared" ref="G189:G191" si="37">E189/F189</f>
        <v>0</v>
      </c>
      <c r="H189" s="5"/>
    </row>
    <row r="190" spans="1:12">
      <c r="A190" s="10">
        <v>3</v>
      </c>
      <c r="B190" s="10"/>
      <c r="C190" s="8">
        <v>10</v>
      </c>
      <c r="D190" s="8">
        <f t="shared" si="36"/>
        <v>0</v>
      </c>
      <c r="E190" s="8">
        <v>0</v>
      </c>
      <c r="F190" s="8">
        <v>10</v>
      </c>
      <c r="G190" s="8">
        <f t="shared" si="37"/>
        <v>0</v>
      </c>
      <c r="H190" s="5"/>
      <c r="I190" s="5"/>
      <c r="J190" s="5"/>
      <c r="K190" s="5"/>
      <c r="L190" s="5"/>
    </row>
    <row r="191" spans="1:12">
      <c r="A191" s="10">
        <v>4</v>
      </c>
      <c r="B191" s="10"/>
      <c r="C191" s="8">
        <v>10</v>
      </c>
      <c r="D191" s="8">
        <f t="shared" si="36"/>
        <v>0</v>
      </c>
      <c r="E191" s="8">
        <v>0</v>
      </c>
      <c r="F191" s="8">
        <v>10</v>
      </c>
      <c r="G191" s="8">
        <f t="shared" si="37"/>
        <v>0</v>
      </c>
      <c r="H191" s="5"/>
      <c r="I191" s="5"/>
      <c r="J191" s="5"/>
      <c r="K191" s="5"/>
      <c r="L191" s="5"/>
    </row>
    <row r="192" spans="1:12">
      <c r="A192" s="10">
        <v>5</v>
      </c>
      <c r="B192" s="8"/>
      <c r="C192" s="8"/>
      <c r="D192" s="8"/>
      <c r="E192" s="8"/>
      <c r="F192" s="8"/>
      <c r="G192" s="8"/>
      <c r="H192" s="5"/>
      <c r="I192" s="5"/>
      <c r="J192" s="5"/>
      <c r="K192" s="5"/>
      <c r="L192" s="5"/>
    </row>
    <row r="193" spans="1:12">
      <c r="A193" s="10">
        <v>6</v>
      </c>
      <c r="B193" s="8"/>
      <c r="C193" s="8"/>
      <c r="D193" s="8"/>
      <c r="E193" s="8"/>
      <c r="F193" s="8"/>
      <c r="G193" s="8"/>
      <c r="H193" s="5"/>
      <c r="I193" s="5"/>
      <c r="J193" s="5"/>
      <c r="K193" s="5"/>
      <c r="L193" s="5"/>
    </row>
    <row r="194" spans="1:1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4.4">
      <c r="A195" s="4">
        <v>20</v>
      </c>
      <c r="B195" s="24" t="s">
        <v>34</v>
      </c>
      <c r="C195" s="26"/>
      <c r="D195" s="5"/>
      <c r="E195" s="5"/>
      <c r="F195" s="5"/>
      <c r="G195" s="5"/>
    </row>
    <row r="196" spans="1:12">
      <c r="A196" s="5"/>
      <c r="B196" s="34" t="s">
        <v>15</v>
      </c>
      <c r="C196" s="40"/>
      <c r="D196" s="35"/>
      <c r="E196" s="41" t="s">
        <v>14</v>
      </c>
      <c r="F196" s="41"/>
      <c r="G196" s="41"/>
      <c r="I196" s="5"/>
      <c r="J196" s="5"/>
      <c r="K196" s="10" t="s">
        <v>6</v>
      </c>
      <c r="L196" s="6" t="s">
        <v>1</v>
      </c>
    </row>
    <row r="197" spans="1:12">
      <c r="A197" s="7" t="s">
        <v>7</v>
      </c>
      <c r="B197" s="10" t="s">
        <v>3</v>
      </c>
      <c r="C197" s="10" t="s">
        <v>4</v>
      </c>
      <c r="D197" s="10" t="s">
        <v>5</v>
      </c>
      <c r="E197" s="10" t="s">
        <v>3</v>
      </c>
      <c r="F197" s="10" t="s">
        <v>4</v>
      </c>
      <c r="G197" s="10" t="s">
        <v>8</v>
      </c>
      <c r="I197" s="34"/>
      <c r="J197" s="35"/>
      <c r="K197" s="10">
        <f>AVERAGE(D198:D203)</f>
        <v>0</v>
      </c>
      <c r="L197" s="10">
        <f>STDEV(D198:D203)/SQRT(3)</f>
        <v>0</v>
      </c>
    </row>
    <row r="198" spans="1:12">
      <c r="A198" s="10">
        <v>1</v>
      </c>
      <c r="B198" s="8">
        <v>0</v>
      </c>
      <c r="C198" s="8">
        <v>10</v>
      </c>
      <c r="D198" s="8">
        <f>B198/C198</f>
        <v>0</v>
      </c>
      <c r="E198" s="8">
        <v>0</v>
      </c>
      <c r="F198" s="8">
        <v>10</v>
      </c>
      <c r="G198" s="8">
        <f>E198/F198</f>
        <v>0</v>
      </c>
      <c r="I198" s="34"/>
      <c r="J198" s="35"/>
      <c r="K198" s="10">
        <f>AVERAGE(G198:G203)</f>
        <v>0</v>
      </c>
      <c r="L198" s="10">
        <f>STDEV(G198:G203)/SQRT(3)</f>
        <v>0</v>
      </c>
    </row>
    <row r="199" spans="1:12">
      <c r="A199" s="10">
        <v>2</v>
      </c>
      <c r="B199" s="8">
        <v>0</v>
      </c>
      <c r="C199" s="8">
        <v>10</v>
      </c>
      <c r="D199" s="8">
        <f t="shared" ref="D199:D201" si="38">B199/C199</f>
        <v>0</v>
      </c>
      <c r="E199" s="8">
        <v>0</v>
      </c>
      <c r="F199" s="8">
        <v>10</v>
      </c>
      <c r="G199" s="8">
        <f t="shared" ref="G199:G201" si="39">E199/F199</f>
        <v>0</v>
      </c>
    </row>
    <row r="200" spans="1:12">
      <c r="A200" s="10">
        <v>3</v>
      </c>
      <c r="B200" s="10"/>
      <c r="C200" s="8">
        <v>10</v>
      </c>
      <c r="D200" s="8">
        <f t="shared" si="38"/>
        <v>0</v>
      </c>
      <c r="E200" s="8"/>
      <c r="F200" s="8">
        <v>10</v>
      </c>
      <c r="G200" s="8">
        <f t="shared" si="39"/>
        <v>0</v>
      </c>
    </row>
    <row r="201" spans="1:12">
      <c r="A201" s="10">
        <v>4</v>
      </c>
      <c r="B201" s="10"/>
      <c r="C201" s="8">
        <v>10</v>
      </c>
      <c r="D201" s="8">
        <f t="shared" si="38"/>
        <v>0</v>
      </c>
      <c r="E201" s="8"/>
      <c r="F201" s="8">
        <v>10</v>
      </c>
      <c r="G201" s="8">
        <f t="shared" si="39"/>
        <v>0</v>
      </c>
    </row>
    <row r="202" spans="1:12">
      <c r="A202" s="10">
        <v>5</v>
      </c>
      <c r="B202" s="8"/>
      <c r="C202" s="8"/>
      <c r="D202" s="8"/>
      <c r="E202" s="8"/>
      <c r="F202" s="8"/>
      <c r="G202" s="8"/>
    </row>
    <row r="203" spans="1:12">
      <c r="A203" s="10">
        <v>6</v>
      </c>
      <c r="B203" s="8"/>
      <c r="C203" s="8"/>
      <c r="D203" s="8"/>
      <c r="E203" s="8"/>
      <c r="F203" s="8"/>
      <c r="G203" s="8"/>
    </row>
  </sheetData>
  <mergeCells count="80">
    <mergeCell ref="I197:J197"/>
    <mergeCell ref="I198:J198"/>
    <mergeCell ref="B186:D186"/>
    <mergeCell ref="E186:G186"/>
    <mergeCell ref="I187:J187"/>
    <mergeCell ref="I188:J188"/>
    <mergeCell ref="B196:D196"/>
    <mergeCell ref="E196:G196"/>
    <mergeCell ref="I178:J178"/>
    <mergeCell ref="B156:D156"/>
    <mergeCell ref="E156:G156"/>
    <mergeCell ref="I157:J157"/>
    <mergeCell ref="I158:J158"/>
    <mergeCell ref="B166:D166"/>
    <mergeCell ref="E166:G166"/>
    <mergeCell ref="I167:J167"/>
    <mergeCell ref="I168:J168"/>
    <mergeCell ref="B176:D176"/>
    <mergeCell ref="E176:G176"/>
    <mergeCell ref="I177:J177"/>
    <mergeCell ref="I148:J148"/>
    <mergeCell ref="B126:D126"/>
    <mergeCell ref="E126:G126"/>
    <mergeCell ref="I127:J127"/>
    <mergeCell ref="I128:J128"/>
    <mergeCell ref="B136:D136"/>
    <mergeCell ref="E136:G136"/>
    <mergeCell ref="I137:J137"/>
    <mergeCell ref="I138:J138"/>
    <mergeCell ref="B146:D146"/>
    <mergeCell ref="E146:G146"/>
    <mergeCell ref="I147:J147"/>
    <mergeCell ref="I118:J118"/>
    <mergeCell ref="B96:D96"/>
    <mergeCell ref="E96:G96"/>
    <mergeCell ref="I97:J97"/>
    <mergeCell ref="I98:J98"/>
    <mergeCell ref="B106:D106"/>
    <mergeCell ref="E106:G106"/>
    <mergeCell ref="I107:J107"/>
    <mergeCell ref="I108:J108"/>
    <mergeCell ref="B116:D116"/>
    <mergeCell ref="E116:G116"/>
    <mergeCell ref="I117:J117"/>
    <mergeCell ref="I88:J88"/>
    <mergeCell ref="B66:D66"/>
    <mergeCell ref="E66:G66"/>
    <mergeCell ref="I67:J67"/>
    <mergeCell ref="I68:J68"/>
    <mergeCell ref="B76:D76"/>
    <mergeCell ref="E76:G76"/>
    <mergeCell ref="I77:J77"/>
    <mergeCell ref="I78:J78"/>
    <mergeCell ref="B86:D86"/>
    <mergeCell ref="E86:G86"/>
    <mergeCell ref="I87:J87"/>
    <mergeCell ref="I58:J58"/>
    <mergeCell ref="B36:D36"/>
    <mergeCell ref="E36:G36"/>
    <mergeCell ref="I37:J37"/>
    <mergeCell ref="I38:J38"/>
    <mergeCell ref="B46:D46"/>
    <mergeCell ref="E46:G46"/>
    <mergeCell ref="I47:J47"/>
    <mergeCell ref="I48:J48"/>
    <mergeCell ref="B56:D56"/>
    <mergeCell ref="E56:G56"/>
    <mergeCell ref="I57:J57"/>
    <mergeCell ref="I28:J28"/>
    <mergeCell ref="B6:D6"/>
    <mergeCell ref="E6:G6"/>
    <mergeCell ref="I7:J7"/>
    <mergeCell ref="I8:J8"/>
    <mergeCell ref="B16:D16"/>
    <mergeCell ref="E16:G16"/>
    <mergeCell ref="I17:J17"/>
    <mergeCell ref="I18:J18"/>
    <mergeCell ref="B26:D26"/>
    <mergeCell ref="E26:G26"/>
    <mergeCell ref="I27:J27"/>
  </mergeCells>
  <phoneticPr fontId="1" type="noConversion"/>
  <hyperlinks>
    <hyperlink ref="AB12" r:id="rId1" tooltip="Open line data in a new window" display="http://splitgal4.janelia.org/cgi-bin/view_splitgal4_imagery.cgi?line=SS35420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Opto hits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Dilan de Silva</cp:lastModifiedBy>
  <dcterms:created xsi:type="dcterms:W3CDTF">2022-02-16T08:52:50Z</dcterms:created>
  <dcterms:modified xsi:type="dcterms:W3CDTF">2025-09-07T07:32:28Z</dcterms:modified>
</cp:coreProperties>
</file>