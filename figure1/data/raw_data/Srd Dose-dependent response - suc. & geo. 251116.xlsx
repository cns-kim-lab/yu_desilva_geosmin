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ilan\My Drive (dilandesilvakr@gmail.com)\Yonsei - GMAIL\1. Geo_2025 - FLY RESEARCH\3. THIS WEEK REPORTs\x_THIS WEEK REPORT - 25.11.16\"/>
    </mc:Choice>
  </mc:AlternateContent>
  <xr:revisionPtr revIDLastSave="0" documentId="13_ncr:1_{53D27559-50B0-4018-8921-A31827946B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sal dose 2511" sheetId="2" r:id="rId1"/>
    <sheet name="labial dose 2511" sheetId="5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5" l="1"/>
  <c r="D55" i="5"/>
  <c r="G54" i="5"/>
  <c r="D54" i="5"/>
  <c r="G53" i="5"/>
  <c r="D53" i="5"/>
  <c r="G52" i="5"/>
  <c r="D52" i="5"/>
  <c r="G51" i="5"/>
  <c r="D51" i="5"/>
  <c r="G50" i="5"/>
  <c r="D50" i="5"/>
  <c r="G41" i="5"/>
  <c r="D41" i="5"/>
  <c r="G40" i="5"/>
  <c r="D40" i="5"/>
  <c r="G39" i="5"/>
  <c r="D39" i="5"/>
  <c r="G38" i="5"/>
  <c r="D38" i="5"/>
  <c r="G37" i="5"/>
  <c r="D37" i="5"/>
  <c r="G36" i="5"/>
  <c r="D36" i="5"/>
  <c r="G27" i="5"/>
  <c r="D27" i="5"/>
  <c r="G26" i="5"/>
  <c r="D26" i="5"/>
  <c r="G25" i="5"/>
  <c r="D25" i="5"/>
  <c r="G24" i="5"/>
  <c r="D24" i="5"/>
  <c r="G23" i="5"/>
  <c r="D23" i="5"/>
  <c r="G22" i="5"/>
  <c r="D22" i="5"/>
  <c r="G13" i="5"/>
  <c r="D13" i="5"/>
  <c r="G12" i="5"/>
  <c r="D12" i="5"/>
  <c r="G11" i="5"/>
  <c r="D11" i="5"/>
  <c r="G10" i="5"/>
  <c r="D10" i="5"/>
  <c r="G9" i="5"/>
  <c r="D9" i="5"/>
  <c r="L8" i="5"/>
  <c r="T13" i="5" s="1"/>
  <c r="G8" i="5"/>
  <c r="D8" i="5"/>
  <c r="K8" i="5" l="1"/>
  <c r="O13" i="5" s="1"/>
  <c r="K50" i="5"/>
  <c r="R13" i="5" s="1"/>
  <c r="K36" i="5"/>
  <c r="Q13" i="5" s="1"/>
  <c r="K22" i="5"/>
  <c r="P13" i="5" s="1"/>
  <c r="L50" i="5"/>
  <c r="W13" i="5" s="1"/>
  <c r="L36" i="5"/>
  <c r="V13" i="5" s="1"/>
  <c r="L22" i="5"/>
  <c r="U13" i="5" s="1"/>
  <c r="L7" i="5"/>
  <c r="T12" i="5" s="1"/>
  <c r="K49" i="5"/>
  <c r="R12" i="5" s="1"/>
  <c r="L49" i="5"/>
  <c r="W12" i="5" s="1"/>
  <c r="L35" i="5"/>
  <c r="V12" i="5" s="1"/>
  <c r="K21" i="5"/>
  <c r="P12" i="5" s="1"/>
  <c r="K35" i="5"/>
  <c r="Q12" i="5" s="1"/>
  <c r="L21" i="5"/>
  <c r="U12" i="5" s="1"/>
  <c r="K7" i="5"/>
  <c r="O12" i="5" s="1"/>
  <c r="G55" i="2" l="1"/>
  <c r="G54" i="2"/>
  <c r="D55" i="2"/>
  <c r="D54" i="2"/>
  <c r="G41" i="2"/>
  <c r="G40" i="2"/>
  <c r="D41" i="2"/>
  <c r="D40" i="2"/>
  <c r="G27" i="2"/>
  <c r="G26" i="2"/>
  <c r="D27" i="2"/>
  <c r="D26" i="2"/>
  <c r="G13" i="2"/>
  <c r="G12" i="2"/>
  <c r="D13" i="2"/>
  <c r="D12" i="2"/>
  <c r="G11" i="2" l="1"/>
  <c r="G7" i="2"/>
  <c r="G53" i="2"/>
  <c r="D53" i="2"/>
  <c r="G52" i="2"/>
  <c r="D52" i="2"/>
  <c r="G51" i="2"/>
  <c r="D51" i="2"/>
  <c r="G39" i="2"/>
  <c r="D39" i="2"/>
  <c r="G38" i="2"/>
  <c r="D38" i="2"/>
  <c r="G37" i="2"/>
  <c r="D37" i="2"/>
  <c r="G25" i="2"/>
  <c r="D25" i="2"/>
  <c r="G24" i="2"/>
  <c r="D24" i="2"/>
  <c r="G23" i="2"/>
  <c r="D23" i="2"/>
  <c r="D11" i="2"/>
  <c r="G10" i="2"/>
  <c r="D10" i="2"/>
  <c r="G9" i="2"/>
  <c r="D9" i="2"/>
  <c r="G50" i="2"/>
  <c r="D50" i="2"/>
  <c r="G49" i="2"/>
  <c r="D49" i="2"/>
  <c r="G48" i="2"/>
  <c r="D48" i="2"/>
  <c r="L47" i="2" s="1"/>
  <c r="G36" i="2"/>
  <c r="D36" i="2"/>
  <c r="G35" i="2"/>
  <c r="D35" i="2"/>
  <c r="G34" i="2"/>
  <c r="L34" i="2" s="1"/>
  <c r="D34" i="2"/>
  <c r="G22" i="2"/>
  <c r="D22" i="2"/>
  <c r="G21" i="2"/>
  <c r="D21" i="2"/>
  <c r="G20" i="2"/>
  <c r="D20" i="2"/>
  <c r="G8" i="2"/>
  <c r="D8" i="2"/>
  <c r="D7" i="2"/>
  <c r="G6" i="2"/>
  <c r="D6" i="2"/>
  <c r="L48" i="2" l="1"/>
  <c r="W11" i="2" s="1"/>
  <c r="L20" i="2"/>
  <c r="U11" i="2" s="1"/>
  <c r="L33" i="2"/>
  <c r="V10" i="2" s="1"/>
  <c r="L19" i="2"/>
  <c r="U10" i="2" s="1"/>
  <c r="K6" i="2"/>
  <c r="O11" i="2" s="1"/>
  <c r="L6" i="2"/>
  <c r="T11" i="2" s="1"/>
  <c r="L5" i="2"/>
  <c r="T10" i="2" s="1"/>
  <c r="K5" i="2"/>
  <c r="O10" i="2" s="1"/>
  <c r="K34" i="2"/>
  <c r="Q11" i="2" s="1"/>
  <c r="V11" i="2"/>
  <c r="W10" i="2"/>
  <c r="K48" i="2"/>
  <c r="R11" i="2" s="1"/>
  <c r="K19" i="2"/>
  <c r="P10" i="2" s="1"/>
  <c r="K33" i="2"/>
  <c r="Q10" i="2" s="1"/>
  <c r="K20" i="2"/>
  <c r="P11" i="2" s="1"/>
  <c r="K47" i="2"/>
  <c r="R10" i="2" s="1"/>
</calcChain>
</file>

<file path=xl/sharedStrings.xml><?xml version="1.0" encoding="utf-8"?>
<sst xmlns="http://schemas.openxmlformats.org/spreadsheetml/2006/main" count="125" uniqueCount="36">
  <si>
    <t>w1118 (wildtype)</t>
    <phoneticPr fontId="1" type="noConversion"/>
  </si>
  <si>
    <t>10mM Suc.</t>
    <phoneticPr fontId="1" type="noConversion"/>
  </si>
  <si>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</si>
  <si>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</si>
  <si>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</si>
  <si>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</si>
  <si>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</si>
  <si>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</si>
  <si>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50mM Suc.</t>
    <phoneticPr fontId="1" type="noConversion"/>
  </si>
  <si>
    <t>100mM Suc.</t>
    <phoneticPr fontId="1" type="noConversion"/>
  </si>
  <si>
    <t>500mM Suc.</t>
    <phoneticPr fontId="1" type="noConversion"/>
  </si>
  <si>
    <t>Suc.</t>
    <phoneticPr fontId="1" type="noConversion"/>
  </si>
  <si>
    <t>PER (average)</t>
  </si>
  <si>
    <t>Plate #</t>
  </si>
  <si>
    <t>Response Rate</t>
    <phoneticPr fontId="1" type="noConversion"/>
  </si>
  <si>
    <t>SEM</t>
    <phoneticPr fontId="1" type="noConversion"/>
  </si>
  <si>
    <t xml:space="preserve">Fed - Tarsal PER/ Modified PER </t>
    <phoneticPr fontId="1" type="noConversion"/>
  </si>
  <si>
    <t xml:space="preserve">  </t>
    <phoneticPr fontId="1" type="noConversion"/>
  </si>
  <si>
    <t>500mM Suc.</t>
  </si>
  <si>
    <t>10mM Suc. + 1% Geo.</t>
  </si>
  <si>
    <t>50mM Suc. + 1% Geo.</t>
  </si>
  <si>
    <t>100mM Suc. + 1% Geo.</t>
  </si>
  <si>
    <t>Suc. &amp; 1% Geo.</t>
  </si>
  <si>
    <t>10mM Suc. + 1% Geo</t>
  </si>
  <si>
    <t>50mM Suc. + 1% Geo</t>
  </si>
  <si>
    <t>100mM Suc. + 1% Geo</t>
  </si>
  <si>
    <t>500mM Suc. + 1% Geo</t>
  </si>
  <si>
    <t>500mM Suc. + 1% Geo.</t>
  </si>
  <si>
    <t xml:space="preserve">Fed - labellar PER/ Modified PER </t>
  </si>
  <si>
    <t xml:space="preserve">With starvation - Tarsal PER </t>
  </si>
  <si>
    <t>w1118 (wildtype)</t>
  </si>
  <si>
    <t>10mM Suc.</t>
  </si>
  <si>
    <t>Suc.</t>
  </si>
  <si>
    <t>50mM Suc.</t>
  </si>
  <si>
    <t>100mM Suc.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</si>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</sst>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color theme="1"/>
      <name val="Calibri"/>
      <scheme val="minor"/>
    </font>
    <font>
      <b/>
      <sz val="8"/>
      <color theme="1"/>
      <name val="Arial"/>
    </font>
    <font>
      <sz val="8"/>
      <color theme="1"/>
      <name val="Arial"/>
    </font>
    <font>
      <sz val="11"/>
      <name val="Calibri"/>
    </font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9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/>
    <xf numFmtId="0" fontId="5" fillId="0" borderId="0" xfId="1"/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6" xfId="1" applyFont="1" applyBorder="1" applyAlignment="1">
      <alignment horizontal="left" vertical="center"/>
    </xf>
    <xf numFmtId="0" fontId="8" fillId="0" borderId="7" xfId="1" applyFont="1" applyBorder="1"/>
    <xf numFmtId="0" fontId="8" fillId="0" borderId="8" xfId="1" applyFont="1" applyBorder="1"/>
    <xf numFmtId="0" fontId="7" fillId="0" borderId="6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973DDC86-1F74-4238-BAEF-C718BCD068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'tarsal dose 2511'!$N$10</c:f>
              <c:strCache>
                <c:ptCount val="1"/>
                <c:pt idx="0">
                  <c:v>Suc.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'tarsal dose 2511'!$T$10:$W$10</c:f>
                <c:numCache>
                  <c:formatCode>General</c:formatCode>
                  <c:ptCount val="4"/>
                  <c:pt idx="0">
                    <c:v>4.2221014759259233E-2</c:v>
                  </c:pt>
                  <c:pt idx="1">
                    <c:v>5.9318843535698697E-2</c:v>
                  </c:pt>
                  <c:pt idx="2">
                    <c:v>6.4182463655370905E-2</c:v>
                  </c:pt>
                  <c:pt idx="3">
                    <c:v>9.3169499062491237E-2</c:v>
                  </c:pt>
                </c:numCache>
              </c:numRef>
            </c:plus>
            <c:minus>
              <c:numRef>
                <c:f>'tarsal dose 2511'!$T$10:$W$10</c:f>
                <c:numCache>
                  <c:formatCode>General</c:formatCode>
                  <c:ptCount val="4"/>
                  <c:pt idx="0">
                    <c:v>4.2221014759259233E-2</c:v>
                  </c:pt>
                  <c:pt idx="1">
                    <c:v>5.9318843535698697E-2</c:v>
                  </c:pt>
                  <c:pt idx="2">
                    <c:v>6.4182463655370905E-2</c:v>
                  </c:pt>
                  <c:pt idx="3">
                    <c:v>9.3169499062491237E-2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'tarsal dose 2511'!$O$9:$R$9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'tarsal dose 2511'!$O$10:$R$10</c:f>
              <c:numCache>
                <c:formatCode>General</c:formatCode>
                <c:ptCount val="4"/>
                <c:pt idx="0">
                  <c:v>0.19791666666666669</c:v>
                </c:pt>
                <c:pt idx="1">
                  <c:v>0.36458333333333331</c:v>
                </c:pt>
                <c:pt idx="2">
                  <c:v>0.45312500000000006</c:v>
                </c:pt>
                <c:pt idx="3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B-439F-9E00-A4065C9D0376}"/>
            </c:ext>
          </c:extLst>
        </c:ser>
        <c:ser>
          <c:idx val="2"/>
          <c:order val="1"/>
          <c:tx>
            <c:strRef>
              <c:f>'tarsal dose 2511'!$N$11</c:f>
              <c:strCache>
                <c:ptCount val="1"/>
                <c:pt idx="0">
                  <c:v>Suc. &amp; 1% Geo.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'tarsal dose 2511'!$T$11:$W$11</c:f>
                <c:numCache>
                  <c:formatCode>General</c:formatCode>
                  <c:ptCount val="4"/>
                  <c:pt idx="0">
                    <c:v>3.2466405103082491E-2</c:v>
                  </c:pt>
                  <c:pt idx="1">
                    <c:v>4.2722848868915433E-2</c:v>
                  </c:pt>
                  <c:pt idx="2">
                    <c:v>5.3983205795288855E-2</c:v>
                  </c:pt>
                  <c:pt idx="3">
                    <c:v>8.5082097374540436E-2</c:v>
                  </c:pt>
                </c:numCache>
              </c:numRef>
            </c:plus>
            <c:minus>
              <c:numRef>
                <c:f>'tarsal dose 2511'!$T$11:$W$11</c:f>
                <c:numCache>
                  <c:formatCode>General</c:formatCode>
                  <c:ptCount val="4"/>
                  <c:pt idx="0">
                    <c:v>3.2466405103082491E-2</c:v>
                  </c:pt>
                  <c:pt idx="1">
                    <c:v>4.2722848868915433E-2</c:v>
                  </c:pt>
                  <c:pt idx="2">
                    <c:v>5.3983205795288855E-2</c:v>
                  </c:pt>
                  <c:pt idx="3">
                    <c:v>8.5082097374540436E-2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'tarsal dose 2511'!$O$9:$R$9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'tarsal dose 2511'!$O$11:$R$11</c:f>
              <c:numCache>
                <c:formatCode>General</c:formatCode>
                <c:ptCount val="4"/>
                <c:pt idx="0">
                  <c:v>0.10416666666666666</c:v>
                </c:pt>
                <c:pt idx="1">
                  <c:v>0.17187500000000003</c:v>
                </c:pt>
                <c:pt idx="2">
                  <c:v>0.24999999999999997</c:v>
                </c:pt>
                <c:pt idx="3">
                  <c:v>0.46875000000000006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7B-439F-9E00-A4065C9D0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0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0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40298437310720775"/>
              <c:y val="0.77212789316881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Suc.</c:v>
          </c:tx>
          <c:spPr>
            <a:ln w="19050"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'labial dose 2511'!$T$12:$W$12</c:f>
                <c:numCache>
                  <c:formatCode>General</c:formatCode>
                  <c:ptCount val="4"/>
                  <c:pt idx="0">
                    <c:v>3.1671539586087212E-2</c:v>
                  </c:pt>
                  <c:pt idx="1">
                    <c:v>4.4030187455964882E-2</c:v>
                  </c:pt>
                  <c:pt idx="2">
                    <c:v>7.3558681538141032E-2</c:v>
                  </c:pt>
                  <c:pt idx="3">
                    <c:v>6.7757282875836142E-2</c:v>
                  </c:pt>
                </c:numCache>
              </c:numRef>
            </c:plus>
            <c:minus>
              <c:numRef>
                <c:f>'labial dose 2511'!$T$12:$W$12</c:f>
                <c:numCache>
                  <c:formatCode>General</c:formatCode>
                  <c:ptCount val="4"/>
                  <c:pt idx="0">
                    <c:v>3.1671539586087212E-2</c:v>
                  </c:pt>
                  <c:pt idx="1">
                    <c:v>4.4030187455964882E-2</c:v>
                  </c:pt>
                  <c:pt idx="2">
                    <c:v>7.3558681538141032E-2</c:v>
                  </c:pt>
                  <c:pt idx="3">
                    <c:v>6.7757282875836142E-2</c:v>
                  </c:pt>
                </c:numCache>
              </c:numRef>
            </c:minus>
          </c:errBars>
          <c:cat>
            <c:numRef>
              <c:f>'labial dose 2511'!$O$11:$R$11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'labial dose 2511'!$O$12:$R$12</c:f>
              <c:numCache>
                <c:formatCode>General</c:formatCode>
                <c:ptCount val="4"/>
                <c:pt idx="0">
                  <c:v>0.30555555555555558</c:v>
                </c:pt>
                <c:pt idx="1">
                  <c:v>0.39583333333333331</c:v>
                </c:pt>
                <c:pt idx="2">
                  <c:v>0.52083333333333326</c:v>
                </c:pt>
                <c:pt idx="3">
                  <c:v>0.69444444444444431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5-4B35-8829-C6390A859028}"/>
            </c:ext>
          </c:extLst>
        </c:ser>
        <c:ser>
          <c:idx val="1"/>
          <c:order val="1"/>
          <c:tx>
            <c:v>Suc. &amp; 1% Geo.</c:v>
          </c:tx>
          <c:spPr>
            <a:ln w="19050" cmpd="sng">
              <a:solidFill>
                <a:schemeClr val="accent3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'labial dose 2511'!$T$13:$W$13</c:f>
                <c:numCache>
                  <c:formatCode>General</c:formatCode>
                  <c:ptCount val="4"/>
                  <c:pt idx="0">
                    <c:v>2.5230419617479148E-2</c:v>
                  </c:pt>
                  <c:pt idx="1">
                    <c:v>3.6877550131532648E-2</c:v>
                  </c:pt>
                  <c:pt idx="2">
                    <c:v>7.07515868163891E-2</c:v>
                  </c:pt>
                  <c:pt idx="3">
                    <c:v>5.7181080139552615E-2</c:v>
                  </c:pt>
                </c:numCache>
              </c:numRef>
            </c:plus>
            <c:minus>
              <c:numRef>
                <c:f>'labial dose 2511'!$T$13:$W$13</c:f>
                <c:numCache>
                  <c:formatCode>General</c:formatCode>
                  <c:ptCount val="4"/>
                  <c:pt idx="0">
                    <c:v>2.5230419617479148E-2</c:v>
                  </c:pt>
                  <c:pt idx="1">
                    <c:v>3.6877550131532648E-2</c:v>
                  </c:pt>
                  <c:pt idx="2">
                    <c:v>7.07515868163891E-2</c:v>
                  </c:pt>
                  <c:pt idx="3">
                    <c:v>5.7181080139552615E-2</c:v>
                  </c:pt>
                </c:numCache>
              </c:numRef>
            </c:minus>
          </c:errBars>
          <c:cat>
            <c:numRef>
              <c:f>'labial dose 2511'!$O$11:$R$11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'labial dose 2511'!$O$13:$R$13</c:f>
              <c:numCache>
                <c:formatCode>General</c:formatCode>
                <c:ptCount val="4"/>
                <c:pt idx="0">
                  <c:v>0.27083333333333331</c:v>
                </c:pt>
                <c:pt idx="1">
                  <c:v>0.33333333333333331</c:v>
                </c:pt>
                <c:pt idx="2">
                  <c:v>0.44444444444444442</c:v>
                </c:pt>
                <c:pt idx="3">
                  <c:v>0.67361111111111105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05-4B35-8829-C6390A85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062063"/>
        <c:axId val="1024602455"/>
      </c:lineChart>
      <c:catAx>
        <c:axId val="180106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800" b="0" i="0">
                    <a:solidFill>
                      <a:srgbClr val="000000"/>
                    </a:solidFill>
                    <a:latin typeface="Arial"/>
                  </a:rPr>
                  <a:t>[Sucrose] (mM)</a:t>
                </a:r>
              </a:p>
            </c:rich>
          </c:tx>
          <c:layout>
            <c:manualLayout>
              <c:xMode val="edge"/>
              <c:yMode val="edge"/>
              <c:x val="0.40298437310720775"/>
              <c:y val="0.77212789316881159"/>
            </c:manualLayout>
          </c:layout>
          <c:overlay val="0"/>
        </c:title>
        <c:numFmt formatCode="General" sourceLinked="1"/>
        <c:majorTickMark val="none"/>
        <c:minorTickMark val="out"/>
        <c:tickLblPos val="nextTo"/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24602455"/>
        <c:crosses val="autoZero"/>
        <c:auto val="1"/>
        <c:lblAlgn val="ctr"/>
        <c:lblOffset val="100"/>
        <c:noMultiLvlLbl val="1"/>
      </c:catAx>
      <c:valAx>
        <c:axId val="1024602455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800" b="0" i="0">
                    <a:solidFill>
                      <a:srgbClr val="000000"/>
                    </a:solidFill>
                    <a:latin typeface="Arial"/>
                  </a:rPr>
                  <a:t>Labellar PER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01062063"/>
        <c:crosses val="autoZero"/>
        <c:crossBetween val="between"/>
        <c:majorUnit val="0.2"/>
      </c:valAx>
    </c:plotArea>
    <c:legend>
      <c:legendPos val="b"/>
      <c:overlay val="0"/>
      <c:txPr>
        <a:bodyPr/>
        <a:lstStyle/>
        <a:p>
          <a:pPr lvl="0">
            <a:defRPr sz="800" b="0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17</xdr:row>
      <xdr:rowOff>6803</xdr:rowOff>
    </xdr:from>
    <xdr:to>
      <xdr:col>16</xdr:col>
      <xdr:colOff>0</xdr:colOff>
      <xdr:row>34</xdr:row>
      <xdr:rowOff>9921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148829</xdr:colOff>
      <xdr:row>18</xdr:row>
      <xdr:rowOff>119064</xdr:rowOff>
    </xdr:from>
    <xdr:ext cx="727700" cy="22499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792892" y="2721430"/>
          <a:ext cx="727700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Fed, W</a:t>
          </a:r>
          <a:r>
            <a:rPr lang="en-US" altLang="ko-KR" sz="900" b="0" baseline="300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1118</a:t>
          </a:r>
          <a:endParaRPr lang="ko-KR" altLang="ko-KR" sz="900" b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19</xdr:row>
      <xdr:rowOff>0</xdr:rowOff>
    </xdr:from>
    <xdr:ext cx="1851660" cy="2324099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609FF6A-3130-42E3-B936-EEA37E5CD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81915</xdr:colOff>
      <xdr:row>19</xdr:row>
      <xdr:rowOff>55245</xdr:rowOff>
    </xdr:from>
    <xdr:ext cx="733425" cy="2286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9C3247F2-97B9-46C6-9FCF-614F5671045D}"/>
            </a:ext>
          </a:extLst>
        </xdr:cNvPr>
        <xdr:cNvSpPr txBox="1"/>
      </xdr:nvSpPr>
      <xdr:spPr>
        <a:xfrm>
          <a:off x="8722995" y="2775585"/>
          <a:ext cx="7334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Fed, W</a:t>
          </a:r>
          <a:r>
            <a:rPr lang="en-US" sz="900" b="0" baseline="30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1118</a:t>
          </a:r>
          <a:endParaRPr sz="9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zoomScaleNormal="100" workbookViewId="0">
      <selection activeCell="P40" sqref="P40"/>
    </sheetView>
  </sheetViews>
  <sheetFormatPr defaultColWidth="9" defaultRowHeight="10.199999999999999"/>
  <cols>
    <col min="1" max="16384" width="9" style="2"/>
  </cols>
  <sheetData>
    <row r="1" spans="1:23">
      <c r="A1" s="1" t="s">
        <v>16</v>
      </c>
    </row>
    <row r="2" spans="1:23">
      <c r="N2" s="3"/>
      <c r="O2" s="3"/>
      <c r="P2" s="3"/>
    </row>
    <row r="3" spans="1:23">
      <c r="A3" s="4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N3" s="3"/>
      <c r="O3" s="3"/>
      <c r="P3" s="3"/>
    </row>
    <row r="4" spans="1:23">
      <c r="A4" s="5"/>
      <c r="B4" s="18" t="s">
        <v>1</v>
      </c>
      <c r="C4" s="21"/>
      <c r="D4" s="19"/>
      <c r="E4" s="20" t="s">
        <v>23</v>
      </c>
      <c r="F4" s="20"/>
      <c r="G4" s="20"/>
      <c r="H4" s="5"/>
      <c r="I4" s="5"/>
      <c r="J4" s="5"/>
      <c r="K4" s="6" t="s">
        <v>2</v>
      </c>
      <c r="L4" s="7" t="s">
        <v>3</v>
      </c>
      <c r="N4" s="3"/>
      <c r="O4" s="3"/>
      <c r="P4" s="3"/>
    </row>
    <row r="5" spans="1:23">
      <c r="A5" s="8" t="s">
        <v>4</v>
      </c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5"/>
      <c r="I5" s="22" t="s">
        <v>1</v>
      </c>
      <c r="J5" s="23"/>
      <c r="K5" s="6">
        <f>AVERAGE(D6:D15)</f>
        <v>0.19791666666666669</v>
      </c>
      <c r="L5" s="6">
        <f>STDEV(D6:D15)/SQRT(8)</f>
        <v>4.2221014759259233E-2</v>
      </c>
      <c r="N5" s="3"/>
      <c r="O5" s="3"/>
      <c r="P5" s="3"/>
    </row>
    <row r="6" spans="1:23">
      <c r="A6" s="6">
        <v>1</v>
      </c>
      <c r="B6" s="6">
        <v>7</v>
      </c>
      <c r="C6" s="6">
        <v>24</v>
      </c>
      <c r="D6" s="6">
        <f>B6/C6</f>
        <v>0.29166666666666669</v>
      </c>
      <c r="E6" s="6">
        <v>4</v>
      </c>
      <c r="F6" s="6">
        <v>24</v>
      </c>
      <c r="G6" s="6">
        <f>E6/F6</f>
        <v>0.16666666666666666</v>
      </c>
      <c r="H6" s="5"/>
      <c r="I6" s="22" t="s">
        <v>19</v>
      </c>
      <c r="J6" s="23"/>
      <c r="K6" s="6">
        <f>AVERAGE(G6:G15)</f>
        <v>0.10416666666666666</v>
      </c>
      <c r="L6" s="6">
        <f>STDEV(G6:G15)/SQRT(8)</f>
        <v>3.2466405103082491E-2</v>
      </c>
    </row>
    <row r="7" spans="1:23">
      <c r="A7" s="6">
        <v>2</v>
      </c>
      <c r="B7" s="6">
        <v>3</v>
      </c>
      <c r="C7" s="6">
        <v>24</v>
      </c>
      <c r="D7" s="6">
        <f t="shared" ref="D7:D8" si="0">B7/C7</f>
        <v>0.125</v>
      </c>
      <c r="E7" s="6">
        <v>1</v>
      </c>
      <c r="F7" s="6">
        <v>24</v>
      </c>
      <c r="G7" s="6">
        <f t="shared" ref="G7:G8" si="1">E7/F7</f>
        <v>4.1666666666666664E-2</v>
      </c>
      <c r="H7" s="5"/>
    </row>
    <row r="8" spans="1:23">
      <c r="A8" s="6">
        <v>3</v>
      </c>
      <c r="B8" s="6">
        <v>6</v>
      </c>
      <c r="C8" s="6">
        <v>24</v>
      </c>
      <c r="D8" s="6">
        <f t="shared" si="0"/>
        <v>0.25</v>
      </c>
      <c r="E8" s="6">
        <v>5</v>
      </c>
      <c r="F8" s="6">
        <v>24</v>
      </c>
      <c r="G8" s="6">
        <f t="shared" si="1"/>
        <v>0.20833333333333334</v>
      </c>
      <c r="H8" s="5"/>
      <c r="I8" s="5"/>
      <c r="J8" s="5"/>
      <c r="K8" s="5"/>
      <c r="L8" s="5"/>
      <c r="O8" s="4" t="s">
        <v>2</v>
      </c>
      <c r="T8" s="1" t="s">
        <v>15</v>
      </c>
    </row>
    <row r="9" spans="1:23">
      <c r="A9" s="6">
        <v>4</v>
      </c>
      <c r="B9" s="6">
        <v>9</v>
      </c>
      <c r="C9" s="6">
        <v>24</v>
      </c>
      <c r="D9" s="6">
        <f>B9/C9</f>
        <v>0.375</v>
      </c>
      <c r="E9" s="6">
        <v>6</v>
      </c>
      <c r="F9" s="6">
        <v>24</v>
      </c>
      <c r="G9" s="6">
        <f>E9/F9</f>
        <v>0.25</v>
      </c>
      <c r="H9" s="5"/>
      <c r="I9" s="5"/>
      <c r="J9" s="5"/>
      <c r="K9" s="5"/>
      <c r="L9" s="5"/>
      <c r="N9" s="1"/>
      <c r="O9" s="1">
        <v>10</v>
      </c>
      <c r="P9" s="1">
        <v>50</v>
      </c>
      <c r="Q9" s="1">
        <v>100</v>
      </c>
      <c r="R9" s="1">
        <v>500</v>
      </c>
      <c r="S9" s="1"/>
      <c r="T9" s="1">
        <v>10</v>
      </c>
      <c r="U9" s="1">
        <v>50</v>
      </c>
      <c r="V9" s="1">
        <v>100</v>
      </c>
      <c r="W9" s="1">
        <v>500</v>
      </c>
    </row>
    <row r="10" spans="1:23">
      <c r="A10" s="6">
        <v>5</v>
      </c>
      <c r="B10" s="6">
        <v>3</v>
      </c>
      <c r="C10" s="6">
        <v>24</v>
      </c>
      <c r="D10" s="6">
        <f t="shared" ref="D10:D13" si="2">B10/C10</f>
        <v>0.125</v>
      </c>
      <c r="E10" s="6">
        <v>0</v>
      </c>
      <c r="F10" s="6">
        <v>24</v>
      </c>
      <c r="G10" s="6">
        <f t="shared" ref="G10:G13" si="3">E10/F10</f>
        <v>0</v>
      </c>
      <c r="H10" s="5"/>
      <c r="I10" s="5"/>
      <c r="J10" s="5"/>
      <c r="K10" s="5"/>
      <c r="L10" s="5"/>
      <c r="N10" s="1" t="s">
        <v>11</v>
      </c>
      <c r="O10" s="2">
        <f>K5</f>
        <v>0.19791666666666669</v>
      </c>
      <c r="P10" s="2">
        <f>K19</f>
        <v>0.36458333333333331</v>
      </c>
      <c r="Q10" s="2">
        <f>K33</f>
        <v>0.45312500000000006</v>
      </c>
      <c r="R10" s="2">
        <f>K47</f>
        <v>0.625</v>
      </c>
      <c r="T10" s="2">
        <f>L5</f>
        <v>4.2221014759259233E-2</v>
      </c>
      <c r="U10" s="2">
        <f>L19</f>
        <v>5.9318843535698697E-2</v>
      </c>
      <c r="V10" s="2">
        <f>L33</f>
        <v>6.4182463655370905E-2</v>
      </c>
      <c r="W10" s="2">
        <f>L47</f>
        <v>9.3169499062491237E-2</v>
      </c>
    </row>
    <row r="11" spans="1:23">
      <c r="A11" s="6">
        <v>6</v>
      </c>
      <c r="B11" s="6">
        <v>7</v>
      </c>
      <c r="C11" s="6">
        <v>24</v>
      </c>
      <c r="D11" s="6">
        <f t="shared" si="2"/>
        <v>0.29166666666666669</v>
      </c>
      <c r="E11" s="6">
        <v>2</v>
      </c>
      <c r="F11" s="6">
        <v>24</v>
      </c>
      <c r="G11" s="6">
        <f t="shared" si="3"/>
        <v>8.3333333333333329E-2</v>
      </c>
      <c r="H11" s="5"/>
      <c r="I11" s="5"/>
      <c r="J11" s="5"/>
      <c r="K11" s="5"/>
      <c r="L11" s="5"/>
      <c r="N11" s="1" t="s">
        <v>22</v>
      </c>
      <c r="O11" s="2">
        <f>K6</f>
        <v>0.10416666666666666</v>
      </c>
      <c r="P11" s="2">
        <f>K20</f>
        <v>0.17187500000000003</v>
      </c>
      <c r="Q11" s="2">
        <f>K34</f>
        <v>0.24999999999999997</v>
      </c>
      <c r="R11" s="2">
        <f>K48</f>
        <v>0.46875000000000006</v>
      </c>
      <c r="T11" s="2">
        <f>L6</f>
        <v>3.2466405103082491E-2</v>
      </c>
      <c r="U11" s="2">
        <f>L20</f>
        <v>4.2722848868915433E-2</v>
      </c>
      <c r="V11" s="2">
        <f>L34</f>
        <v>5.3983205795288855E-2</v>
      </c>
      <c r="W11" s="2">
        <f>L48</f>
        <v>8.5082097374540436E-2</v>
      </c>
    </row>
    <row r="12" spans="1:23">
      <c r="A12" s="6">
        <v>7</v>
      </c>
      <c r="B12" s="6">
        <v>2</v>
      </c>
      <c r="C12" s="6">
        <v>24</v>
      </c>
      <c r="D12" s="6">
        <f t="shared" si="2"/>
        <v>8.3333333333333329E-2</v>
      </c>
      <c r="E12" s="6">
        <v>1</v>
      </c>
      <c r="F12" s="6">
        <v>24</v>
      </c>
      <c r="G12" s="6">
        <f t="shared" si="3"/>
        <v>4.1666666666666664E-2</v>
      </c>
      <c r="H12" s="5"/>
      <c r="I12" s="5"/>
      <c r="J12" s="5"/>
      <c r="K12" s="5"/>
      <c r="L12" s="5"/>
    </row>
    <row r="13" spans="1:23">
      <c r="A13" s="6">
        <v>8</v>
      </c>
      <c r="B13" s="6">
        <v>1</v>
      </c>
      <c r="C13" s="6">
        <v>24</v>
      </c>
      <c r="D13" s="6">
        <f t="shared" si="2"/>
        <v>4.1666666666666664E-2</v>
      </c>
      <c r="E13" s="6">
        <v>1</v>
      </c>
      <c r="F13" s="6">
        <v>24</v>
      </c>
      <c r="G13" s="6">
        <f t="shared" si="3"/>
        <v>4.1666666666666664E-2</v>
      </c>
      <c r="H13" s="5"/>
      <c r="I13" s="5"/>
      <c r="J13" s="5"/>
      <c r="K13" s="5"/>
      <c r="L13" s="5"/>
    </row>
    <row r="14" spans="1:23">
      <c r="A14" s="6">
        <v>9</v>
      </c>
      <c r="B14" s="6"/>
      <c r="C14" s="6"/>
      <c r="D14" s="6"/>
      <c r="E14" s="6"/>
      <c r="F14" s="6"/>
      <c r="G14" s="6"/>
      <c r="H14" s="5"/>
      <c r="I14" s="5"/>
      <c r="J14" s="5"/>
      <c r="K14" s="5"/>
      <c r="L14" s="5"/>
    </row>
    <row r="15" spans="1:23">
      <c r="A15" s="6">
        <v>10</v>
      </c>
      <c r="B15" s="6"/>
      <c r="C15" s="6"/>
      <c r="D15" s="6"/>
      <c r="E15" s="6"/>
      <c r="F15" s="6"/>
      <c r="G15" s="6"/>
      <c r="H15" s="5"/>
      <c r="I15" s="5"/>
      <c r="J15" s="5"/>
      <c r="K15" s="5"/>
      <c r="L15" s="5"/>
    </row>
    <row r="16" spans="1:2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4" t="s">
        <v>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/>
      <c r="B18" s="18" t="s">
        <v>8</v>
      </c>
      <c r="C18" s="21"/>
      <c r="D18" s="19"/>
      <c r="E18" s="18" t="s">
        <v>24</v>
      </c>
      <c r="F18" s="21"/>
      <c r="G18" s="19"/>
      <c r="H18" s="5"/>
      <c r="I18" s="5"/>
      <c r="J18" s="5"/>
      <c r="K18" s="6" t="s">
        <v>12</v>
      </c>
      <c r="L18" s="7" t="s">
        <v>3</v>
      </c>
    </row>
    <row r="19" spans="1:12">
      <c r="A19" s="8" t="s">
        <v>13</v>
      </c>
      <c r="B19" s="6" t="s">
        <v>5</v>
      </c>
      <c r="C19" s="6" t="s">
        <v>6</v>
      </c>
      <c r="D19" s="6" t="s">
        <v>7</v>
      </c>
      <c r="E19" s="6" t="s">
        <v>5</v>
      </c>
      <c r="F19" s="6" t="s">
        <v>6</v>
      </c>
      <c r="G19" s="6" t="s">
        <v>14</v>
      </c>
      <c r="H19" s="5"/>
      <c r="I19" s="18" t="s">
        <v>8</v>
      </c>
      <c r="J19" s="19"/>
      <c r="K19" s="6">
        <f>AVERAGE(D20:D29)</f>
        <v>0.36458333333333331</v>
      </c>
      <c r="L19" s="6">
        <f>STDEV(D20:D29)/SQRT(8)</f>
        <v>5.9318843535698697E-2</v>
      </c>
    </row>
    <row r="20" spans="1:12">
      <c r="A20" s="6">
        <v>1</v>
      </c>
      <c r="B20" s="6">
        <v>10</v>
      </c>
      <c r="C20" s="6">
        <v>24</v>
      </c>
      <c r="D20" s="6">
        <f>B20/C20</f>
        <v>0.41666666666666669</v>
      </c>
      <c r="E20" s="6">
        <v>7</v>
      </c>
      <c r="F20" s="6">
        <v>24</v>
      </c>
      <c r="G20" s="6">
        <f>E20/F20</f>
        <v>0.29166666666666669</v>
      </c>
      <c r="H20" s="5"/>
      <c r="I20" s="18" t="s">
        <v>20</v>
      </c>
      <c r="J20" s="19"/>
      <c r="K20" s="6">
        <f>AVERAGE(G20:G29)</f>
        <v>0.17187500000000003</v>
      </c>
      <c r="L20" s="6">
        <f>STDEV(G20:G29)/SQRT(8)</f>
        <v>4.2722848868915433E-2</v>
      </c>
    </row>
    <row r="21" spans="1:12">
      <c r="A21" s="6">
        <v>2</v>
      </c>
      <c r="B21" s="6">
        <v>5</v>
      </c>
      <c r="C21" s="6">
        <v>24</v>
      </c>
      <c r="D21" s="6">
        <f t="shared" ref="D21:D22" si="4">B21/C21</f>
        <v>0.20833333333333334</v>
      </c>
      <c r="E21" s="6">
        <v>1</v>
      </c>
      <c r="F21" s="6">
        <v>24</v>
      </c>
      <c r="G21" s="6">
        <f t="shared" ref="G21:G22" si="5">E21/F21</f>
        <v>4.1666666666666664E-2</v>
      </c>
      <c r="H21" s="5"/>
    </row>
    <row r="22" spans="1:12">
      <c r="A22" s="6">
        <v>3</v>
      </c>
      <c r="B22" s="6">
        <v>13</v>
      </c>
      <c r="C22" s="6">
        <v>24</v>
      </c>
      <c r="D22" s="6">
        <f t="shared" si="4"/>
        <v>0.54166666666666663</v>
      </c>
      <c r="E22" s="6">
        <v>5</v>
      </c>
      <c r="F22" s="6">
        <v>24</v>
      </c>
      <c r="G22" s="6">
        <f t="shared" si="5"/>
        <v>0.20833333333333334</v>
      </c>
      <c r="H22" s="5"/>
      <c r="I22" s="5"/>
      <c r="J22" s="5"/>
      <c r="K22" s="5"/>
      <c r="L22" s="5"/>
    </row>
    <row r="23" spans="1:12">
      <c r="A23" s="6">
        <v>4</v>
      </c>
      <c r="B23" s="6">
        <v>11</v>
      </c>
      <c r="C23" s="6">
        <v>24</v>
      </c>
      <c r="D23" s="6">
        <f>B23/C23</f>
        <v>0.45833333333333331</v>
      </c>
      <c r="E23" s="6">
        <v>5</v>
      </c>
      <c r="F23" s="6">
        <v>24</v>
      </c>
      <c r="G23" s="6">
        <f>E23/F23</f>
        <v>0.20833333333333334</v>
      </c>
      <c r="H23" s="5"/>
      <c r="I23" s="5"/>
      <c r="J23" s="5"/>
      <c r="K23" s="5"/>
      <c r="L23" s="5"/>
    </row>
    <row r="24" spans="1:12">
      <c r="A24" s="6">
        <v>5</v>
      </c>
      <c r="B24" s="6">
        <v>5</v>
      </c>
      <c r="C24" s="6">
        <v>24</v>
      </c>
      <c r="D24" s="6">
        <f t="shared" ref="D24:D27" si="6">B24/C24</f>
        <v>0.20833333333333334</v>
      </c>
      <c r="E24" s="6">
        <v>2</v>
      </c>
      <c r="F24" s="6">
        <v>24</v>
      </c>
      <c r="G24" s="6">
        <f t="shared" ref="G24:G27" si="7">E24/F24</f>
        <v>8.3333333333333329E-2</v>
      </c>
      <c r="H24" s="5"/>
      <c r="I24" s="5"/>
      <c r="J24" s="5"/>
      <c r="K24" s="5"/>
      <c r="L24" s="5"/>
    </row>
    <row r="25" spans="1:12">
      <c r="A25" s="6">
        <v>6</v>
      </c>
      <c r="B25" s="6">
        <v>14</v>
      </c>
      <c r="C25" s="6">
        <v>24</v>
      </c>
      <c r="D25" s="6">
        <f t="shared" si="6"/>
        <v>0.58333333333333337</v>
      </c>
      <c r="E25" s="6">
        <v>9</v>
      </c>
      <c r="F25" s="6">
        <v>24</v>
      </c>
      <c r="G25" s="6">
        <f t="shared" si="7"/>
        <v>0.375</v>
      </c>
      <c r="H25" s="5"/>
      <c r="I25" s="5"/>
      <c r="J25" s="5"/>
      <c r="K25" s="5"/>
      <c r="L25" s="5"/>
    </row>
    <row r="26" spans="1:12">
      <c r="A26" s="6">
        <v>7</v>
      </c>
      <c r="B26" s="6">
        <v>9</v>
      </c>
      <c r="C26" s="6">
        <v>24</v>
      </c>
      <c r="D26" s="6">
        <f t="shared" si="6"/>
        <v>0.375</v>
      </c>
      <c r="E26" s="6">
        <v>3</v>
      </c>
      <c r="F26" s="6">
        <v>24</v>
      </c>
      <c r="G26" s="6">
        <f t="shared" si="7"/>
        <v>0.125</v>
      </c>
      <c r="H26" s="5"/>
      <c r="I26" s="5"/>
      <c r="J26" s="5"/>
      <c r="K26" s="5"/>
      <c r="L26" s="5"/>
    </row>
    <row r="27" spans="1:12">
      <c r="A27" s="6">
        <v>8</v>
      </c>
      <c r="B27" s="6">
        <v>3</v>
      </c>
      <c r="C27" s="6">
        <v>24</v>
      </c>
      <c r="D27" s="6">
        <f t="shared" si="6"/>
        <v>0.125</v>
      </c>
      <c r="E27" s="6">
        <v>1</v>
      </c>
      <c r="F27" s="6">
        <v>24</v>
      </c>
      <c r="G27" s="6">
        <f t="shared" si="7"/>
        <v>4.1666666666666664E-2</v>
      </c>
      <c r="H27" s="5"/>
      <c r="I27" s="5"/>
      <c r="J27" s="5"/>
      <c r="K27" s="5"/>
      <c r="L27" s="5"/>
    </row>
    <row r="28" spans="1:12">
      <c r="A28" s="6">
        <v>9</v>
      </c>
      <c r="B28" s="6"/>
      <c r="C28" s="6"/>
      <c r="D28" s="6"/>
      <c r="E28" s="6"/>
      <c r="F28" s="6"/>
      <c r="G28" s="6"/>
      <c r="H28" s="5"/>
      <c r="I28" s="5"/>
      <c r="J28" s="5"/>
      <c r="K28" s="5"/>
      <c r="L28" s="5"/>
    </row>
    <row r="29" spans="1:12">
      <c r="A29" s="6">
        <v>10</v>
      </c>
      <c r="B29" s="6"/>
      <c r="C29" s="6"/>
      <c r="D29" s="6"/>
      <c r="E29" s="6"/>
      <c r="F29" s="6"/>
      <c r="G29" s="6"/>
      <c r="H29" s="5"/>
      <c r="I29" s="5"/>
      <c r="J29" s="5"/>
      <c r="K29" s="5"/>
      <c r="L29" s="5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4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18" t="s">
        <v>9</v>
      </c>
      <c r="C32" s="21"/>
      <c r="D32" s="19"/>
      <c r="E32" s="20" t="s">
        <v>25</v>
      </c>
      <c r="F32" s="20"/>
      <c r="G32" s="20"/>
      <c r="H32" s="5"/>
      <c r="I32" s="5"/>
      <c r="J32" s="5"/>
      <c r="K32" s="6" t="s">
        <v>2</v>
      </c>
      <c r="L32" s="7" t="s">
        <v>3</v>
      </c>
    </row>
    <row r="33" spans="1:15">
      <c r="A33" s="8" t="s">
        <v>4</v>
      </c>
      <c r="B33" s="6" t="s">
        <v>5</v>
      </c>
      <c r="C33" s="6" t="s">
        <v>6</v>
      </c>
      <c r="D33" s="6" t="s">
        <v>7</v>
      </c>
      <c r="E33" s="6" t="s">
        <v>5</v>
      </c>
      <c r="F33" s="6" t="s">
        <v>6</v>
      </c>
      <c r="G33" s="6" t="s">
        <v>7</v>
      </c>
      <c r="H33" s="5"/>
      <c r="I33" s="20" t="s">
        <v>9</v>
      </c>
      <c r="J33" s="20"/>
      <c r="K33" s="6">
        <f>AVERAGE(D34:D43)</f>
        <v>0.45312500000000006</v>
      </c>
      <c r="L33" s="6">
        <f>STDEV(D34:D43)/SQRT(8)</f>
        <v>6.4182463655370905E-2</v>
      </c>
    </row>
    <row r="34" spans="1:15">
      <c r="A34" s="6">
        <v>1</v>
      </c>
      <c r="B34" s="6">
        <v>12</v>
      </c>
      <c r="C34" s="6">
        <v>24</v>
      </c>
      <c r="D34" s="6">
        <f>B34/C34</f>
        <v>0.5</v>
      </c>
      <c r="E34" s="6">
        <v>9</v>
      </c>
      <c r="F34" s="6">
        <v>24</v>
      </c>
      <c r="G34" s="6">
        <f>E34/F34</f>
        <v>0.375</v>
      </c>
      <c r="H34" s="5"/>
      <c r="I34" s="20" t="s">
        <v>21</v>
      </c>
      <c r="J34" s="20"/>
      <c r="K34" s="6">
        <f>AVERAGE(G34:G43)</f>
        <v>0.24999999999999997</v>
      </c>
      <c r="L34" s="6">
        <f>STDEV(G34:G43)/SQRT(8)</f>
        <v>5.3983205795288855E-2</v>
      </c>
      <c r="O34" s="2" t="s">
        <v>17</v>
      </c>
    </row>
    <row r="35" spans="1:15">
      <c r="A35" s="6">
        <v>2</v>
      </c>
      <c r="B35" s="6">
        <v>8</v>
      </c>
      <c r="C35" s="6">
        <v>24</v>
      </c>
      <c r="D35" s="6">
        <f t="shared" ref="D35:D36" si="8">B35/C35</f>
        <v>0.33333333333333331</v>
      </c>
      <c r="E35" s="6">
        <v>3</v>
      </c>
      <c r="F35" s="6">
        <v>24</v>
      </c>
      <c r="G35" s="6">
        <f t="shared" ref="G35:G36" si="9">E35/F35</f>
        <v>0.125</v>
      </c>
      <c r="H35" s="5"/>
    </row>
    <row r="36" spans="1:15">
      <c r="A36" s="6">
        <v>3</v>
      </c>
      <c r="B36" s="6">
        <v>16</v>
      </c>
      <c r="C36" s="6">
        <v>24</v>
      </c>
      <c r="D36" s="6">
        <f t="shared" si="8"/>
        <v>0.66666666666666663</v>
      </c>
      <c r="E36" s="6">
        <v>13</v>
      </c>
      <c r="F36" s="6">
        <v>24</v>
      </c>
      <c r="G36" s="6">
        <f t="shared" si="9"/>
        <v>0.54166666666666663</v>
      </c>
      <c r="H36" s="5"/>
      <c r="I36" s="5"/>
      <c r="J36" s="5"/>
      <c r="K36" s="5"/>
      <c r="L36" s="5"/>
    </row>
    <row r="37" spans="1:15">
      <c r="A37" s="6">
        <v>4</v>
      </c>
      <c r="B37" s="6">
        <v>9</v>
      </c>
      <c r="C37" s="6">
        <v>24</v>
      </c>
      <c r="D37" s="6">
        <f>B37/C37</f>
        <v>0.375</v>
      </c>
      <c r="E37" s="6">
        <v>4</v>
      </c>
      <c r="F37" s="6">
        <v>24</v>
      </c>
      <c r="G37" s="6">
        <f>E37/F37</f>
        <v>0.16666666666666666</v>
      </c>
      <c r="H37" s="5"/>
      <c r="I37" s="5"/>
      <c r="J37" s="5"/>
      <c r="K37" s="5"/>
      <c r="L37" s="5"/>
    </row>
    <row r="38" spans="1:15">
      <c r="A38" s="6">
        <v>5</v>
      </c>
      <c r="B38" s="6">
        <v>8</v>
      </c>
      <c r="C38" s="6">
        <v>24</v>
      </c>
      <c r="D38" s="6">
        <f t="shared" ref="D38:D41" si="10">B38/C38</f>
        <v>0.33333333333333331</v>
      </c>
      <c r="E38" s="6">
        <v>3</v>
      </c>
      <c r="F38" s="6">
        <v>24</v>
      </c>
      <c r="G38" s="6">
        <f t="shared" ref="G38:G41" si="11">E38/F38</f>
        <v>0.125</v>
      </c>
      <c r="H38" s="5"/>
      <c r="I38" s="5"/>
      <c r="J38" s="5"/>
      <c r="K38" s="5"/>
      <c r="L38" s="5"/>
    </row>
    <row r="39" spans="1:15">
      <c r="A39" s="6">
        <v>6</v>
      </c>
      <c r="B39" s="6">
        <v>18</v>
      </c>
      <c r="C39" s="6">
        <v>24</v>
      </c>
      <c r="D39" s="6">
        <f t="shared" si="10"/>
        <v>0.75</v>
      </c>
      <c r="E39" s="6">
        <v>8</v>
      </c>
      <c r="F39" s="6">
        <v>24</v>
      </c>
      <c r="G39" s="6">
        <f t="shared" si="11"/>
        <v>0.33333333333333331</v>
      </c>
      <c r="H39" s="5"/>
      <c r="I39" s="5"/>
      <c r="J39" s="5"/>
      <c r="K39" s="5"/>
      <c r="L39" s="5"/>
    </row>
    <row r="40" spans="1:15">
      <c r="A40" s="6">
        <v>7</v>
      </c>
      <c r="B40" s="6">
        <v>11</v>
      </c>
      <c r="C40" s="6">
        <v>24</v>
      </c>
      <c r="D40" s="6">
        <f t="shared" si="10"/>
        <v>0.45833333333333331</v>
      </c>
      <c r="E40" s="6">
        <v>5</v>
      </c>
      <c r="F40" s="6">
        <v>24</v>
      </c>
      <c r="G40" s="6">
        <f t="shared" si="11"/>
        <v>0.20833333333333334</v>
      </c>
      <c r="H40" s="5"/>
      <c r="I40" s="5"/>
      <c r="J40" s="5"/>
      <c r="K40" s="5"/>
      <c r="L40" s="5"/>
    </row>
    <row r="41" spans="1:15">
      <c r="A41" s="6">
        <v>8</v>
      </c>
      <c r="B41" s="6">
        <v>5</v>
      </c>
      <c r="C41" s="6">
        <v>24</v>
      </c>
      <c r="D41" s="6">
        <f t="shared" si="10"/>
        <v>0.20833333333333334</v>
      </c>
      <c r="E41" s="6">
        <v>3</v>
      </c>
      <c r="F41" s="6">
        <v>24</v>
      </c>
      <c r="G41" s="6">
        <f t="shared" si="11"/>
        <v>0.125</v>
      </c>
      <c r="H41" s="5"/>
      <c r="I41" s="5"/>
      <c r="J41" s="5"/>
      <c r="K41" s="5"/>
      <c r="L41" s="5"/>
    </row>
    <row r="42" spans="1:15">
      <c r="A42" s="6">
        <v>9</v>
      </c>
      <c r="B42" s="6"/>
      <c r="C42" s="6"/>
      <c r="D42" s="6"/>
      <c r="E42" s="6"/>
      <c r="F42" s="6"/>
      <c r="G42" s="6"/>
      <c r="H42" s="5"/>
      <c r="I42" s="5"/>
      <c r="J42" s="5"/>
      <c r="K42" s="5"/>
      <c r="L42" s="5"/>
    </row>
    <row r="43" spans="1:15">
      <c r="A43" s="6">
        <v>10</v>
      </c>
      <c r="B43" s="6"/>
      <c r="C43" s="6"/>
      <c r="D43" s="6"/>
      <c r="E43" s="6"/>
      <c r="F43" s="6"/>
      <c r="G43" s="6"/>
      <c r="H43" s="5"/>
      <c r="I43" s="5"/>
      <c r="J43" s="5"/>
      <c r="K43" s="5"/>
      <c r="L43" s="5"/>
    </row>
    <row r="45" spans="1:15">
      <c r="A45" s="4" t="s">
        <v>0</v>
      </c>
      <c r="B45" s="5"/>
      <c r="C45" s="5"/>
      <c r="D45" s="5"/>
      <c r="E45" s="5"/>
      <c r="F45" s="5"/>
      <c r="G45" s="5"/>
    </row>
    <row r="46" spans="1:15">
      <c r="A46" s="5"/>
      <c r="B46" s="18" t="s">
        <v>10</v>
      </c>
      <c r="C46" s="21"/>
      <c r="D46" s="19"/>
      <c r="E46" s="20" t="s">
        <v>26</v>
      </c>
      <c r="F46" s="20"/>
      <c r="G46" s="20"/>
      <c r="I46" s="5"/>
      <c r="J46" s="5"/>
      <c r="K46" s="6" t="s">
        <v>12</v>
      </c>
      <c r="L46" s="7" t="s">
        <v>3</v>
      </c>
    </row>
    <row r="47" spans="1:15">
      <c r="A47" s="8" t="s">
        <v>4</v>
      </c>
      <c r="B47" s="6" t="s">
        <v>5</v>
      </c>
      <c r="C47" s="6" t="s">
        <v>6</v>
      </c>
      <c r="D47" s="6" t="s">
        <v>7</v>
      </c>
      <c r="E47" s="6" t="s">
        <v>5</v>
      </c>
      <c r="F47" s="6" t="s">
        <v>6</v>
      </c>
      <c r="G47" s="6" t="s">
        <v>7</v>
      </c>
      <c r="I47" s="18" t="s">
        <v>18</v>
      </c>
      <c r="J47" s="19"/>
      <c r="K47" s="6">
        <f>AVERAGE(D48:D57)</f>
        <v>0.625</v>
      </c>
      <c r="L47" s="6">
        <f>STDEV(D48:D57)/SQRT(8)</f>
        <v>9.3169499062491237E-2</v>
      </c>
    </row>
    <row r="48" spans="1:15">
      <c r="A48" s="6">
        <v>1</v>
      </c>
      <c r="B48" s="6">
        <v>23</v>
      </c>
      <c r="C48" s="6">
        <v>24</v>
      </c>
      <c r="D48" s="6">
        <f>B48/C48</f>
        <v>0.95833333333333337</v>
      </c>
      <c r="E48" s="6">
        <v>17</v>
      </c>
      <c r="F48" s="6">
        <v>24</v>
      </c>
      <c r="G48" s="6">
        <f>E48/F48</f>
        <v>0.70833333333333337</v>
      </c>
      <c r="I48" s="18" t="s">
        <v>27</v>
      </c>
      <c r="J48" s="19"/>
      <c r="K48" s="6">
        <f>AVERAGE(G48:G57)</f>
        <v>0.46875000000000006</v>
      </c>
      <c r="L48" s="6">
        <f>STDEV(G48:G57)/SQRT(8)</f>
        <v>8.5082097374540436E-2</v>
      </c>
    </row>
    <row r="49" spans="1:7">
      <c r="A49" s="6">
        <v>2</v>
      </c>
      <c r="B49" s="6">
        <v>9</v>
      </c>
      <c r="C49" s="6">
        <v>24</v>
      </c>
      <c r="D49" s="6">
        <f t="shared" ref="D49:D50" si="12">B49/C49</f>
        <v>0.375</v>
      </c>
      <c r="E49" s="6">
        <v>5</v>
      </c>
      <c r="F49" s="6">
        <v>24</v>
      </c>
      <c r="G49" s="6">
        <f t="shared" ref="G49:G50" si="13">E49/F49</f>
        <v>0.20833333333333334</v>
      </c>
    </row>
    <row r="50" spans="1:7">
      <c r="A50" s="6">
        <v>3</v>
      </c>
      <c r="B50" s="6">
        <v>22</v>
      </c>
      <c r="C50" s="6">
        <v>24</v>
      </c>
      <c r="D50" s="6">
        <f t="shared" si="12"/>
        <v>0.91666666666666663</v>
      </c>
      <c r="E50" s="6">
        <v>19</v>
      </c>
      <c r="F50" s="6">
        <v>24</v>
      </c>
      <c r="G50" s="6">
        <f t="shared" si="13"/>
        <v>0.79166666666666663</v>
      </c>
    </row>
    <row r="51" spans="1:7">
      <c r="A51" s="6">
        <v>4</v>
      </c>
      <c r="B51" s="6">
        <v>16</v>
      </c>
      <c r="C51" s="6">
        <v>24</v>
      </c>
      <c r="D51" s="6">
        <f>B51/C51</f>
        <v>0.66666666666666663</v>
      </c>
      <c r="E51" s="6">
        <v>12</v>
      </c>
      <c r="F51" s="6">
        <v>24</v>
      </c>
      <c r="G51" s="6">
        <f>E51/F51</f>
        <v>0.5</v>
      </c>
    </row>
    <row r="52" spans="1:7">
      <c r="A52" s="6">
        <v>5</v>
      </c>
      <c r="B52" s="6">
        <v>8</v>
      </c>
      <c r="C52" s="6">
        <v>24</v>
      </c>
      <c r="D52" s="6">
        <f t="shared" ref="D52:D55" si="14">B52/C52</f>
        <v>0.33333333333333331</v>
      </c>
      <c r="E52" s="6">
        <v>7</v>
      </c>
      <c r="F52" s="6">
        <v>24</v>
      </c>
      <c r="G52" s="6">
        <f t="shared" ref="G52:G55" si="15">E52/F52</f>
        <v>0.29166666666666669</v>
      </c>
    </row>
    <row r="53" spans="1:7">
      <c r="A53" s="6">
        <v>6</v>
      </c>
      <c r="B53" s="6">
        <v>21</v>
      </c>
      <c r="C53" s="6">
        <v>24</v>
      </c>
      <c r="D53" s="6">
        <f t="shared" si="14"/>
        <v>0.875</v>
      </c>
      <c r="E53" s="6">
        <v>17</v>
      </c>
      <c r="F53" s="6">
        <v>24</v>
      </c>
      <c r="G53" s="6">
        <f t="shared" si="15"/>
        <v>0.70833333333333337</v>
      </c>
    </row>
    <row r="54" spans="1:7">
      <c r="A54" s="6">
        <v>7</v>
      </c>
      <c r="B54" s="6">
        <v>12</v>
      </c>
      <c r="C54" s="6">
        <v>24</v>
      </c>
      <c r="D54" s="6">
        <f t="shared" si="14"/>
        <v>0.5</v>
      </c>
      <c r="E54" s="6">
        <v>8</v>
      </c>
      <c r="F54" s="6">
        <v>24</v>
      </c>
      <c r="G54" s="6">
        <f t="shared" si="15"/>
        <v>0.33333333333333331</v>
      </c>
    </row>
    <row r="55" spans="1:7">
      <c r="A55" s="6">
        <v>8</v>
      </c>
      <c r="B55" s="6">
        <v>9</v>
      </c>
      <c r="C55" s="6">
        <v>24</v>
      </c>
      <c r="D55" s="6">
        <f t="shared" si="14"/>
        <v>0.375</v>
      </c>
      <c r="E55" s="6">
        <v>5</v>
      </c>
      <c r="F55" s="6">
        <v>24</v>
      </c>
      <c r="G55" s="6">
        <f t="shared" si="15"/>
        <v>0.20833333333333334</v>
      </c>
    </row>
    <row r="56" spans="1:7">
      <c r="A56" s="6">
        <v>9</v>
      </c>
      <c r="B56" s="6"/>
      <c r="C56" s="6"/>
      <c r="D56" s="6"/>
      <c r="E56" s="6"/>
      <c r="F56" s="6"/>
      <c r="G56" s="6"/>
    </row>
    <row r="57" spans="1:7">
      <c r="A57" s="6">
        <v>10</v>
      </c>
      <c r="B57" s="6"/>
      <c r="C57" s="6"/>
      <c r="D57" s="6"/>
      <c r="E57" s="6"/>
      <c r="F57" s="6"/>
      <c r="G57" s="6"/>
    </row>
  </sheetData>
  <mergeCells count="16">
    <mergeCell ref="B4:D4"/>
    <mergeCell ref="E4:G4"/>
    <mergeCell ref="B18:D18"/>
    <mergeCell ref="E18:G18"/>
    <mergeCell ref="I19:J19"/>
    <mergeCell ref="I20:J20"/>
    <mergeCell ref="B32:D32"/>
    <mergeCell ref="E32:G32"/>
    <mergeCell ref="I5:J5"/>
    <mergeCell ref="I6:J6"/>
    <mergeCell ref="I47:J47"/>
    <mergeCell ref="I48:J48"/>
    <mergeCell ref="I33:J33"/>
    <mergeCell ref="I34:J34"/>
    <mergeCell ref="B46:D46"/>
    <mergeCell ref="E46:G4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EDC0-C0C6-415F-9F02-232459196F9D}">
  <dimension ref="A1:Z1000"/>
  <sheetViews>
    <sheetView tabSelected="1" workbookViewId="0">
      <selection activeCell="J13" sqref="J13"/>
    </sheetView>
  </sheetViews>
  <sheetFormatPr defaultColWidth="14.44140625" defaultRowHeight="15" customHeight="1"/>
  <cols>
    <col min="1" max="26" width="9" style="12" customWidth="1"/>
    <col min="27" max="16384" width="14.44140625" style="12"/>
  </cols>
  <sheetData>
    <row r="1" spans="1:26" ht="14.25" customHeight="1">
      <c r="A1" s="9" t="s">
        <v>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1"/>
      <c r="Y1" s="11"/>
      <c r="Z1" s="11"/>
    </row>
    <row r="2" spans="1:26" ht="14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1"/>
      <c r="Y2" s="11"/>
      <c r="Z2" s="11"/>
    </row>
    <row r="3" spans="1:26" ht="14.25" customHeight="1">
      <c r="A3" s="9" t="s">
        <v>29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</row>
    <row r="4" spans="1:26" ht="11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11"/>
      <c r="P4" s="11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1.25" customHeight="1">
      <c r="A5" s="13" t="s">
        <v>30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0"/>
      <c r="N5" s="11"/>
      <c r="O5" s="11"/>
      <c r="P5" s="11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1.25" customHeight="1">
      <c r="A6" s="14"/>
      <c r="B6" s="24" t="s">
        <v>31</v>
      </c>
      <c r="C6" s="25"/>
      <c r="D6" s="26"/>
      <c r="E6" s="24" t="s">
        <v>23</v>
      </c>
      <c r="F6" s="25"/>
      <c r="G6" s="26"/>
      <c r="H6" s="14"/>
      <c r="I6" s="14"/>
      <c r="J6" s="14"/>
      <c r="K6" s="15" t="s">
        <v>12</v>
      </c>
      <c r="L6" s="16" t="s">
        <v>3</v>
      </c>
      <c r="M6" s="10"/>
      <c r="N6" s="11"/>
      <c r="O6" s="11"/>
      <c r="P6" s="11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1.25" customHeight="1">
      <c r="A7" s="17" t="s">
        <v>13</v>
      </c>
      <c r="B7" s="15" t="s">
        <v>5</v>
      </c>
      <c r="C7" s="15" t="s">
        <v>6</v>
      </c>
      <c r="D7" s="15" t="s">
        <v>7</v>
      </c>
      <c r="E7" s="15" t="s">
        <v>5</v>
      </c>
      <c r="F7" s="15" t="s">
        <v>6</v>
      </c>
      <c r="G7" s="15" t="s">
        <v>7</v>
      </c>
      <c r="H7" s="14"/>
      <c r="I7" s="27" t="s">
        <v>31</v>
      </c>
      <c r="J7" s="26"/>
      <c r="K7" s="15">
        <f>AVERAGE(D8:D17)</f>
        <v>0.30555555555555558</v>
      </c>
      <c r="L7" s="15">
        <f>STDEV(D8:D17)/SQRT(6)</f>
        <v>3.1671539586087212E-2</v>
      </c>
      <c r="M7" s="10"/>
      <c r="N7" s="11"/>
      <c r="O7" s="11"/>
      <c r="P7" s="11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1.25" customHeight="1">
      <c r="A8" s="15">
        <v>1</v>
      </c>
      <c r="B8" s="15">
        <v>10</v>
      </c>
      <c r="C8" s="15">
        <v>24</v>
      </c>
      <c r="D8" s="15">
        <f t="shared" ref="D8:D13" si="0">B8/C8</f>
        <v>0.41666666666666669</v>
      </c>
      <c r="E8" s="15">
        <v>9</v>
      </c>
      <c r="F8" s="15">
        <v>24</v>
      </c>
      <c r="G8" s="15">
        <f t="shared" ref="G8:G13" si="1">E8/F8</f>
        <v>0.375</v>
      </c>
      <c r="H8" s="14"/>
      <c r="I8" s="27" t="s">
        <v>19</v>
      </c>
      <c r="J8" s="26"/>
      <c r="K8" s="15">
        <f>AVERAGE(G8:G17)</f>
        <v>0.27083333333333331</v>
      </c>
      <c r="L8" s="15">
        <f>STDEV(D9:D18)/SQRT(6)</f>
        <v>2.5230419617479148E-2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1.25" customHeight="1">
      <c r="A9" s="15">
        <v>2</v>
      </c>
      <c r="B9" s="15">
        <v>6</v>
      </c>
      <c r="C9" s="15">
        <v>24</v>
      </c>
      <c r="D9" s="15">
        <f t="shared" si="0"/>
        <v>0.25</v>
      </c>
      <c r="E9" s="15">
        <v>6</v>
      </c>
      <c r="F9" s="15">
        <v>24</v>
      </c>
      <c r="G9" s="15">
        <f t="shared" si="1"/>
        <v>0.25</v>
      </c>
      <c r="H9" s="14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1.25" customHeight="1">
      <c r="A10" s="15">
        <v>3</v>
      </c>
      <c r="B10" s="15">
        <v>9</v>
      </c>
      <c r="C10" s="15">
        <v>24</v>
      </c>
      <c r="D10" s="15">
        <f t="shared" si="0"/>
        <v>0.375</v>
      </c>
      <c r="E10" s="15">
        <v>8</v>
      </c>
      <c r="F10" s="15">
        <v>24</v>
      </c>
      <c r="G10" s="15">
        <f t="shared" si="1"/>
        <v>0.33333333333333331</v>
      </c>
      <c r="H10" s="14"/>
      <c r="I10" s="14"/>
      <c r="J10" s="14"/>
      <c r="K10" s="14"/>
      <c r="L10" s="14"/>
      <c r="M10" s="10"/>
      <c r="N10" s="10"/>
      <c r="O10" s="13" t="s">
        <v>12</v>
      </c>
      <c r="P10" s="10"/>
      <c r="Q10" s="10"/>
      <c r="R10" s="10"/>
      <c r="S10" s="10"/>
      <c r="T10" s="9" t="s">
        <v>3</v>
      </c>
      <c r="U10" s="10"/>
      <c r="V10" s="10"/>
      <c r="W10" s="10"/>
      <c r="X10" s="10"/>
      <c r="Y10" s="10"/>
      <c r="Z10" s="10"/>
    </row>
    <row r="11" spans="1:26" ht="11.25" customHeight="1">
      <c r="A11" s="15">
        <v>4</v>
      </c>
      <c r="B11" s="15">
        <v>7</v>
      </c>
      <c r="C11" s="15">
        <v>24</v>
      </c>
      <c r="D11" s="15">
        <f t="shared" si="0"/>
        <v>0.29166666666666669</v>
      </c>
      <c r="E11" s="15">
        <v>7</v>
      </c>
      <c r="F11" s="15">
        <v>24</v>
      </c>
      <c r="G11" s="15">
        <f t="shared" si="1"/>
        <v>0.29166666666666669</v>
      </c>
      <c r="H11" s="14"/>
      <c r="I11" s="14"/>
      <c r="J11" s="14"/>
      <c r="K11" s="14"/>
      <c r="L11" s="14"/>
      <c r="M11" s="10"/>
      <c r="N11" s="9"/>
      <c r="O11" s="9">
        <v>10</v>
      </c>
      <c r="P11" s="9">
        <v>50</v>
      </c>
      <c r="Q11" s="9">
        <v>100</v>
      </c>
      <c r="R11" s="9">
        <v>500</v>
      </c>
      <c r="S11" s="9"/>
      <c r="T11" s="9">
        <v>10</v>
      </c>
      <c r="U11" s="9">
        <v>50</v>
      </c>
      <c r="V11" s="9">
        <v>100</v>
      </c>
      <c r="W11" s="9">
        <v>500</v>
      </c>
      <c r="X11" s="10"/>
      <c r="Y11" s="10"/>
      <c r="Z11" s="10"/>
    </row>
    <row r="12" spans="1:26" ht="11.25" customHeight="1">
      <c r="A12" s="15">
        <v>5</v>
      </c>
      <c r="B12" s="15">
        <v>7</v>
      </c>
      <c r="C12" s="15">
        <v>24</v>
      </c>
      <c r="D12" s="15">
        <f t="shared" si="0"/>
        <v>0.29166666666666669</v>
      </c>
      <c r="E12" s="15">
        <v>5</v>
      </c>
      <c r="F12" s="15">
        <v>24</v>
      </c>
      <c r="G12" s="15">
        <f t="shared" si="1"/>
        <v>0.20833333333333334</v>
      </c>
      <c r="H12" s="14"/>
      <c r="I12" s="14"/>
      <c r="J12" s="14"/>
      <c r="K12" s="14"/>
      <c r="L12" s="14"/>
      <c r="M12" s="10"/>
      <c r="N12" s="9" t="s">
        <v>32</v>
      </c>
      <c r="O12" s="10">
        <f t="shared" ref="O12:O13" si="2">K7</f>
        <v>0.30555555555555558</v>
      </c>
      <c r="P12" s="10">
        <f t="shared" ref="P12:P13" si="3">K21</f>
        <v>0.39583333333333331</v>
      </c>
      <c r="Q12" s="10">
        <f t="shared" ref="Q12:Q13" si="4">K35</f>
        <v>0.52083333333333326</v>
      </c>
      <c r="R12" s="10">
        <f t="shared" ref="R12:R13" si="5">K49</f>
        <v>0.69444444444444431</v>
      </c>
      <c r="S12" s="10"/>
      <c r="T12" s="10">
        <f t="shared" ref="T12:T13" si="6">L7</f>
        <v>3.1671539586087212E-2</v>
      </c>
      <c r="U12" s="10">
        <f t="shared" ref="U12:U13" si="7">L21</f>
        <v>4.4030187455964882E-2</v>
      </c>
      <c r="V12" s="10">
        <f t="shared" ref="V12:V13" si="8">L35</f>
        <v>7.3558681538141032E-2</v>
      </c>
      <c r="W12" s="10">
        <f t="shared" ref="W12" si="9">L49</f>
        <v>6.7757282875836142E-2</v>
      </c>
      <c r="X12" s="10"/>
      <c r="Y12" s="10"/>
      <c r="Z12" s="10"/>
    </row>
    <row r="13" spans="1:26" ht="11.25" customHeight="1">
      <c r="A13" s="15">
        <v>6</v>
      </c>
      <c r="B13" s="15">
        <v>5</v>
      </c>
      <c r="C13" s="15">
        <v>24</v>
      </c>
      <c r="D13" s="15">
        <f t="shared" si="0"/>
        <v>0.20833333333333334</v>
      </c>
      <c r="E13" s="15">
        <v>4</v>
      </c>
      <c r="F13" s="15">
        <v>24</v>
      </c>
      <c r="G13" s="15">
        <f t="shared" si="1"/>
        <v>0.16666666666666666</v>
      </c>
      <c r="H13" s="14"/>
      <c r="I13" s="14"/>
      <c r="J13" s="14"/>
      <c r="K13" s="14"/>
      <c r="L13" s="14"/>
      <c r="M13" s="10"/>
      <c r="N13" s="9" t="s">
        <v>22</v>
      </c>
      <c r="O13" s="10">
        <f t="shared" si="2"/>
        <v>0.27083333333333331</v>
      </c>
      <c r="P13" s="10">
        <f t="shared" si="3"/>
        <v>0.33333333333333331</v>
      </c>
      <c r="Q13" s="10">
        <f t="shared" si="4"/>
        <v>0.44444444444444442</v>
      </c>
      <c r="R13" s="10">
        <f t="shared" si="5"/>
        <v>0.67361111111111105</v>
      </c>
      <c r="S13" s="10"/>
      <c r="T13" s="10">
        <f t="shared" si="6"/>
        <v>2.5230419617479148E-2</v>
      </c>
      <c r="U13" s="10">
        <f t="shared" si="7"/>
        <v>3.6877550131532648E-2</v>
      </c>
      <c r="V13" s="10">
        <f t="shared" si="8"/>
        <v>7.07515868163891E-2</v>
      </c>
      <c r="W13" s="10">
        <f>L50</f>
        <v>5.7181080139552615E-2</v>
      </c>
      <c r="X13" s="10"/>
      <c r="Y13" s="10"/>
      <c r="Z13" s="10"/>
    </row>
    <row r="14" spans="1:26" ht="11.25" customHeight="1">
      <c r="A14" s="15">
        <v>7</v>
      </c>
      <c r="B14" s="15"/>
      <c r="C14" s="15"/>
      <c r="D14" s="15"/>
      <c r="E14" s="15"/>
      <c r="F14" s="15"/>
      <c r="G14" s="15"/>
      <c r="H14" s="14"/>
      <c r="I14" s="14"/>
      <c r="J14" s="14"/>
      <c r="K14" s="14"/>
      <c r="L14" s="14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1.25" customHeight="1">
      <c r="A15" s="15">
        <v>8</v>
      </c>
      <c r="B15" s="15"/>
      <c r="C15" s="15"/>
      <c r="D15" s="15"/>
      <c r="E15" s="15"/>
      <c r="F15" s="15"/>
      <c r="G15" s="15"/>
      <c r="H15" s="14"/>
      <c r="I15" s="14"/>
      <c r="J15" s="14"/>
      <c r="K15" s="14"/>
      <c r="L15" s="1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1.25" customHeight="1">
      <c r="A16" s="15">
        <v>9</v>
      </c>
      <c r="B16" s="15"/>
      <c r="C16" s="15"/>
      <c r="D16" s="15"/>
      <c r="E16" s="15"/>
      <c r="F16" s="15"/>
      <c r="G16" s="15"/>
      <c r="H16" s="14"/>
      <c r="I16" s="14"/>
      <c r="J16" s="14"/>
      <c r="K16" s="14"/>
      <c r="L16" s="14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1.25" customHeight="1">
      <c r="A17" s="15">
        <v>10</v>
      </c>
      <c r="B17" s="15"/>
      <c r="C17" s="15"/>
      <c r="D17" s="15"/>
      <c r="E17" s="15"/>
      <c r="F17" s="15"/>
      <c r="G17" s="15"/>
      <c r="H17" s="14"/>
      <c r="I17" s="14"/>
      <c r="J17" s="14"/>
      <c r="K17" s="14"/>
      <c r="L17" s="14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1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1.25" customHeight="1">
      <c r="A19" s="13" t="s">
        <v>30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1.25" customHeight="1">
      <c r="A20" s="14"/>
      <c r="B20" s="24" t="s">
        <v>33</v>
      </c>
      <c r="C20" s="25"/>
      <c r="D20" s="26"/>
      <c r="E20" s="24" t="s">
        <v>24</v>
      </c>
      <c r="F20" s="25"/>
      <c r="G20" s="26"/>
      <c r="H20" s="14"/>
      <c r="I20" s="14"/>
      <c r="J20" s="14"/>
      <c r="K20" s="15" t="s">
        <v>12</v>
      </c>
      <c r="L20" s="16" t="s">
        <v>3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1.25" customHeight="1">
      <c r="A21" s="17" t="s">
        <v>13</v>
      </c>
      <c r="B21" s="15" t="s">
        <v>5</v>
      </c>
      <c r="C21" s="15" t="s">
        <v>6</v>
      </c>
      <c r="D21" s="15" t="s">
        <v>7</v>
      </c>
      <c r="E21" s="15" t="s">
        <v>5</v>
      </c>
      <c r="F21" s="15" t="s">
        <v>6</v>
      </c>
      <c r="G21" s="15" t="s">
        <v>7</v>
      </c>
      <c r="H21" s="14"/>
      <c r="I21" s="24" t="s">
        <v>33</v>
      </c>
      <c r="J21" s="26"/>
      <c r="K21" s="15">
        <f>AVERAGE(D22:D31)</f>
        <v>0.39583333333333331</v>
      </c>
      <c r="L21" s="15">
        <f>STDEV(D22:D31)/SQRT(6)</f>
        <v>4.4030187455964882E-2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1.25" customHeight="1">
      <c r="A22" s="15">
        <v>1</v>
      </c>
      <c r="B22" s="15">
        <v>13</v>
      </c>
      <c r="C22" s="15">
        <v>24</v>
      </c>
      <c r="D22" s="15">
        <f t="shared" ref="D22:D27" si="10">B22/C22</f>
        <v>0.54166666666666663</v>
      </c>
      <c r="E22" s="15">
        <v>11</v>
      </c>
      <c r="F22" s="15">
        <v>24</v>
      </c>
      <c r="G22" s="15">
        <f t="shared" ref="G22:G27" si="11">E22/F22</f>
        <v>0.45833333333333331</v>
      </c>
      <c r="H22" s="14"/>
      <c r="I22" s="24" t="s">
        <v>20</v>
      </c>
      <c r="J22" s="26"/>
      <c r="K22" s="15">
        <f>AVERAGE(G22:G31)</f>
        <v>0.33333333333333331</v>
      </c>
      <c r="L22" s="15">
        <f>STDEV(D23:D32)/SQRT(6)</f>
        <v>3.6877550131532648E-2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1.25" customHeight="1">
      <c r="A23" s="15">
        <v>2</v>
      </c>
      <c r="B23" s="15">
        <v>8</v>
      </c>
      <c r="C23" s="15">
        <v>24</v>
      </c>
      <c r="D23" s="15">
        <f t="shared" si="10"/>
        <v>0.33333333333333331</v>
      </c>
      <c r="E23" s="15">
        <v>7</v>
      </c>
      <c r="F23" s="15">
        <v>24</v>
      </c>
      <c r="G23" s="15">
        <f t="shared" si="11"/>
        <v>0.29166666666666669</v>
      </c>
      <c r="H23" s="14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1.25" customHeight="1">
      <c r="A24" s="15">
        <v>3</v>
      </c>
      <c r="B24" s="15">
        <v>11</v>
      </c>
      <c r="C24" s="15">
        <v>24</v>
      </c>
      <c r="D24" s="15">
        <f t="shared" si="10"/>
        <v>0.45833333333333331</v>
      </c>
      <c r="E24" s="15">
        <v>10</v>
      </c>
      <c r="F24" s="15">
        <v>24</v>
      </c>
      <c r="G24" s="15">
        <f t="shared" si="11"/>
        <v>0.41666666666666669</v>
      </c>
      <c r="H24" s="14"/>
      <c r="I24" s="14"/>
      <c r="J24" s="14"/>
      <c r="K24" s="14"/>
      <c r="L24" s="14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1.25" customHeight="1">
      <c r="A25" s="15">
        <v>4</v>
      </c>
      <c r="B25" s="15">
        <v>8</v>
      </c>
      <c r="C25" s="15">
        <v>24</v>
      </c>
      <c r="D25" s="15">
        <f t="shared" si="10"/>
        <v>0.33333333333333331</v>
      </c>
      <c r="E25" s="15">
        <v>6</v>
      </c>
      <c r="F25" s="15">
        <v>24</v>
      </c>
      <c r="G25" s="15">
        <f t="shared" si="11"/>
        <v>0.25</v>
      </c>
      <c r="H25" s="14"/>
      <c r="I25" s="14"/>
      <c r="J25" s="14"/>
      <c r="K25" s="14"/>
      <c r="L25" s="1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1.25" customHeight="1">
      <c r="A26" s="15">
        <v>5</v>
      </c>
      <c r="B26" s="15">
        <v>11</v>
      </c>
      <c r="C26" s="15">
        <v>24</v>
      </c>
      <c r="D26" s="15">
        <f t="shared" si="10"/>
        <v>0.45833333333333331</v>
      </c>
      <c r="E26" s="15">
        <v>9</v>
      </c>
      <c r="F26" s="15">
        <v>24</v>
      </c>
      <c r="G26" s="15">
        <f t="shared" si="11"/>
        <v>0.375</v>
      </c>
      <c r="H26" s="14"/>
      <c r="I26" s="14"/>
      <c r="J26" s="14"/>
      <c r="K26" s="14"/>
      <c r="L26" s="14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1.25" customHeight="1">
      <c r="A27" s="15">
        <v>6</v>
      </c>
      <c r="B27" s="15">
        <v>6</v>
      </c>
      <c r="C27" s="15">
        <v>24</v>
      </c>
      <c r="D27" s="15">
        <f t="shared" si="10"/>
        <v>0.25</v>
      </c>
      <c r="E27" s="15">
        <v>5</v>
      </c>
      <c r="F27" s="15">
        <v>24</v>
      </c>
      <c r="G27" s="15">
        <f t="shared" si="11"/>
        <v>0.20833333333333334</v>
      </c>
      <c r="H27" s="14"/>
      <c r="I27" s="14"/>
      <c r="J27" s="14"/>
      <c r="K27" s="14"/>
      <c r="L27" s="14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1.25" customHeight="1">
      <c r="A28" s="15">
        <v>7</v>
      </c>
      <c r="B28" s="15"/>
      <c r="C28" s="15"/>
      <c r="D28" s="15"/>
      <c r="E28" s="15"/>
      <c r="F28" s="15"/>
      <c r="G28" s="15"/>
      <c r="H28" s="14"/>
      <c r="I28" s="14"/>
      <c r="J28" s="14"/>
      <c r="K28" s="14"/>
      <c r="L28" s="14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1.25" customHeight="1">
      <c r="A29" s="15">
        <v>8</v>
      </c>
      <c r="B29" s="15"/>
      <c r="C29" s="15"/>
      <c r="D29" s="15"/>
      <c r="E29" s="15"/>
      <c r="F29" s="15"/>
      <c r="G29" s="15"/>
      <c r="H29" s="14"/>
      <c r="I29" s="14"/>
      <c r="J29" s="14"/>
      <c r="K29" s="14"/>
      <c r="L29" s="14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1.25" customHeight="1">
      <c r="A30" s="15">
        <v>9</v>
      </c>
      <c r="B30" s="15"/>
      <c r="C30" s="15"/>
      <c r="D30" s="15"/>
      <c r="E30" s="15"/>
      <c r="F30" s="15"/>
      <c r="G30" s="15"/>
      <c r="H30" s="14"/>
      <c r="I30" s="14"/>
      <c r="J30" s="14"/>
      <c r="K30" s="14"/>
      <c r="L30" s="14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1.25" customHeight="1">
      <c r="A31" s="15">
        <v>10</v>
      </c>
      <c r="B31" s="15"/>
      <c r="C31" s="15"/>
      <c r="D31" s="15"/>
      <c r="E31" s="15"/>
      <c r="F31" s="15"/>
      <c r="G31" s="15"/>
      <c r="H31" s="14"/>
      <c r="I31" s="14"/>
      <c r="J31" s="14"/>
      <c r="K31" s="14"/>
      <c r="L31" s="14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1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1.25" customHeight="1">
      <c r="A33" s="13" t="s">
        <v>30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1.25" customHeight="1">
      <c r="A34" s="14"/>
      <c r="B34" s="24" t="s">
        <v>34</v>
      </c>
      <c r="C34" s="25"/>
      <c r="D34" s="26"/>
      <c r="E34" s="24" t="s">
        <v>25</v>
      </c>
      <c r="F34" s="25"/>
      <c r="G34" s="26"/>
      <c r="H34" s="14"/>
      <c r="I34" s="14"/>
      <c r="J34" s="14"/>
      <c r="K34" s="15" t="s">
        <v>12</v>
      </c>
      <c r="L34" s="16" t="s">
        <v>3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1.25" customHeight="1">
      <c r="A35" s="17" t="s">
        <v>13</v>
      </c>
      <c r="B35" s="15" t="s">
        <v>5</v>
      </c>
      <c r="C35" s="15" t="s">
        <v>6</v>
      </c>
      <c r="D35" s="15" t="s">
        <v>7</v>
      </c>
      <c r="E35" s="15" t="s">
        <v>5</v>
      </c>
      <c r="F35" s="15" t="s">
        <v>6</v>
      </c>
      <c r="G35" s="15" t="s">
        <v>7</v>
      </c>
      <c r="H35" s="14"/>
      <c r="I35" s="24" t="s">
        <v>34</v>
      </c>
      <c r="J35" s="26"/>
      <c r="K35" s="15">
        <f>AVERAGE(D36:D45)</f>
        <v>0.52083333333333326</v>
      </c>
      <c r="L35" s="15">
        <f>STDEV(D36:D45)/SQRT(6)</f>
        <v>7.3558681538141032E-2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1.25" customHeight="1">
      <c r="A36" s="15">
        <v>1</v>
      </c>
      <c r="B36" s="15">
        <v>17</v>
      </c>
      <c r="C36" s="15">
        <v>24</v>
      </c>
      <c r="D36" s="15">
        <f t="shared" ref="D36:D41" si="12">B36/C36</f>
        <v>0.70833333333333337</v>
      </c>
      <c r="E36" s="15">
        <v>17</v>
      </c>
      <c r="F36" s="15">
        <v>24</v>
      </c>
      <c r="G36" s="15">
        <f t="shared" ref="G36:G39" si="13">E36/F36</f>
        <v>0.70833333333333337</v>
      </c>
      <c r="H36" s="14"/>
      <c r="I36" s="24" t="s">
        <v>21</v>
      </c>
      <c r="J36" s="26"/>
      <c r="K36" s="15">
        <f>AVERAGE(G36:G45)</f>
        <v>0.44444444444444442</v>
      </c>
      <c r="L36" s="15">
        <f>STDEV(D37:D46)/SQRT(6)</f>
        <v>7.07515868163891E-2</v>
      </c>
      <c r="M36" s="10"/>
      <c r="N36" s="10"/>
      <c r="O36" s="10" t="s">
        <v>35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1.25" customHeight="1">
      <c r="A37" s="15">
        <v>2</v>
      </c>
      <c r="B37" s="15">
        <v>10</v>
      </c>
      <c r="C37" s="15">
        <v>24</v>
      </c>
      <c r="D37" s="15">
        <f t="shared" si="12"/>
        <v>0.41666666666666669</v>
      </c>
      <c r="E37" s="15">
        <v>8</v>
      </c>
      <c r="F37" s="15">
        <v>24</v>
      </c>
      <c r="G37" s="15">
        <f t="shared" si="13"/>
        <v>0.33333333333333331</v>
      </c>
      <c r="H37" s="14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1.25" customHeight="1">
      <c r="A38" s="15">
        <v>3</v>
      </c>
      <c r="B38" s="15">
        <v>18</v>
      </c>
      <c r="C38" s="15">
        <v>24</v>
      </c>
      <c r="D38" s="15">
        <f t="shared" si="12"/>
        <v>0.75</v>
      </c>
      <c r="E38" s="15">
        <v>17</v>
      </c>
      <c r="F38" s="15">
        <v>24</v>
      </c>
      <c r="G38" s="15">
        <f t="shared" si="13"/>
        <v>0.70833333333333337</v>
      </c>
      <c r="H38" s="14"/>
      <c r="I38" s="14"/>
      <c r="J38" s="14"/>
      <c r="K38" s="14"/>
      <c r="L38" s="14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1.25" customHeight="1">
      <c r="A39" s="15">
        <v>4</v>
      </c>
      <c r="B39" s="15">
        <v>13</v>
      </c>
      <c r="C39" s="15">
        <v>24</v>
      </c>
      <c r="D39" s="15">
        <f t="shared" si="12"/>
        <v>0.54166666666666663</v>
      </c>
      <c r="E39" s="15">
        <v>9</v>
      </c>
      <c r="F39" s="15">
        <v>24</v>
      </c>
      <c r="G39" s="15">
        <f t="shared" si="13"/>
        <v>0.375</v>
      </c>
      <c r="H39" s="14"/>
      <c r="I39" s="14"/>
      <c r="J39" s="14"/>
      <c r="K39" s="14"/>
      <c r="L39" s="14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1.25" customHeight="1">
      <c r="A40" s="15">
        <v>5</v>
      </c>
      <c r="B40" s="15">
        <v>10</v>
      </c>
      <c r="C40" s="15">
        <v>24</v>
      </c>
      <c r="D40" s="15">
        <f t="shared" si="12"/>
        <v>0.41666666666666669</v>
      </c>
      <c r="E40" s="15">
        <v>7</v>
      </c>
      <c r="F40" s="15">
        <v>24</v>
      </c>
      <c r="G40" s="15">
        <f>E40/F40</f>
        <v>0.29166666666666669</v>
      </c>
      <c r="H40" s="14"/>
      <c r="I40" s="14"/>
      <c r="J40" s="14"/>
      <c r="K40" s="14"/>
      <c r="L40" s="14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1.25" customHeight="1">
      <c r="A41" s="15">
        <v>6</v>
      </c>
      <c r="B41" s="15">
        <v>7</v>
      </c>
      <c r="C41" s="15">
        <v>24</v>
      </c>
      <c r="D41" s="15">
        <f t="shared" si="12"/>
        <v>0.29166666666666669</v>
      </c>
      <c r="E41" s="15">
        <v>6</v>
      </c>
      <c r="F41" s="15">
        <v>24</v>
      </c>
      <c r="G41" s="15">
        <f>E41/F41</f>
        <v>0.25</v>
      </c>
      <c r="H41" s="14"/>
      <c r="I41" s="14"/>
      <c r="J41" s="14"/>
      <c r="K41" s="14"/>
      <c r="L41" s="14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1.25" customHeight="1">
      <c r="A42" s="15">
        <v>7</v>
      </c>
      <c r="B42" s="15"/>
      <c r="C42" s="15"/>
      <c r="D42" s="15"/>
      <c r="E42" s="15"/>
      <c r="F42" s="15"/>
      <c r="G42" s="15"/>
      <c r="H42" s="14"/>
      <c r="I42" s="14"/>
      <c r="J42" s="14"/>
      <c r="K42" s="14"/>
      <c r="L42" s="14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1.25" customHeight="1">
      <c r="A43" s="15">
        <v>8</v>
      </c>
      <c r="B43" s="15"/>
      <c r="C43" s="15"/>
      <c r="D43" s="15"/>
      <c r="E43" s="15"/>
      <c r="F43" s="15"/>
      <c r="G43" s="15"/>
      <c r="H43" s="14"/>
      <c r="I43" s="14"/>
      <c r="J43" s="14"/>
      <c r="K43" s="14"/>
      <c r="L43" s="14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1.25" customHeight="1">
      <c r="A44" s="15">
        <v>9</v>
      </c>
      <c r="B44" s="15"/>
      <c r="C44" s="15"/>
      <c r="D44" s="15"/>
      <c r="E44" s="15"/>
      <c r="F44" s="15"/>
      <c r="G44" s="15"/>
      <c r="H44" s="14"/>
      <c r="I44" s="14"/>
      <c r="J44" s="14"/>
      <c r="K44" s="14"/>
      <c r="L44" s="14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1.25" customHeight="1">
      <c r="A45" s="15">
        <v>10</v>
      </c>
      <c r="B45" s="15"/>
      <c r="C45" s="15"/>
      <c r="D45" s="15"/>
      <c r="E45" s="15"/>
      <c r="F45" s="15"/>
      <c r="G45" s="15"/>
      <c r="H45" s="14"/>
      <c r="I45" s="14"/>
      <c r="J45" s="14"/>
      <c r="K45" s="14"/>
      <c r="L45" s="14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1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1.25" customHeight="1">
      <c r="A47" s="13" t="s">
        <v>30</v>
      </c>
      <c r="B47" s="14"/>
      <c r="C47" s="14"/>
      <c r="D47" s="14"/>
      <c r="E47" s="14"/>
      <c r="F47" s="14"/>
      <c r="G47" s="14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1.25" customHeight="1">
      <c r="A48" s="14"/>
      <c r="B48" s="24" t="s">
        <v>18</v>
      </c>
      <c r="C48" s="25"/>
      <c r="D48" s="26"/>
      <c r="E48" s="24" t="s">
        <v>26</v>
      </c>
      <c r="F48" s="25"/>
      <c r="G48" s="26"/>
      <c r="H48" s="10"/>
      <c r="I48" s="14"/>
      <c r="J48" s="14"/>
      <c r="K48" s="15" t="s">
        <v>12</v>
      </c>
      <c r="L48" s="16" t="s">
        <v>3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1.25" customHeight="1">
      <c r="A49" s="17" t="s">
        <v>13</v>
      </c>
      <c r="B49" s="15" t="s">
        <v>5</v>
      </c>
      <c r="C49" s="15" t="s">
        <v>6</v>
      </c>
      <c r="D49" s="15" t="s">
        <v>7</v>
      </c>
      <c r="E49" s="15" t="s">
        <v>5</v>
      </c>
      <c r="F49" s="15" t="s">
        <v>6</v>
      </c>
      <c r="G49" s="15" t="s">
        <v>7</v>
      </c>
      <c r="H49" s="10"/>
      <c r="I49" s="24" t="s">
        <v>18</v>
      </c>
      <c r="J49" s="26"/>
      <c r="K49" s="15">
        <f>AVERAGE(D50:D59)</f>
        <v>0.69444444444444431</v>
      </c>
      <c r="L49" s="15">
        <f>STDEV(D50:D59)/SQRT(6)</f>
        <v>6.7757282875836142E-2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1.25" customHeight="1">
      <c r="A50" s="15">
        <v>1</v>
      </c>
      <c r="B50" s="15">
        <v>22</v>
      </c>
      <c r="C50" s="15">
        <v>24</v>
      </c>
      <c r="D50" s="15">
        <f t="shared" ref="D50:D55" si="14">B50/C50</f>
        <v>0.91666666666666663</v>
      </c>
      <c r="E50" s="15">
        <v>21</v>
      </c>
      <c r="F50" s="15">
        <v>24</v>
      </c>
      <c r="G50" s="15">
        <f t="shared" ref="G50:G55" si="15">E50/F50</f>
        <v>0.875</v>
      </c>
      <c r="H50" s="10"/>
      <c r="I50" s="24" t="s">
        <v>27</v>
      </c>
      <c r="J50" s="26"/>
      <c r="K50" s="15">
        <f>AVERAGE(G50:G59)</f>
        <v>0.67361111111111105</v>
      </c>
      <c r="L50" s="15">
        <f>STDEV(D51:D60)/SQRT(6)</f>
        <v>5.7181080139552615E-2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1.25" customHeight="1">
      <c r="A51" s="15">
        <v>2</v>
      </c>
      <c r="B51" s="15">
        <v>15</v>
      </c>
      <c r="C51" s="15">
        <v>24</v>
      </c>
      <c r="D51" s="15">
        <f t="shared" si="14"/>
        <v>0.625</v>
      </c>
      <c r="E51" s="15">
        <v>16</v>
      </c>
      <c r="F51" s="15">
        <v>24</v>
      </c>
      <c r="G51" s="15">
        <f t="shared" si="15"/>
        <v>0.66666666666666663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1.25" customHeight="1">
      <c r="A52" s="15">
        <v>3</v>
      </c>
      <c r="B52" s="15">
        <v>21</v>
      </c>
      <c r="C52" s="15">
        <v>24</v>
      </c>
      <c r="D52" s="15">
        <f t="shared" si="14"/>
        <v>0.875</v>
      </c>
      <c r="E52" s="15">
        <v>19</v>
      </c>
      <c r="F52" s="15">
        <v>24</v>
      </c>
      <c r="G52" s="15">
        <f t="shared" si="15"/>
        <v>0.79166666666666663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1.25" customHeight="1">
      <c r="A53" s="15">
        <v>4</v>
      </c>
      <c r="B53" s="15">
        <v>16</v>
      </c>
      <c r="C53" s="15">
        <v>24</v>
      </c>
      <c r="D53" s="15">
        <f t="shared" si="14"/>
        <v>0.66666666666666663</v>
      </c>
      <c r="E53" s="15">
        <v>15</v>
      </c>
      <c r="F53" s="15">
        <v>24</v>
      </c>
      <c r="G53" s="15">
        <f t="shared" si="15"/>
        <v>0.625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1.25" customHeight="1">
      <c r="A54" s="15">
        <v>5</v>
      </c>
      <c r="B54" s="15">
        <v>14</v>
      </c>
      <c r="C54" s="15">
        <v>24</v>
      </c>
      <c r="D54" s="15">
        <f t="shared" si="14"/>
        <v>0.58333333333333337</v>
      </c>
      <c r="E54" s="15">
        <v>14</v>
      </c>
      <c r="F54" s="15">
        <v>24</v>
      </c>
      <c r="G54" s="15">
        <f t="shared" si="15"/>
        <v>0.58333333333333337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1.25" customHeight="1">
      <c r="A55" s="15">
        <v>6</v>
      </c>
      <c r="B55" s="15">
        <v>12</v>
      </c>
      <c r="C55" s="15">
        <v>24</v>
      </c>
      <c r="D55" s="15">
        <f t="shared" si="14"/>
        <v>0.5</v>
      </c>
      <c r="E55" s="15">
        <v>12</v>
      </c>
      <c r="F55" s="15">
        <v>24</v>
      </c>
      <c r="G55" s="15">
        <f t="shared" si="15"/>
        <v>0.5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1.25" customHeight="1">
      <c r="A56" s="15">
        <v>7</v>
      </c>
      <c r="B56" s="15"/>
      <c r="C56" s="15"/>
      <c r="D56" s="15"/>
      <c r="E56" s="15"/>
      <c r="F56" s="15"/>
      <c r="G56" s="15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1.25" customHeight="1">
      <c r="A57" s="15">
        <v>8</v>
      </c>
      <c r="B57" s="15"/>
      <c r="C57" s="15"/>
      <c r="D57" s="15"/>
      <c r="E57" s="15"/>
      <c r="F57" s="15"/>
      <c r="G57" s="15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1.25" customHeight="1">
      <c r="A58" s="15">
        <v>9</v>
      </c>
      <c r="B58" s="15"/>
      <c r="C58" s="15"/>
      <c r="D58" s="15"/>
      <c r="E58" s="15"/>
      <c r="F58" s="15"/>
      <c r="G58" s="15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1.25" customHeight="1">
      <c r="A59" s="15">
        <v>10</v>
      </c>
      <c r="B59" s="15"/>
      <c r="C59" s="15"/>
      <c r="D59" s="15"/>
      <c r="E59" s="15"/>
      <c r="F59" s="15"/>
      <c r="G59" s="1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1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1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1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1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1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1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1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1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1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1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1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1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1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1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1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1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1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1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1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1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1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1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1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1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1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1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1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1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1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1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1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1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1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1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1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1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1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1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1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1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1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1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1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1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1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1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1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1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1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1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1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1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1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1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1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1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1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1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1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1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1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1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1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1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1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1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1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1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1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1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1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1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1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1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1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1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1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1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1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1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1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1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1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1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1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1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1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1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1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1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1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1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1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1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1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1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1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1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1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1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1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1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1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1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1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1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1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1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1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1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1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1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1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1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1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1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1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1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1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1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1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1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1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1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1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1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1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1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1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1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1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1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1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1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1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1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1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1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1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1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1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1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1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1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1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1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1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1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1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1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1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1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1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1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1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1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1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1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1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1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1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1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1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1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1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1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1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1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1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1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1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1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1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1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1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1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1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1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1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1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1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1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1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1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1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1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1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1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1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1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1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1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1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1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1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1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1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1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1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1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1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1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1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1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1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1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1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1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1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1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1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1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1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1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1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1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1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1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1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1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1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1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1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1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1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1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1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1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1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1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1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1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1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1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1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1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1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1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1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1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1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1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1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1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1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1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1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1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1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1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1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1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1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1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1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1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1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1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1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1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1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1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1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1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1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1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1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1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1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1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1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1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1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1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1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1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1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1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1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1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1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1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1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1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1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1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1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1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1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1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1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1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1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1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1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1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1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1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1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1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1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1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1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1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1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1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1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1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1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1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1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1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1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1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1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1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1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1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1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1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1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1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1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1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1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1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1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1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1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1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1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1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1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1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1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1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1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1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1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1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1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1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1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1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1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1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1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1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1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1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1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1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1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1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1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1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1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1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1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1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1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1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1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1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1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1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1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1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1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1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1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1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1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1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1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1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1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1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1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1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1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1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1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1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1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1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1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1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1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1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1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1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1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1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1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1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1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1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1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1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1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1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1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1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1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1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1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1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1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1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1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1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1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1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1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1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1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1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1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1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1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1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1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1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1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1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1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1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1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1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1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1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1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1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1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1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1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1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1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1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1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1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1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1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1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1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1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1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1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1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1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1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1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1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1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1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1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1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1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1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1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1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1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1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1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1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1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1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1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1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1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1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1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1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1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1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1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1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1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1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1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1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1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1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1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1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1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1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1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1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1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1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1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1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1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1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1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1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1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1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1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1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1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1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1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1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1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1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1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1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1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1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1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1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1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1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1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1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1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1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1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1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1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1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1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1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1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1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1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1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1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1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1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1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1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1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1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1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1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1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1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1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1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1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1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1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1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1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1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1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1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1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1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1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1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1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1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1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1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1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1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1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1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1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1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1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1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1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1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1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1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1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1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1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1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1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1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1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1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1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1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1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1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1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1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1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1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1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1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1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1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1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1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1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1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1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1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1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1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1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1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1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1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1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1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1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1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1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1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1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1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1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1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1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1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1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1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1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1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1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1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1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1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1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1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1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1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1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1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1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1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1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1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1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1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1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1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1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1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1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1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1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1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1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1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1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1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1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1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1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1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1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1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1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1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1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1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1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1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1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1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1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1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1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1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1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1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1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1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1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1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1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1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1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1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1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1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1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1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1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1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1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1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1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1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1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1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1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1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1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1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1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1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1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1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1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1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1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1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1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1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1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1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1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1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1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1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1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1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1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1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1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1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1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1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1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1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1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1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1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1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1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1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1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1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1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1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1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1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1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1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1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1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1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1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1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1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1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1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1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1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1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1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1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1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1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1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1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1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1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1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1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1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1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1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1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1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1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1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1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1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1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1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1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1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1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1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1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1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1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1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1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1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1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1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1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1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1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1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1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1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1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1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1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1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1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1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1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1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1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1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1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1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1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1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1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1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1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1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1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1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1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1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1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1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1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1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1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1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1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1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1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1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1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1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1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1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1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1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1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1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1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1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1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1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1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1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1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1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1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1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1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1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1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1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1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1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1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1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1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1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1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1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1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1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1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1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1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1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1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1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1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1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1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1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1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1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1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1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1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1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1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1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1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1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1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1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1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1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1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1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1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1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1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1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1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1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1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1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1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1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1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1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1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1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1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1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1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1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1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1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1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1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1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1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1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1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1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1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1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1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1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1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1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1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1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1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1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1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1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1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1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1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1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1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1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1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1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1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1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1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1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1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1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1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1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1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6">
    <mergeCell ref="B48:D48"/>
    <mergeCell ref="E48:G48"/>
    <mergeCell ref="I49:J49"/>
    <mergeCell ref="I50:J50"/>
    <mergeCell ref="I21:J21"/>
    <mergeCell ref="I22:J22"/>
    <mergeCell ref="B34:D34"/>
    <mergeCell ref="E34:G34"/>
    <mergeCell ref="I35:J35"/>
    <mergeCell ref="I36:J36"/>
    <mergeCell ref="B6:D6"/>
    <mergeCell ref="E6:G6"/>
    <mergeCell ref="I7:J7"/>
    <mergeCell ref="I8:J8"/>
    <mergeCell ref="B20:D20"/>
    <mergeCell ref="E20:G20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tarsal dose 2511</vt:lpstr>
      <vt:lpstr>labial dose 2511</vt:lpstr>
      <vt:lpstr>Sheet2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2025-11-18T04:57:20Z</dcterms:modified>
</cp:coreProperties>
</file>