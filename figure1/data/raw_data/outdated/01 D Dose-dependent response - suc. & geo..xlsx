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andesilva\Desktop\"/>
    </mc:Choice>
  </mc:AlternateContent>
  <bookViews>
    <workbookView xWindow="5280" yWindow="2250" windowWidth="27480" windowHeight="12885"/>
  </bookViews>
  <sheets>
    <sheet name="01 D" sheetId="3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" i="3" l="1"/>
  <c r="L50" i="3" l="1"/>
  <c r="L49" i="3"/>
  <c r="L36" i="3"/>
  <c r="L35" i="3"/>
  <c r="L22" i="3"/>
  <c r="L21" i="3"/>
  <c r="L8" i="3"/>
  <c r="L7" i="3"/>
  <c r="G55" i="3" l="1"/>
  <c r="D55" i="3"/>
  <c r="G54" i="3"/>
  <c r="D54" i="3"/>
  <c r="G53" i="3"/>
  <c r="D53" i="3"/>
  <c r="G52" i="3"/>
  <c r="D52" i="3"/>
  <c r="G51" i="3"/>
  <c r="D51" i="3"/>
  <c r="K50" i="3"/>
  <c r="R13" i="3" s="1"/>
  <c r="G50" i="3"/>
  <c r="D50" i="3"/>
  <c r="K49" i="3"/>
  <c r="G41" i="3"/>
  <c r="D41" i="3"/>
  <c r="G40" i="3"/>
  <c r="D40" i="3"/>
  <c r="G39" i="3"/>
  <c r="D39" i="3"/>
  <c r="G38" i="3"/>
  <c r="D38" i="3"/>
  <c r="G37" i="3"/>
  <c r="D37" i="3"/>
  <c r="V13" i="3"/>
  <c r="K36" i="3"/>
  <c r="Q13" i="3" s="1"/>
  <c r="G36" i="3"/>
  <c r="D36" i="3"/>
  <c r="V12" i="3"/>
  <c r="K35" i="3"/>
  <c r="G27" i="3"/>
  <c r="D27" i="3"/>
  <c r="G26" i="3"/>
  <c r="D26" i="3"/>
  <c r="G25" i="3"/>
  <c r="D25" i="3"/>
  <c r="G24" i="3"/>
  <c r="K22" i="3" s="1"/>
  <c r="P13" i="3" s="1"/>
  <c r="D24" i="3"/>
  <c r="G23" i="3"/>
  <c r="D23" i="3"/>
  <c r="G22" i="3"/>
  <c r="D22" i="3"/>
  <c r="U12" i="3"/>
  <c r="K21" i="3"/>
  <c r="P12" i="3" s="1"/>
  <c r="U13" i="3"/>
  <c r="G13" i="3"/>
  <c r="D13" i="3"/>
  <c r="W12" i="3"/>
  <c r="R12" i="3"/>
  <c r="Q12" i="3"/>
  <c r="G12" i="3"/>
  <c r="D12" i="3"/>
  <c r="G11" i="3"/>
  <c r="D11" i="3"/>
  <c r="G10" i="3"/>
  <c r="K8" i="3" s="1"/>
  <c r="O13" i="3" s="1"/>
  <c r="D10" i="3"/>
  <c r="G9" i="3"/>
  <c r="D9" i="3"/>
  <c r="T13" i="3"/>
  <c r="G8" i="3"/>
  <c r="D8" i="3"/>
  <c r="T12" i="3"/>
  <c r="K7" i="3"/>
  <c r="O12" i="3" s="1"/>
</calcChain>
</file>

<file path=xl/sharedStrings.xml><?xml version="1.0" encoding="utf-8"?>
<sst xmlns="http://schemas.openxmlformats.org/spreadsheetml/2006/main" count="63" uniqueCount="24">
  <si>
    <t>SEM</t>
  </si>
  <si>
    <t>Response</t>
  </si>
  <si>
    <t>Total</t>
  </si>
  <si>
    <t>Response Rate</t>
  </si>
  <si>
    <t>PER (average)</t>
  </si>
  <si>
    <t>Plate #</t>
  </si>
  <si>
    <t xml:space="preserve">With starvation - Tarsal PER </t>
  </si>
  <si>
    <t>w1118 (wildtype)</t>
  </si>
  <si>
    <t>10mM Suc.</t>
  </si>
  <si>
    <t>Suc.</t>
  </si>
  <si>
    <t>50mM Suc.</t>
  </si>
  <si>
    <t>100mM Suc.</t>
  </si>
  <si>
    <t xml:space="preserve">  </t>
  </si>
  <si>
    <t>500mM Suc.</t>
  </si>
  <si>
    <t>10mM Suc. + 1% Geo.</t>
  </si>
  <si>
    <t>50mM Suc. + 1% Geo.</t>
  </si>
  <si>
    <t>100mM Suc. + 1% Geo.</t>
  </si>
  <si>
    <t>Suc. &amp; 1% Geo.</t>
  </si>
  <si>
    <t>10mM Suc. + 1% Geo</t>
  </si>
  <si>
    <t>50mM Suc. + 1% Geo</t>
  </si>
  <si>
    <t>100mM Suc. + 1% Geo</t>
  </si>
  <si>
    <t>500mM Suc. + 1% Geo</t>
  </si>
  <si>
    <t xml:space="preserve">Fed - labellar PER/ Modified PER </t>
  </si>
  <si>
    <t>500mM Suc. + 1% Geo.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</si>
</sst>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29"/>
      <scheme val="minor"/>
    </font>
    <font>
      <sz val="11"/>
      <color theme="1"/>
      <name val="Calibri"/>
      <scheme val="minor"/>
    </font>
    <font>
      <b/>
      <sz val="8"/>
      <color theme="1"/>
      <name val="Arial"/>
    </font>
    <font>
      <sz val="8"/>
      <color theme="1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1" fillId="0" borderId="0" xfId="1" applyFont="1" applyAlignme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2" xfId="1" applyFont="1" applyBorder="1"/>
    <xf numFmtId="0" fontId="4" fillId="0" borderId="3" xfId="1" applyFont="1" applyBorder="1"/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Suc.</c:v>
          </c:tx>
          <c:spPr>
            <a:ln w="19050"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'01 D'!$T$12:$W$12</c:f>
                <c:numCache>
                  <c:formatCode>General</c:formatCode>
                  <c:ptCount val="4"/>
                  <c:pt idx="0">
                    <c:v>1.6154537139053314E-2</c:v>
                  </c:pt>
                  <c:pt idx="1">
                    <c:v>3.3847103503482093E-2</c:v>
                  </c:pt>
                  <c:pt idx="2">
                    <c:v>2.4579496222270104E-2</c:v>
                  </c:pt>
                  <c:pt idx="3">
                    <c:v>2.3322226333059276E-2</c:v>
                  </c:pt>
                </c:numCache>
              </c:numRef>
            </c:plus>
            <c:minus>
              <c:numRef>
                <c:f>'01 D'!$T$12:$W$12</c:f>
                <c:numCache>
                  <c:formatCode>General</c:formatCode>
                  <c:ptCount val="4"/>
                  <c:pt idx="0">
                    <c:v>1.6154537139053314E-2</c:v>
                  </c:pt>
                  <c:pt idx="1">
                    <c:v>3.3847103503482093E-2</c:v>
                  </c:pt>
                  <c:pt idx="2">
                    <c:v>2.4579496222270104E-2</c:v>
                  </c:pt>
                  <c:pt idx="3">
                    <c:v>2.3322226333059276E-2</c:v>
                  </c:pt>
                </c:numCache>
              </c:numRef>
            </c:minus>
          </c:errBars>
          <c:cat>
            <c:numRef>
              <c:f>'01 D'!$O$11:$R$11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'01 D'!$O$12:$R$12</c:f>
              <c:numCache>
                <c:formatCode>General</c:formatCode>
                <c:ptCount val="4"/>
                <c:pt idx="0">
                  <c:v>0.3003129117259552</c:v>
                </c:pt>
                <c:pt idx="1">
                  <c:v>0.383618796662275</c:v>
                </c:pt>
                <c:pt idx="2">
                  <c:v>0.5505050505050505</c:v>
                </c:pt>
                <c:pt idx="3">
                  <c:v>0.73690711462450587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4-4671-8ECE-6741320F5562}"/>
            </c:ext>
          </c:extLst>
        </c:ser>
        <c:ser>
          <c:idx val="1"/>
          <c:order val="1"/>
          <c:tx>
            <c:v>Suc. &amp; 1% Geo.</c:v>
          </c:tx>
          <c:spPr>
            <a:ln w="19050" cmpd="sng">
              <a:solidFill>
                <a:schemeClr val="accent3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'01 D'!$T$13:$W$13</c:f>
                <c:numCache>
                  <c:formatCode>General</c:formatCode>
                  <c:ptCount val="4"/>
                  <c:pt idx="0">
                    <c:v>1.6483140646274434E-2</c:v>
                  </c:pt>
                  <c:pt idx="1">
                    <c:v>2.7473692779683798E-2</c:v>
                  </c:pt>
                  <c:pt idx="2">
                    <c:v>2.6482158815003206E-2</c:v>
                  </c:pt>
                  <c:pt idx="3">
                    <c:v>2.5910164396241549E-2</c:v>
                  </c:pt>
                </c:numCache>
              </c:numRef>
            </c:plus>
            <c:minus>
              <c:numRef>
                <c:f>'01 D'!$T$13:$W$13</c:f>
                <c:numCache>
                  <c:formatCode>General</c:formatCode>
                  <c:ptCount val="4"/>
                  <c:pt idx="0">
                    <c:v>1.6483140646274434E-2</c:v>
                  </c:pt>
                  <c:pt idx="1">
                    <c:v>2.7473692779683798E-2</c:v>
                  </c:pt>
                  <c:pt idx="2">
                    <c:v>2.6482158815003206E-2</c:v>
                  </c:pt>
                  <c:pt idx="3">
                    <c:v>2.5910164396241549E-2</c:v>
                  </c:pt>
                </c:numCache>
              </c:numRef>
            </c:minus>
          </c:errBars>
          <c:cat>
            <c:numRef>
              <c:f>'01 D'!$O$11:$R$11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'01 D'!$O$13:$R$13</c:f>
              <c:numCache>
                <c:formatCode>General</c:formatCode>
                <c:ptCount val="4"/>
                <c:pt idx="0">
                  <c:v>0.29336846728151078</c:v>
                </c:pt>
                <c:pt idx="1">
                  <c:v>0.32839262187088275</c:v>
                </c:pt>
                <c:pt idx="2">
                  <c:v>0.46374066754501536</c:v>
                </c:pt>
                <c:pt idx="3">
                  <c:v>0.71456411945542386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C4-4671-8ECE-6741320F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062063"/>
        <c:axId val="1024602455"/>
      </c:lineChart>
      <c:catAx>
        <c:axId val="180106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800" b="0" i="0">
                    <a:solidFill>
                      <a:srgbClr val="000000"/>
                    </a:solidFill>
                    <a:latin typeface="Arial"/>
                  </a:rPr>
                  <a:t>[Sucrose] (mM)</a:t>
                </a:r>
              </a:p>
            </c:rich>
          </c:tx>
          <c:layout>
            <c:manualLayout>
              <c:xMode val="edge"/>
              <c:yMode val="edge"/>
              <c:x val="0.40298437310720775"/>
              <c:y val="0.77212789316881159"/>
            </c:manualLayout>
          </c:layout>
          <c:overlay val="0"/>
        </c:title>
        <c:numFmt formatCode="General" sourceLinked="1"/>
        <c:majorTickMark val="none"/>
        <c:minorTickMark val="out"/>
        <c:tickLblPos val="nextTo"/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24602455"/>
        <c:crosses val="autoZero"/>
        <c:auto val="1"/>
        <c:lblAlgn val="ctr"/>
        <c:lblOffset val="100"/>
        <c:noMultiLvlLbl val="1"/>
      </c:catAx>
      <c:valAx>
        <c:axId val="1024602455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800" b="0" i="0">
                    <a:solidFill>
                      <a:srgbClr val="000000"/>
                    </a:solidFill>
                    <a:latin typeface="Arial"/>
                  </a:rPr>
                  <a:t>Labellar PER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01062063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20</xdr:row>
      <xdr:rowOff>0</xdr:rowOff>
    </xdr:from>
    <xdr:ext cx="1800225" cy="22955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DF9FF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66675</xdr:colOff>
      <xdr:row>20</xdr:row>
      <xdr:rowOff>123825</xdr:rowOff>
    </xdr:from>
    <xdr:ext cx="733425" cy="2286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467725" y="3095625"/>
          <a:ext cx="7334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Fed, W</a:t>
          </a:r>
          <a:r>
            <a:rPr lang="en-US" sz="900" b="0" baseline="30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1118</a:t>
          </a:r>
          <a:endParaRPr sz="9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U35" sqref="U35"/>
    </sheetView>
  </sheetViews>
  <sheetFormatPr defaultColWidth="14.42578125" defaultRowHeight="15" customHeight="1"/>
  <cols>
    <col min="1" max="26" width="9" style="4" customWidth="1"/>
    <col min="27" max="16384" width="14.42578125" style="4"/>
  </cols>
  <sheetData>
    <row r="1" spans="1:26" ht="14.25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 spans="1:26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</row>
    <row r="3" spans="1:26" ht="14.25" customHeight="1">
      <c r="A3" s="1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</row>
    <row r="4" spans="1:26" ht="11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5" t="s">
        <v>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2"/>
      <c r="N5" s="3"/>
      <c r="O5" s="3"/>
      <c r="P5" s="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6"/>
      <c r="B6" s="10" t="s">
        <v>8</v>
      </c>
      <c r="C6" s="11"/>
      <c r="D6" s="12"/>
      <c r="E6" s="10" t="s">
        <v>18</v>
      </c>
      <c r="F6" s="11"/>
      <c r="G6" s="12"/>
      <c r="H6" s="6"/>
      <c r="I6" s="6"/>
      <c r="J6" s="6"/>
      <c r="K6" s="7" t="s">
        <v>4</v>
      </c>
      <c r="L6" s="8" t="s">
        <v>0</v>
      </c>
      <c r="M6" s="2"/>
      <c r="N6" s="3"/>
      <c r="O6" s="3"/>
      <c r="P6" s="3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9" t="s">
        <v>5</v>
      </c>
      <c r="B7" s="7" t="s">
        <v>1</v>
      </c>
      <c r="C7" s="7" t="s">
        <v>2</v>
      </c>
      <c r="D7" s="7" t="s">
        <v>3</v>
      </c>
      <c r="E7" s="7" t="s">
        <v>1</v>
      </c>
      <c r="F7" s="7" t="s">
        <v>2</v>
      </c>
      <c r="G7" s="7" t="s">
        <v>3</v>
      </c>
      <c r="H7" s="6"/>
      <c r="I7" s="13" t="s">
        <v>8</v>
      </c>
      <c r="J7" s="12"/>
      <c r="K7" s="7">
        <f>AVERAGE(D8:D17)</f>
        <v>0.3003129117259552</v>
      </c>
      <c r="L7" s="7">
        <f>STDEV(D8:D17)/SQRT(6)</f>
        <v>1.6154537139053314E-2</v>
      </c>
      <c r="M7" s="2"/>
      <c r="N7" s="3"/>
      <c r="O7" s="3"/>
      <c r="P7" s="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7">
        <v>1</v>
      </c>
      <c r="B8" s="7">
        <v>8</v>
      </c>
      <c r="C8" s="7">
        <v>24</v>
      </c>
      <c r="D8" s="7">
        <f t="shared" ref="D8:D13" si="0">B8/C8</f>
        <v>0.33333333333333331</v>
      </c>
      <c r="E8" s="7">
        <v>6</v>
      </c>
      <c r="F8" s="7">
        <v>24</v>
      </c>
      <c r="G8" s="7">
        <f t="shared" ref="G8:G13" si="1">E8/F8</f>
        <v>0.25</v>
      </c>
      <c r="H8" s="6"/>
      <c r="I8" s="13" t="s">
        <v>14</v>
      </c>
      <c r="J8" s="12"/>
      <c r="K8" s="7">
        <f>AVERAGE(G8:G17)</f>
        <v>0.29336846728151078</v>
      </c>
      <c r="L8" s="7">
        <f>STDEV(D9:D18)/SQRT(6)</f>
        <v>1.6483140646274434E-2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7">
        <v>2</v>
      </c>
      <c r="B9" s="7">
        <v>6</v>
      </c>
      <c r="C9" s="7">
        <v>24</v>
      </c>
      <c r="D9" s="7">
        <f t="shared" si="0"/>
        <v>0.25</v>
      </c>
      <c r="E9" s="7">
        <v>7</v>
      </c>
      <c r="F9" s="7">
        <v>24</v>
      </c>
      <c r="G9" s="7">
        <f t="shared" si="1"/>
        <v>0.29166666666666669</v>
      </c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7">
        <v>3</v>
      </c>
      <c r="B10" s="7">
        <v>6</v>
      </c>
      <c r="C10" s="7">
        <v>23</v>
      </c>
      <c r="D10" s="7">
        <f t="shared" si="0"/>
        <v>0.2608695652173913</v>
      </c>
      <c r="E10" s="7">
        <v>7</v>
      </c>
      <c r="F10" s="7">
        <v>23</v>
      </c>
      <c r="G10" s="7">
        <f t="shared" si="1"/>
        <v>0.30434782608695654</v>
      </c>
      <c r="H10" s="6"/>
      <c r="I10" s="6"/>
      <c r="J10" s="6"/>
      <c r="K10" s="6"/>
      <c r="L10" s="6"/>
      <c r="M10" s="2"/>
      <c r="N10" s="2"/>
      <c r="O10" s="5" t="s">
        <v>4</v>
      </c>
      <c r="P10" s="2"/>
      <c r="Q10" s="2"/>
      <c r="R10" s="2"/>
      <c r="S10" s="2"/>
      <c r="T10" s="1" t="s">
        <v>0</v>
      </c>
      <c r="U10" s="2"/>
      <c r="V10" s="2"/>
      <c r="W10" s="2"/>
      <c r="X10" s="2"/>
      <c r="Y10" s="2"/>
      <c r="Z10" s="2"/>
    </row>
    <row r="11" spans="1:26" ht="11.25" customHeight="1">
      <c r="A11" s="7">
        <v>4</v>
      </c>
      <c r="B11" s="7">
        <v>7</v>
      </c>
      <c r="C11" s="7">
        <v>22</v>
      </c>
      <c r="D11" s="7">
        <f t="shared" si="0"/>
        <v>0.31818181818181818</v>
      </c>
      <c r="E11" s="7">
        <v>7</v>
      </c>
      <c r="F11" s="7">
        <v>22</v>
      </c>
      <c r="G11" s="7">
        <f t="shared" si="1"/>
        <v>0.31818181818181818</v>
      </c>
      <c r="H11" s="6"/>
      <c r="I11" s="6"/>
      <c r="J11" s="6"/>
      <c r="K11" s="6"/>
      <c r="L11" s="6"/>
      <c r="M11" s="2"/>
      <c r="N11" s="1"/>
      <c r="O11" s="1">
        <v>10</v>
      </c>
      <c r="P11" s="1">
        <v>50</v>
      </c>
      <c r="Q11" s="1">
        <v>100</v>
      </c>
      <c r="R11" s="1">
        <v>500</v>
      </c>
      <c r="S11" s="1"/>
      <c r="T11" s="1">
        <v>10</v>
      </c>
      <c r="U11" s="1">
        <v>50</v>
      </c>
      <c r="V11" s="1">
        <v>100</v>
      </c>
      <c r="W11" s="1">
        <v>500</v>
      </c>
      <c r="X11" s="2"/>
      <c r="Y11" s="2"/>
      <c r="Z11" s="2"/>
    </row>
    <row r="12" spans="1:26" ht="11.25" customHeight="1">
      <c r="A12" s="7">
        <v>5</v>
      </c>
      <c r="B12" s="7">
        <v>7</v>
      </c>
      <c r="C12" s="7">
        <v>24</v>
      </c>
      <c r="D12" s="7">
        <f t="shared" si="0"/>
        <v>0.29166666666666669</v>
      </c>
      <c r="E12" s="7">
        <v>7</v>
      </c>
      <c r="F12" s="7">
        <v>24</v>
      </c>
      <c r="G12" s="7">
        <f t="shared" si="1"/>
        <v>0.29166666666666669</v>
      </c>
      <c r="H12" s="6"/>
      <c r="I12" s="6"/>
      <c r="J12" s="6"/>
      <c r="K12" s="6"/>
      <c r="L12" s="6"/>
      <c r="M12" s="2"/>
      <c r="N12" s="1" t="s">
        <v>9</v>
      </c>
      <c r="O12" s="2">
        <f t="shared" ref="O12:O13" si="2">K7</f>
        <v>0.3003129117259552</v>
      </c>
      <c r="P12" s="2">
        <f t="shared" ref="P12:P13" si="3">K21</f>
        <v>0.383618796662275</v>
      </c>
      <c r="Q12" s="2">
        <f t="shared" ref="Q12:Q13" si="4">K35</f>
        <v>0.5505050505050505</v>
      </c>
      <c r="R12" s="2">
        <f t="shared" ref="R12:R13" si="5">K49</f>
        <v>0.73690711462450587</v>
      </c>
      <c r="S12" s="2"/>
      <c r="T12" s="2">
        <f t="shared" ref="T12:T13" si="6">L7</f>
        <v>1.6154537139053314E-2</v>
      </c>
      <c r="U12" s="2">
        <f t="shared" ref="U12:U13" si="7">L21</f>
        <v>3.3847103503482093E-2</v>
      </c>
      <c r="V12" s="2">
        <f t="shared" ref="V12:V13" si="8">L35</f>
        <v>2.4579496222270104E-2</v>
      </c>
      <c r="W12" s="2">
        <f t="shared" ref="W12" si="9">L49</f>
        <v>2.3322226333059276E-2</v>
      </c>
      <c r="X12" s="2"/>
      <c r="Y12" s="2"/>
      <c r="Z12" s="2"/>
    </row>
    <row r="13" spans="1:26" ht="11.25" customHeight="1">
      <c r="A13" s="7">
        <v>6</v>
      </c>
      <c r="B13" s="7">
        <v>8</v>
      </c>
      <c r="C13" s="7">
        <v>23</v>
      </c>
      <c r="D13" s="7">
        <f t="shared" si="0"/>
        <v>0.34782608695652173</v>
      </c>
      <c r="E13" s="7">
        <v>7</v>
      </c>
      <c r="F13" s="7">
        <v>23</v>
      </c>
      <c r="G13" s="7">
        <f t="shared" si="1"/>
        <v>0.30434782608695654</v>
      </c>
      <c r="H13" s="6"/>
      <c r="I13" s="6"/>
      <c r="J13" s="6"/>
      <c r="K13" s="6"/>
      <c r="L13" s="6"/>
      <c r="M13" s="2"/>
      <c r="N13" s="1" t="s">
        <v>17</v>
      </c>
      <c r="O13" s="2">
        <f t="shared" si="2"/>
        <v>0.29336846728151078</v>
      </c>
      <c r="P13" s="2">
        <f t="shared" si="3"/>
        <v>0.32839262187088275</v>
      </c>
      <c r="Q13" s="2">
        <f t="shared" si="4"/>
        <v>0.46374066754501536</v>
      </c>
      <c r="R13" s="2">
        <f t="shared" si="5"/>
        <v>0.71456411945542386</v>
      </c>
      <c r="S13" s="2"/>
      <c r="T13" s="2">
        <f t="shared" si="6"/>
        <v>1.6483140646274434E-2</v>
      </c>
      <c r="U13" s="2">
        <f t="shared" si="7"/>
        <v>2.7473692779683798E-2</v>
      </c>
      <c r="V13" s="2">
        <f t="shared" si="8"/>
        <v>2.6482158815003206E-2</v>
      </c>
      <c r="W13" s="2">
        <f>L50</f>
        <v>2.5910164396241549E-2</v>
      </c>
      <c r="X13" s="2"/>
      <c r="Y13" s="2"/>
      <c r="Z13" s="2"/>
    </row>
    <row r="14" spans="1:26" ht="11.25" customHeight="1">
      <c r="A14" s="7">
        <v>7</v>
      </c>
      <c r="B14" s="7"/>
      <c r="C14" s="7"/>
      <c r="D14" s="7"/>
      <c r="E14" s="7"/>
      <c r="F14" s="7"/>
      <c r="G14" s="7"/>
      <c r="H14" s="6"/>
      <c r="I14" s="6"/>
      <c r="J14" s="6"/>
      <c r="K14" s="6"/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7">
        <v>8</v>
      </c>
      <c r="B15" s="7"/>
      <c r="C15" s="7"/>
      <c r="D15" s="7"/>
      <c r="E15" s="7"/>
      <c r="F15" s="7"/>
      <c r="G15" s="7"/>
      <c r="H15" s="6"/>
      <c r="I15" s="6"/>
      <c r="J15" s="6"/>
      <c r="K15" s="6"/>
      <c r="L15" s="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7">
        <v>9</v>
      </c>
      <c r="B16" s="7"/>
      <c r="C16" s="7"/>
      <c r="D16" s="7"/>
      <c r="E16" s="7"/>
      <c r="F16" s="7"/>
      <c r="G16" s="7"/>
      <c r="H16" s="6"/>
      <c r="I16" s="6"/>
      <c r="J16" s="6"/>
      <c r="K16" s="6"/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7">
        <v>10</v>
      </c>
      <c r="B17" s="7"/>
      <c r="C17" s="7"/>
      <c r="D17" s="7"/>
      <c r="E17" s="7"/>
      <c r="F17" s="7"/>
      <c r="G17" s="7"/>
      <c r="H17" s="6"/>
      <c r="I17" s="6"/>
      <c r="J17" s="6"/>
      <c r="K17" s="6"/>
      <c r="L17" s="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5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6"/>
      <c r="B20" s="10" t="s">
        <v>10</v>
      </c>
      <c r="C20" s="11"/>
      <c r="D20" s="12"/>
      <c r="E20" s="10" t="s">
        <v>19</v>
      </c>
      <c r="F20" s="11"/>
      <c r="G20" s="12"/>
      <c r="H20" s="6"/>
      <c r="I20" s="6"/>
      <c r="J20" s="6"/>
      <c r="K20" s="7" t="s">
        <v>4</v>
      </c>
      <c r="L20" s="8" t="s"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9" t="s">
        <v>5</v>
      </c>
      <c r="B21" s="7" t="s">
        <v>1</v>
      </c>
      <c r="C21" s="7" t="s">
        <v>2</v>
      </c>
      <c r="D21" s="7" t="s">
        <v>3</v>
      </c>
      <c r="E21" s="7" t="s">
        <v>1</v>
      </c>
      <c r="F21" s="7" t="s">
        <v>2</v>
      </c>
      <c r="G21" s="7" t="s">
        <v>3</v>
      </c>
      <c r="H21" s="6"/>
      <c r="I21" s="10" t="s">
        <v>10</v>
      </c>
      <c r="J21" s="12"/>
      <c r="K21" s="7">
        <f>AVERAGE(D22:D31)</f>
        <v>0.383618796662275</v>
      </c>
      <c r="L21" s="7">
        <f>STDEV(D22:D31)/SQRT(6)</f>
        <v>3.3847103503482093E-2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7">
        <v>1</v>
      </c>
      <c r="B22" s="7">
        <v>12</v>
      </c>
      <c r="C22" s="7">
        <v>24</v>
      </c>
      <c r="D22" s="7">
        <f t="shared" ref="D22:D27" si="10">B22/C22</f>
        <v>0.5</v>
      </c>
      <c r="E22" s="7">
        <v>10</v>
      </c>
      <c r="F22" s="7">
        <v>24</v>
      </c>
      <c r="G22" s="7">
        <f t="shared" ref="G22:G27" si="11">E22/F22</f>
        <v>0.41666666666666669</v>
      </c>
      <c r="H22" s="6"/>
      <c r="I22" s="10" t="s">
        <v>15</v>
      </c>
      <c r="J22" s="12"/>
      <c r="K22" s="7">
        <f>AVERAGE(G22:G31)</f>
        <v>0.32839262187088275</v>
      </c>
      <c r="L22" s="7">
        <f>STDEV(D23:D32)/SQRT(6)</f>
        <v>2.7473692779683798E-2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7">
        <v>2</v>
      </c>
      <c r="B23" s="7">
        <v>10</v>
      </c>
      <c r="C23" s="7">
        <v>24</v>
      </c>
      <c r="D23" s="7">
        <f t="shared" si="10"/>
        <v>0.41666666666666669</v>
      </c>
      <c r="E23" s="7">
        <v>6</v>
      </c>
      <c r="F23" s="7">
        <v>24</v>
      </c>
      <c r="G23" s="7">
        <f t="shared" si="11"/>
        <v>0.25</v>
      </c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7">
        <v>3</v>
      </c>
      <c r="B24" s="7">
        <v>7</v>
      </c>
      <c r="C24" s="7">
        <v>23</v>
      </c>
      <c r="D24" s="7">
        <f t="shared" si="10"/>
        <v>0.30434782608695654</v>
      </c>
      <c r="E24" s="7">
        <v>7</v>
      </c>
      <c r="F24" s="7">
        <v>23</v>
      </c>
      <c r="G24" s="7">
        <f t="shared" si="11"/>
        <v>0.30434782608695654</v>
      </c>
      <c r="H24" s="6"/>
      <c r="I24" s="6"/>
      <c r="J24" s="6"/>
      <c r="K24" s="6"/>
      <c r="L24" s="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7">
        <v>4</v>
      </c>
      <c r="B25" s="7">
        <v>6</v>
      </c>
      <c r="C25" s="7">
        <v>22</v>
      </c>
      <c r="D25" s="7">
        <f t="shared" si="10"/>
        <v>0.27272727272727271</v>
      </c>
      <c r="E25" s="7">
        <v>7</v>
      </c>
      <c r="F25" s="7">
        <v>22</v>
      </c>
      <c r="G25" s="7">
        <f t="shared" si="11"/>
        <v>0.31818181818181818</v>
      </c>
      <c r="H25" s="6"/>
      <c r="I25" s="6"/>
      <c r="J25" s="6"/>
      <c r="K25" s="6"/>
      <c r="L25" s="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7">
        <v>5</v>
      </c>
      <c r="B26" s="7">
        <v>10</v>
      </c>
      <c r="C26" s="7">
        <v>24</v>
      </c>
      <c r="D26" s="7">
        <f t="shared" si="10"/>
        <v>0.41666666666666669</v>
      </c>
      <c r="E26" s="7">
        <v>8</v>
      </c>
      <c r="F26" s="7">
        <v>24</v>
      </c>
      <c r="G26" s="7">
        <f t="shared" si="11"/>
        <v>0.33333333333333331</v>
      </c>
      <c r="H26" s="6"/>
      <c r="I26" s="6"/>
      <c r="J26" s="6"/>
      <c r="K26" s="6"/>
      <c r="L26" s="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7">
        <v>6</v>
      </c>
      <c r="B27" s="7">
        <v>9</v>
      </c>
      <c r="C27" s="7">
        <v>23</v>
      </c>
      <c r="D27" s="7">
        <f t="shared" si="10"/>
        <v>0.39130434782608697</v>
      </c>
      <c r="E27" s="7">
        <v>8</v>
      </c>
      <c r="F27" s="7">
        <v>23</v>
      </c>
      <c r="G27" s="7">
        <f t="shared" si="11"/>
        <v>0.34782608695652173</v>
      </c>
      <c r="H27" s="6"/>
      <c r="I27" s="6"/>
      <c r="J27" s="6"/>
      <c r="K27" s="6"/>
      <c r="L27" s="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7">
        <v>7</v>
      </c>
      <c r="B28" s="7"/>
      <c r="C28" s="7"/>
      <c r="D28" s="7"/>
      <c r="E28" s="7"/>
      <c r="F28" s="7"/>
      <c r="G28" s="7"/>
      <c r="H28" s="6"/>
      <c r="I28" s="6"/>
      <c r="J28" s="6"/>
      <c r="K28" s="6"/>
      <c r="L28" s="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7">
        <v>8</v>
      </c>
      <c r="B29" s="7"/>
      <c r="C29" s="7"/>
      <c r="D29" s="7"/>
      <c r="E29" s="7"/>
      <c r="F29" s="7"/>
      <c r="G29" s="7"/>
      <c r="H29" s="6"/>
      <c r="I29" s="6"/>
      <c r="J29" s="6"/>
      <c r="K29" s="6"/>
      <c r="L29" s="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7">
        <v>9</v>
      </c>
      <c r="B30" s="7"/>
      <c r="C30" s="7"/>
      <c r="D30" s="7"/>
      <c r="E30" s="7"/>
      <c r="F30" s="7"/>
      <c r="G30" s="7"/>
      <c r="H30" s="6"/>
      <c r="I30" s="6"/>
      <c r="J30" s="6"/>
      <c r="K30" s="6"/>
      <c r="L30" s="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7">
        <v>10</v>
      </c>
      <c r="B31" s="7"/>
      <c r="C31" s="7"/>
      <c r="D31" s="7"/>
      <c r="E31" s="7"/>
      <c r="F31" s="7"/>
      <c r="G31" s="7"/>
      <c r="H31" s="6"/>
      <c r="I31" s="6"/>
      <c r="J31" s="6"/>
      <c r="K31" s="6"/>
      <c r="L31" s="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5" t="s">
        <v>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6"/>
      <c r="B34" s="10" t="s">
        <v>11</v>
      </c>
      <c r="C34" s="11"/>
      <c r="D34" s="12"/>
      <c r="E34" s="10" t="s">
        <v>20</v>
      </c>
      <c r="F34" s="11"/>
      <c r="G34" s="12"/>
      <c r="H34" s="6"/>
      <c r="I34" s="6"/>
      <c r="J34" s="6"/>
      <c r="K34" s="7" t="s">
        <v>4</v>
      </c>
      <c r="L34" s="8" t="s"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9" t="s">
        <v>5</v>
      </c>
      <c r="B35" s="7" t="s">
        <v>1</v>
      </c>
      <c r="C35" s="7" t="s">
        <v>2</v>
      </c>
      <c r="D35" s="7" t="s">
        <v>3</v>
      </c>
      <c r="E35" s="7" t="s">
        <v>1</v>
      </c>
      <c r="F35" s="7" t="s">
        <v>2</v>
      </c>
      <c r="G35" s="7" t="s">
        <v>3</v>
      </c>
      <c r="H35" s="6"/>
      <c r="I35" s="10" t="s">
        <v>11</v>
      </c>
      <c r="J35" s="12"/>
      <c r="K35" s="7">
        <f>AVERAGE(D36:D45)</f>
        <v>0.5505050505050505</v>
      </c>
      <c r="L35" s="7">
        <f>STDEV(D36:D45)/SQRT(6)</f>
        <v>2.4579496222270104E-2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7">
        <v>1</v>
      </c>
      <c r="B36" s="7">
        <v>14</v>
      </c>
      <c r="C36" s="7">
        <v>24</v>
      </c>
      <c r="D36" s="7">
        <f t="shared" ref="D36:D41" si="12">B36/C36</f>
        <v>0.58333333333333337</v>
      </c>
      <c r="E36" s="7">
        <v>14</v>
      </c>
      <c r="F36" s="7">
        <v>24</v>
      </c>
      <c r="G36" s="7">
        <f t="shared" ref="G36:G41" si="13">E36/F36</f>
        <v>0.58333333333333337</v>
      </c>
      <c r="H36" s="6"/>
      <c r="I36" s="10" t="s">
        <v>16</v>
      </c>
      <c r="J36" s="12"/>
      <c r="K36" s="7">
        <f>AVERAGE(G36:G45)</f>
        <v>0.46374066754501536</v>
      </c>
      <c r="L36" s="7">
        <f>STDEV(D37:D46)/SQRT(6)</f>
        <v>2.6482158815003206E-2</v>
      </c>
      <c r="M36" s="2"/>
      <c r="N36" s="2"/>
      <c r="O36" s="2" t="s">
        <v>12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7">
        <v>2</v>
      </c>
      <c r="B37" s="7">
        <v>12</v>
      </c>
      <c r="C37" s="7">
        <v>24</v>
      </c>
      <c r="D37" s="7">
        <f t="shared" si="12"/>
        <v>0.5</v>
      </c>
      <c r="E37" s="7">
        <v>12</v>
      </c>
      <c r="F37" s="7">
        <v>24</v>
      </c>
      <c r="G37" s="7">
        <f t="shared" si="13"/>
        <v>0.5</v>
      </c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7">
        <v>3</v>
      </c>
      <c r="B38" s="7">
        <v>11</v>
      </c>
      <c r="C38" s="7">
        <v>23</v>
      </c>
      <c r="D38" s="7">
        <f t="shared" si="12"/>
        <v>0.47826086956521741</v>
      </c>
      <c r="E38" s="7">
        <v>8</v>
      </c>
      <c r="F38" s="7">
        <v>23</v>
      </c>
      <c r="G38" s="7">
        <f t="shared" si="13"/>
        <v>0.34782608695652173</v>
      </c>
      <c r="H38" s="6"/>
      <c r="I38" s="6"/>
      <c r="J38" s="6"/>
      <c r="K38" s="6"/>
      <c r="L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7">
        <v>4</v>
      </c>
      <c r="B39" s="7">
        <v>14</v>
      </c>
      <c r="C39" s="7">
        <v>22</v>
      </c>
      <c r="D39" s="7">
        <f t="shared" si="12"/>
        <v>0.63636363636363635</v>
      </c>
      <c r="E39" s="7">
        <v>10</v>
      </c>
      <c r="F39" s="7">
        <v>22</v>
      </c>
      <c r="G39" s="7">
        <f t="shared" si="13"/>
        <v>0.45454545454545453</v>
      </c>
      <c r="H39" s="6"/>
      <c r="I39" s="6"/>
      <c r="J39" s="6"/>
      <c r="K39" s="6"/>
      <c r="L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7">
        <v>5</v>
      </c>
      <c r="B40" s="7">
        <v>14</v>
      </c>
      <c r="C40" s="7">
        <v>24</v>
      </c>
      <c r="D40" s="7">
        <f t="shared" si="12"/>
        <v>0.58333333333333337</v>
      </c>
      <c r="E40" s="7">
        <v>9</v>
      </c>
      <c r="F40" s="7">
        <v>24</v>
      </c>
      <c r="G40" s="7">
        <f t="shared" si="13"/>
        <v>0.375</v>
      </c>
      <c r="H40" s="6"/>
      <c r="I40" s="6"/>
      <c r="J40" s="6"/>
      <c r="K40" s="6"/>
      <c r="L40" s="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7">
        <v>6</v>
      </c>
      <c r="B41" s="7">
        <v>12</v>
      </c>
      <c r="C41" s="7">
        <v>23</v>
      </c>
      <c r="D41" s="7">
        <f t="shared" si="12"/>
        <v>0.52173913043478259</v>
      </c>
      <c r="E41" s="7">
        <v>12</v>
      </c>
      <c r="F41" s="7">
        <v>23</v>
      </c>
      <c r="G41" s="7">
        <f t="shared" si="13"/>
        <v>0.52173913043478259</v>
      </c>
      <c r="H41" s="6"/>
      <c r="I41" s="6"/>
      <c r="J41" s="6"/>
      <c r="K41" s="6"/>
      <c r="L41" s="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7">
        <v>7</v>
      </c>
      <c r="B42" s="7"/>
      <c r="C42" s="7"/>
      <c r="D42" s="7"/>
      <c r="E42" s="7"/>
      <c r="F42" s="7"/>
      <c r="G42" s="7"/>
      <c r="H42" s="6"/>
      <c r="I42" s="6"/>
      <c r="J42" s="6"/>
      <c r="K42" s="6"/>
      <c r="L42" s="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7">
        <v>8</v>
      </c>
      <c r="B43" s="7"/>
      <c r="C43" s="7"/>
      <c r="D43" s="7"/>
      <c r="E43" s="7"/>
      <c r="F43" s="7"/>
      <c r="G43" s="7"/>
      <c r="H43" s="6"/>
      <c r="I43" s="6"/>
      <c r="J43" s="6"/>
      <c r="K43" s="6"/>
      <c r="L43" s="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7">
        <v>9</v>
      </c>
      <c r="B44" s="7"/>
      <c r="C44" s="7"/>
      <c r="D44" s="7"/>
      <c r="E44" s="7"/>
      <c r="F44" s="7"/>
      <c r="G44" s="7"/>
      <c r="H44" s="6"/>
      <c r="I44" s="6"/>
      <c r="J44" s="6"/>
      <c r="K44" s="6"/>
      <c r="L44" s="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7">
        <v>10</v>
      </c>
      <c r="B45" s="7"/>
      <c r="C45" s="7"/>
      <c r="D45" s="7"/>
      <c r="E45" s="7"/>
      <c r="F45" s="7"/>
      <c r="G45" s="7"/>
      <c r="H45" s="6"/>
      <c r="I45" s="6"/>
      <c r="J45" s="6"/>
      <c r="K45" s="6"/>
      <c r="L45" s="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5" t="s">
        <v>7</v>
      </c>
      <c r="B47" s="6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6"/>
      <c r="B48" s="10" t="s">
        <v>13</v>
      </c>
      <c r="C48" s="11"/>
      <c r="D48" s="12"/>
      <c r="E48" s="10" t="s">
        <v>21</v>
      </c>
      <c r="F48" s="11"/>
      <c r="G48" s="12"/>
      <c r="H48" s="2"/>
      <c r="I48" s="6"/>
      <c r="J48" s="6"/>
      <c r="K48" s="7" t="s">
        <v>4</v>
      </c>
      <c r="L48" s="8" t="s"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9" t="s">
        <v>5</v>
      </c>
      <c r="B49" s="7" t="s">
        <v>1</v>
      </c>
      <c r="C49" s="7" t="s">
        <v>2</v>
      </c>
      <c r="D49" s="7" t="s">
        <v>3</v>
      </c>
      <c r="E49" s="7" t="s">
        <v>1</v>
      </c>
      <c r="F49" s="7" t="s">
        <v>2</v>
      </c>
      <c r="G49" s="7" t="s">
        <v>3</v>
      </c>
      <c r="H49" s="2"/>
      <c r="I49" s="10" t="s">
        <v>13</v>
      </c>
      <c r="J49" s="12"/>
      <c r="K49" s="7">
        <f>AVERAGE(D50:D59)</f>
        <v>0.73690711462450587</v>
      </c>
      <c r="L49" s="7">
        <f>STDEV(D50:D59)/SQRT(6)</f>
        <v>2.3322226333059276E-2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7">
        <v>1</v>
      </c>
      <c r="B50" s="7">
        <v>18</v>
      </c>
      <c r="C50" s="7">
        <v>24</v>
      </c>
      <c r="D50" s="7">
        <f t="shared" ref="D50:D55" si="14">B50/C50</f>
        <v>0.75</v>
      </c>
      <c r="E50" s="7">
        <v>18</v>
      </c>
      <c r="F50" s="7">
        <v>24</v>
      </c>
      <c r="G50" s="7">
        <f t="shared" ref="G50:G55" si="15">E50/F50</f>
        <v>0.75</v>
      </c>
      <c r="H50" s="2"/>
      <c r="I50" s="10" t="s">
        <v>23</v>
      </c>
      <c r="J50" s="12"/>
      <c r="K50" s="7">
        <f>AVERAGE(G50:G59)</f>
        <v>0.71456411945542386</v>
      </c>
      <c r="L50" s="7">
        <f>STDEV(D51:D60)/SQRT(6)</f>
        <v>2.5910164396241549E-2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7">
        <v>2</v>
      </c>
      <c r="B51" s="7">
        <v>16</v>
      </c>
      <c r="C51" s="7">
        <v>24</v>
      </c>
      <c r="D51" s="7">
        <f t="shared" si="14"/>
        <v>0.66666666666666663</v>
      </c>
      <c r="E51" s="7">
        <v>19</v>
      </c>
      <c r="F51" s="7">
        <v>24</v>
      </c>
      <c r="G51" s="7">
        <f t="shared" si="15"/>
        <v>0.79166666666666663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7">
        <v>3</v>
      </c>
      <c r="B52" s="7">
        <v>18</v>
      </c>
      <c r="C52" s="7">
        <v>23</v>
      </c>
      <c r="D52" s="7">
        <f t="shared" si="14"/>
        <v>0.78260869565217395</v>
      </c>
      <c r="E52" s="7">
        <v>14</v>
      </c>
      <c r="F52" s="7">
        <v>23</v>
      </c>
      <c r="G52" s="7">
        <f t="shared" si="15"/>
        <v>0.60869565217391308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7">
        <v>4</v>
      </c>
      <c r="B53" s="7">
        <v>18</v>
      </c>
      <c r="C53" s="7">
        <v>22</v>
      </c>
      <c r="D53" s="7">
        <f t="shared" si="14"/>
        <v>0.81818181818181823</v>
      </c>
      <c r="E53" s="7">
        <v>18</v>
      </c>
      <c r="F53" s="7">
        <v>22</v>
      </c>
      <c r="G53" s="7">
        <f t="shared" si="15"/>
        <v>0.81818181818181823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7">
        <v>5</v>
      </c>
      <c r="B54" s="7">
        <v>17</v>
      </c>
      <c r="C54" s="7">
        <v>24</v>
      </c>
      <c r="D54" s="7">
        <f t="shared" si="14"/>
        <v>0.70833333333333337</v>
      </c>
      <c r="E54" s="7">
        <v>16</v>
      </c>
      <c r="F54" s="7">
        <v>24</v>
      </c>
      <c r="G54" s="7">
        <f t="shared" si="15"/>
        <v>0.66666666666666663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7">
        <v>6</v>
      </c>
      <c r="B55" s="7">
        <v>16</v>
      </c>
      <c r="C55" s="7">
        <v>23</v>
      </c>
      <c r="D55" s="7">
        <f t="shared" si="14"/>
        <v>0.69565217391304346</v>
      </c>
      <c r="E55" s="7">
        <v>15</v>
      </c>
      <c r="F55" s="7">
        <v>23</v>
      </c>
      <c r="G55" s="7">
        <f t="shared" si="15"/>
        <v>0.65217391304347827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7">
        <v>7</v>
      </c>
      <c r="B56" s="7"/>
      <c r="C56" s="7"/>
      <c r="D56" s="7"/>
      <c r="E56" s="7"/>
      <c r="F56" s="7"/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7">
        <v>8</v>
      </c>
      <c r="B57" s="7"/>
      <c r="C57" s="7"/>
      <c r="D57" s="7"/>
      <c r="E57" s="7"/>
      <c r="F57" s="7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7">
        <v>9</v>
      </c>
      <c r="B58" s="7"/>
      <c r="C58" s="7"/>
      <c r="D58" s="7"/>
      <c r="E58" s="7"/>
      <c r="F58" s="7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7">
        <v>10</v>
      </c>
      <c r="B59" s="7"/>
      <c r="C59" s="7"/>
      <c r="D59" s="7"/>
      <c r="E59" s="7"/>
      <c r="F59" s="7"/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B48:D48"/>
    <mergeCell ref="E48:G48"/>
    <mergeCell ref="I49:J49"/>
    <mergeCell ref="I50:J50"/>
    <mergeCell ref="I21:J21"/>
    <mergeCell ref="I22:J22"/>
    <mergeCell ref="B34:D34"/>
    <mergeCell ref="E34:G34"/>
    <mergeCell ref="I35:J35"/>
    <mergeCell ref="I36:J36"/>
    <mergeCell ref="B6:D6"/>
    <mergeCell ref="E6:G6"/>
    <mergeCell ref="I7:J7"/>
    <mergeCell ref="I8:J8"/>
    <mergeCell ref="B20:D20"/>
    <mergeCell ref="E20:G20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D</vt:lpstr>
      <vt:lpstr>Sheet2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W.P.D.M,DE SILVA(구강생물학교실)</cp:lastModifiedBy>
  <dcterms:created xsi:type="dcterms:W3CDTF">2022-02-16T08:52:50Z</dcterms:created>
  <dcterms:modified xsi:type="dcterms:W3CDTF">2025-05-13T10:40:24Z</dcterms:modified>
</cp:coreProperties>
</file>