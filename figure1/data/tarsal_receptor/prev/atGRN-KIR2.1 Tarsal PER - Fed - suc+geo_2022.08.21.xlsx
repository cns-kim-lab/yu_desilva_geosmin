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lan\Desktop\"/>
    </mc:Choice>
  </mc:AlternateContent>
  <xr:revisionPtr revIDLastSave="0" documentId="13_ncr:1_{7EA4F6E7-1404-4033-BB14-329D83F15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d atGRN&gt;Kir2.1" sheetId="2" r:id="rId1"/>
    <sheet name="strvd atGRN&gt;Kir2.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4" i="2" l="1"/>
  <c r="W13" i="2" s="1"/>
  <c r="L103" i="2"/>
  <c r="L90" i="2"/>
  <c r="L89" i="2"/>
  <c r="L76" i="2"/>
  <c r="L75" i="2"/>
  <c r="L61" i="2"/>
  <c r="L62" i="2"/>
  <c r="G69" i="2"/>
  <c r="G68" i="2"/>
  <c r="G67" i="2"/>
  <c r="G66" i="2"/>
  <c r="L48" i="2"/>
  <c r="L47" i="2"/>
  <c r="L34" i="2"/>
  <c r="L33" i="2"/>
  <c r="L20" i="2"/>
  <c r="L19" i="2"/>
  <c r="L6" i="2"/>
  <c r="L5" i="2"/>
  <c r="G83" i="2"/>
  <c r="G82" i="2"/>
  <c r="G81" i="2"/>
  <c r="G80" i="2"/>
  <c r="G97" i="2"/>
  <c r="G96" i="2"/>
  <c r="G95" i="2"/>
  <c r="G94" i="2"/>
  <c r="G111" i="2"/>
  <c r="G110" i="2"/>
  <c r="G109" i="2"/>
  <c r="G108" i="2"/>
  <c r="D111" i="2"/>
  <c r="D110" i="2"/>
  <c r="D109" i="2"/>
  <c r="D108" i="2"/>
  <c r="D97" i="2"/>
  <c r="D96" i="2"/>
  <c r="D95" i="2"/>
  <c r="D94" i="2"/>
  <c r="D83" i="2"/>
  <c r="D82" i="2"/>
  <c r="D81" i="2"/>
  <c r="D80" i="2"/>
  <c r="D69" i="2"/>
  <c r="D68" i="2"/>
  <c r="D67" i="2"/>
  <c r="D66" i="2"/>
  <c r="G53" i="2"/>
  <c r="G52" i="2"/>
  <c r="D53" i="2"/>
  <c r="D52" i="2"/>
  <c r="G39" i="2"/>
  <c r="G38" i="2"/>
  <c r="D39" i="2"/>
  <c r="D38" i="2"/>
  <c r="G25" i="2"/>
  <c r="G24" i="2"/>
  <c r="D25" i="2"/>
  <c r="D24" i="2"/>
  <c r="G11" i="2"/>
  <c r="G10" i="2"/>
  <c r="D11" i="2"/>
  <c r="D10" i="2"/>
  <c r="G51" i="4"/>
  <c r="D51" i="4"/>
  <c r="D107" i="2"/>
  <c r="G107" i="2"/>
  <c r="G50" i="4"/>
  <c r="D50" i="4"/>
  <c r="G49" i="4"/>
  <c r="D49" i="4"/>
  <c r="G48" i="4"/>
  <c r="D48" i="4"/>
  <c r="G37" i="4"/>
  <c r="D37" i="4"/>
  <c r="G36" i="4"/>
  <c r="D36" i="4"/>
  <c r="G35" i="4"/>
  <c r="D35" i="4"/>
  <c r="G34" i="4"/>
  <c r="D34" i="4"/>
  <c r="G23" i="4"/>
  <c r="D23" i="4"/>
  <c r="G22" i="4"/>
  <c r="D22" i="4"/>
  <c r="G21" i="4"/>
  <c r="D21" i="4"/>
  <c r="G20" i="4"/>
  <c r="D20" i="4"/>
  <c r="G9" i="4"/>
  <c r="D9" i="4"/>
  <c r="G8" i="4"/>
  <c r="D8" i="4"/>
  <c r="G7" i="4"/>
  <c r="D7" i="4"/>
  <c r="G6" i="4"/>
  <c r="L6" i="4" s="1"/>
  <c r="T11" i="4" s="1"/>
  <c r="D6" i="4"/>
  <c r="G107" i="4"/>
  <c r="D107" i="4"/>
  <c r="G106" i="4"/>
  <c r="D106" i="4"/>
  <c r="G105" i="4"/>
  <c r="D105" i="4"/>
  <c r="G104" i="4"/>
  <c r="D104" i="4"/>
  <c r="G93" i="4"/>
  <c r="D93" i="4"/>
  <c r="G92" i="4"/>
  <c r="D92" i="4"/>
  <c r="G91" i="4"/>
  <c r="D91" i="4"/>
  <c r="G90" i="4"/>
  <c r="D90" i="4"/>
  <c r="G79" i="4"/>
  <c r="D79" i="4"/>
  <c r="G78" i="4"/>
  <c r="D78" i="4"/>
  <c r="G77" i="4"/>
  <c r="D77" i="4"/>
  <c r="G76" i="4"/>
  <c r="D76" i="4"/>
  <c r="G65" i="4"/>
  <c r="D65" i="4"/>
  <c r="G64" i="4"/>
  <c r="D64" i="4"/>
  <c r="G63" i="4"/>
  <c r="D63" i="4"/>
  <c r="G62" i="4"/>
  <c r="D62" i="4"/>
  <c r="G106" i="2"/>
  <c r="D106" i="2"/>
  <c r="G105" i="2"/>
  <c r="D105" i="2"/>
  <c r="G104" i="2"/>
  <c r="D104" i="2"/>
  <c r="G93" i="2"/>
  <c r="D93" i="2"/>
  <c r="G92" i="2"/>
  <c r="D92" i="2"/>
  <c r="G91" i="2"/>
  <c r="D91" i="2"/>
  <c r="G90" i="2"/>
  <c r="D90" i="2"/>
  <c r="G79" i="2"/>
  <c r="D79" i="2"/>
  <c r="G78" i="2"/>
  <c r="D78" i="2"/>
  <c r="G77" i="2"/>
  <c r="D77" i="2"/>
  <c r="G76" i="2"/>
  <c r="D76" i="2"/>
  <c r="G65" i="2"/>
  <c r="D65" i="2"/>
  <c r="G64" i="2"/>
  <c r="D64" i="2"/>
  <c r="G63" i="2"/>
  <c r="D63" i="2"/>
  <c r="G62" i="2"/>
  <c r="D62" i="2"/>
  <c r="V12" i="2" l="1"/>
  <c r="W12" i="2"/>
  <c r="U13" i="2"/>
  <c r="T13" i="2"/>
  <c r="L20" i="4"/>
  <c r="U11" i="4" s="1"/>
  <c r="L34" i="4"/>
  <c r="V11" i="4" s="1"/>
  <c r="T12" i="2"/>
  <c r="L5" i="4"/>
  <c r="T10" i="4" s="1"/>
  <c r="L47" i="4"/>
  <c r="W10" i="4" s="1"/>
  <c r="L19" i="4"/>
  <c r="U10" i="4" s="1"/>
  <c r="L48" i="4"/>
  <c r="W11" i="4" s="1"/>
  <c r="L33" i="4"/>
  <c r="V10" i="4" s="1"/>
  <c r="L61" i="4"/>
  <c r="T12" i="4" s="1"/>
  <c r="L89" i="4"/>
  <c r="V12" i="4" s="1"/>
  <c r="L62" i="4"/>
  <c r="T13" i="4" s="1"/>
  <c r="L90" i="4"/>
  <c r="V13" i="4" s="1"/>
  <c r="L75" i="4"/>
  <c r="U12" i="4" s="1"/>
  <c r="L103" i="4"/>
  <c r="W12" i="4" s="1"/>
  <c r="L76" i="4"/>
  <c r="U13" i="4" s="1"/>
  <c r="L104" i="4"/>
  <c r="W13" i="4" s="1"/>
  <c r="K5" i="4"/>
  <c r="O10" i="4" s="1"/>
  <c r="K20" i="4"/>
  <c r="P11" i="4" s="1"/>
  <c r="K33" i="4"/>
  <c r="Q10" i="4" s="1"/>
  <c r="K48" i="4"/>
  <c r="R11" i="4" s="1"/>
  <c r="K61" i="4"/>
  <c r="O12" i="4" s="1"/>
  <c r="K76" i="4"/>
  <c r="P13" i="4" s="1"/>
  <c r="K89" i="4"/>
  <c r="Q12" i="4" s="1"/>
  <c r="K104" i="4"/>
  <c r="R13" i="4" s="1"/>
  <c r="K6" i="4"/>
  <c r="O11" i="4" s="1"/>
  <c r="K19" i="4"/>
  <c r="P10" i="4" s="1"/>
  <c r="K34" i="4"/>
  <c r="Q11" i="4" s="1"/>
  <c r="K47" i="4"/>
  <c r="R10" i="4" s="1"/>
  <c r="K62" i="4"/>
  <c r="O13" i="4" s="1"/>
  <c r="K75" i="4"/>
  <c r="P12" i="4" s="1"/>
  <c r="K90" i="4"/>
  <c r="Q13" i="4" s="1"/>
  <c r="K103" i="4"/>
  <c r="R12" i="4" s="1"/>
  <c r="K104" i="2"/>
  <c r="R13" i="2" s="1"/>
  <c r="K61" i="2"/>
  <c r="O12" i="2" s="1"/>
  <c r="K76" i="2"/>
  <c r="P13" i="2" s="1"/>
  <c r="K89" i="2"/>
  <c r="Q12" i="2" s="1"/>
  <c r="U12" i="2"/>
  <c r="V13" i="2"/>
  <c r="K62" i="2"/>
  <c r="O13" i="2" s="1"/>
  <c r="K75" i="2"/>
  <c r="P12" i="2" s="1"/>
  <c r="K90" i="2"/>
  <c r="Q13" i="2" s="1"/>
  <c r="K103" i="2"/>
  <c r="R12" i="2" s="1"/>
  <c r="G7" i="2"/>
  <c r="G51" i="2"/>
  <c r="D51" i="2"/>
  <c r="G37" i="2"/>
  <c r="D37" i="2"/>
  <c r="G23" i="2"/>
  <c r="D23" i="2"/>
  <c r="G9" i="2"/>
  <c r="D9" i="2"/>
  <c r="G50" i="2"/>
  <c r="D50" i="2"/>
  <c r="G49" i="2"/>
  <c r="D49" i="2"/>
  <c r="G48" i="2"/>
  <c r="D48" i="2"/>
  <c r="G36" i="2"/>
  <c r="D36" i="2"/>
  <c r="G35" i="2"/>
  <c r="D35" i="2"/>
  <c r="G34" i="2"/>
  <c r="D34" i="2"/>
  <c r="G22" i="2"/>
  <c r="D22" i="2"/>
  <c r="G21" i="2"/>
  <c r="D21" i="2"/>
  <c r="G20" i="2"/>
  <c r="D20" i="2"/>
  <c r="G8" i="2"/>
  <c r="D8" i="2"/>
  <c r="D7" i="2"/>
  <c r="G6" i="2"/>
  <c r="D6" i="2"/>
  <c r="U10" i="2" l="1"/>
  <c r="K5" i="2"/>
  <c r="O10" i="2" s="1"/>
  <c r="K6" i="2"/>
  <c r="O11" i="2" s="1"/>
  <c r="T11" i="2"/>
  <c r="W10" i="2"/>
  <c r="T10" i="2"/>
  <c r="W11" i="2"/>
  <c r="U11" i="2"/>
  <c r="V10" i="2"/>
  <c r="V11" i="2"/>
  <c r="K34" i="2"/>
  <c r="Q11" i="2" s="1"/>
  <c r="K48" i="2"/>
  <c r="R11" i="2" s="1"/>
  <c r="K19" i="2"/>
  <c r="P10" i="2" s="1"/>
  <c r="K33" i="2"/>
  <c r="Q10" i="2" s="1"/>
  <c r="K20" i="2"/>
  <c r="P11" i="2" s="1"/>
  <c r="K47" i="2"/>
  <c r="R10" i="2" s="1"/>
</calcChain>
</file>

<file path=xl/sharedStrings.xml><?xml version="1.0" encoding="utf-8"?>
<sst xmlns="http://schemas.openxmlformats.org/spreadsheetml/2006/main" count="240" uniqueCount="38">
  <si>
    <t>10mM Suc.</t>
    <phoneticPr fontId="1" type="noConversion"/>
  </si>
  <si>
    <t>10mM Suc. + 10% Geo</t>
    <phoneticPr fontId="1" type="noConversion"/>
  </si>
  <si>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</si>
  <si>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</si>
  <si>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</si>
  <si>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</si>
  <si>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</si>
  <si>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</si>
  <si>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10mM Suc. + 10% Geo.</t>
    <phoneticPr fontId="1" type="noConversion"/>
  </si>
  <si>
    <t>50mM Suc.</t>
    <phoneticPr fontId="1" type="noConversion"/>
  </si>
  <si>
    <t>100mM Suc.</t>
    <phoneticPr fontId="1" type="noConversion"/>
  </si>
  <si>
    <t>500mM Suc.</t>
    <phoneticPr fontId="1" type="noConversion"/>
  </si>
  <si>
    <t>50mM Suc. + 10% Geo</t>
    <phoneticPr fontId="1" type="noConversion"/>
  </si>
  <si>
    <t>PER (average)</t>
  </si>
  <si>
    <t>Plate #</t>
  </si>
  <si>
    <t>Response Rate</t>
    <phoneticPr fontId="1" type="noConversion"/>
  </si>
  <si>
    <t>50mM Suc. + 10% Geo.</t>
    <phoneticPr fontId="1" type="noConversion"/>
  </si>
  <si>
    <t>100mM Suc. + 10% Geo</t>
    <phoneticPr fontId="1" type="noConversion"/>
  </si>
  <si>
    <t>100mM Suc. + 10% Geo.</t>
    <phoneticPr fontId="1" type="noConversion"/>
  </si>
  <si>
    <t>500mM Suc. + 10% Geo</t>
    <phoneticPr fontId="1" type="noConversion"/>
  </si>
  <si>
    <t>SEM</t>
    <phoneticPr fontId="1" type="noConversion"/>
  </si>
  <si>
    <t xml:space="preserve">Fed - Tarsal PER/ Modified PER </t>
    <phoneticPr fontId="1" type="noConversion"/>
  </si>
  <si>
    <t xml:space="preserve">  </t>
    <phoneticPr fontId="1" type="noConversion"/>
  </si>
  <si>
    <t>10mM Suc.</t>
  </si>
  <si>
    <t>10mM Suc. + 10% Geo</t>
  </si>
  <si>
    <t>50mM Suc.</t>
  </si>
  <si>
    <t>50mM Suc. + 10% Geo</t>
  </si>
  <si>
    <t>100mM Suc.</t>
  </si>
  <si>
    <t>100mM Suc. + 10% Geo</t>
  </si>
  <si>
    <t>500mM Suc.</t>
  </si>
  <si>
    <t>500mM Suc. + 10% Geo</t>
  </si>
  <si>
    <t>atGRN/+</t>
  </si>
  <si>
    <t>atGRN&gt;Kir2.1</t>
  </si>
  <si>
    <t>Suc. (atGRN/+)</t>
  </si>
  <si>
    <t>Suc. (atGRN&gt;Kir2.1)</t>
  </si>
  <si>
    <t xml:space="preserve">strvd - Tarsal PER/ Modified PER </t>
  </si>
  <si>
    <t>Suc. &amp; 1% Geo. (atGRN/+)</t>
  </si>
  <si>
    <t>Suc. &amp; 1% Geo. (atGRN&gt;Kir2.1)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</si>
</sst>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</font>
    <font>
      <sz val="8"/>
      <color theme="1"/>
      <name val="Arial"/>
    </font>
    <font>
      <i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'fed atGRN&gt;Kir2.1'!$N$10</c:f>
              <c:strCache>
                <c:ptCount val="1"/>
                <c:pt idx="0">
                  <c:v>Suc. (atGRN/+)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'fed atGRN&gt;Kir2.1'!$T$10:$W$10</c:f>
                <c:numCache>
                  <c:formatCode>General</c:formatCode>
                  <c:ptCount val="4"/>
                  <c:pt idx="0">
                    <c:v>2.8348071372030745E-2</c:v>
                  </c:pt>
                  <c:pt idx="1">
                    <c:v>4.0525027523684136E-2</c:v>
                  </c:pt>
                  <c:pt idx="2">
                    <c:v>4.6693942856602846E-2</c:v>
                  </c:pt>
                  <c:pt idx="3">
                    <c:v>6.3725149767976094E-2</c:v>
                  </c:pt>
                </c:numCache>
              </c:numRef>
            </c:plus>
            <c:minus>
              <c:numRef>
                <c:f>'fed atGRN&gt;Kir2.1'!$T$10:$W$10</c:f>
                <c:numCache>
                  <c:formatCode>General</c:formatCode>
                  <c:ptCount val="4"/>
                  <c:pt idx="0">
                    <c:v>2.8348071372030745E-2</c:v>
                  </c:pt>
                  <c:pt idx="1">
                    <c:v>4.0525027523684136E-2</c:v>
                  </c:pt>
                  <c:pt idx="2">
                    <c:v>4.6693942856602846E-2</c:v>
                  </c:pt>
                  <c:pt idx="3">
                    <c:v>6.3725149767976094E-2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'fed atGRN&gt;Kir2.1'!$O$9:$R$9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'fed atGRN&gt;Kir2.1'!$O$10:$R$10</c:f>
              <c:numCache>
                <c:formatCode>General</c:formatCode>
                <c:ptCount val="4"/>
                <c:pt idx="0">
                  <c:v>0.24733750548967939</c:v>
                </c:pt>
                <c:pt idx="1">
                  <c:v>0.3353645147123408</c:v>
                </c:pt>
                <c:pt idx="2">
                  <c:v>0.48742863416776455</c:v>
                </c:pt>
                <c:pt idx="3">
                  <c:v>0.65999278499278502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B-439F-9E00-A4065C9D0376}"/>
            </c:ext>
          </c:extLst>
        </c:ser>
        <c:ser>
          <c:idx val="2"/>
          <c:order val="1"/>
          <c:tx>
            <c:strRef>
              <c:f>'fed atGRN&gt;Kir2.1'!$N$11</c:f>
              <c:strCache>
                <c:ptCount val="1"/>
                <c:pt idx="0">
                  <c:v>Suc. &amp; 1% Geo. (atGRN/+)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'fed atGRN&gt;Kir2.1'!$T$11:$W$11</c:f>
                <c:numCache>
                  <c:formatCode>General</c:formatCode>
                  <c:ptCount val="4"/>
                  <c:pt idx="0">
                    <c:v>3.255594652022293E-2</c:v>
                  </c:pt>
                  <c:pt idx="1">
                    <c:v>3.3843550724879268E-2</c:v>
                  </c:pt>
                  <c:pt idx="2">
                    <c:v>3.355130194908728E-2</c:v>
                  </c:pt>
                  <c:pt idx="3">
                    <c:v>5.629643460071717E-2</c:v>
                  </c:pt>
                </c:numCache>
              </c:numRef>
            </c:plus>
            <c:minus>
              <c:numRef>
                <c:f>'fed atGRN&gt;Kir2.1'!$T$11:$W$11</c:f>
                <c:numCache>
                  <c:formatCode>General</c:formatCode>
                  <c:ptCount val="4"/>
                  <c:pt idx="0">
                    <c:v>3.255594652022293E-2</c:v>
                  </c:pt>
                  <c:pt idx="1">
                    <c:v>3.3843550724879268E-2</c:v>
                  </c:pt>
                  <c:pt idx="2">
                    <c:v>3.355130194908728E-2</c:v>
                  </c:pt>
                  <c:pt idx="3">
                    <c:v>5.629643460071717E-2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'fed atGRN&gt;Kir2.1'!$O$9:$R$9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'fed atGRN&gt;Kir2.1'!$O$11:$R$11</c:f>
              <c:numCache>
                <c:formatCode>General</c:formatCode>
                <c:ptCount val="4"/>
                <c:pt idx="0">
                  <c:v>0.14608036890645584</c:v>
                </c:pt>
                <c:pt idx="1">
                  <c:v>0.19625603864734298</c:v>
                </c:pt>
                <c:pt idx="2">
                  <c:v>0.27667984189723321</c:v>
                </c:pt>
                <c:pt idx="3">
                  <c:v>0.57440476190476197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7B-439F-9E00-A4065C9D0376}"/>
            </c:ext>
          </c:extLst>
        </c:ser>
        <c:ser>
          <c:idx val="1"/>
          <c:order val="2"/>
          <c:tx>
            <c:strRef>
              <c:f>'fed atGRN&gt;Kir2.1'!$N$12</c:f>
              <c:strCache>
                <c:ptCount val="1"/>
                <c:pt idx="0">
                  <c:v>Suc. (atGRN&gt;Kir2.1)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'fed atGRN&gt;Kir2.1'!$T$12:$W$12</c:f>
                <c:numCache>
                  <c:formatCode>General</c:formatCode>
                  <c:ptCount val="4"/>
                  <c:pt idx="0">
                    <c:v>1.0353588706973232E-2</c:v>
                  </c:pt>
                  <c:pt idx="1">
                    <c:v>2.1958098094772685E-2</c:v>
                  </c:pt>
                  <c:pt idx="2">
                    <c:v>4.3499563484977813E-2</c:v>
                  </c:pt>
                  <c:pt idx="3">
                    <c:v>4.5504047094036604E-2</c:v>
                  </c:pt>
                </c:numCache>
              </c:numRef>
            </c:plus>
            <c:minus>
              <c:numRef>
                <c:f>'fed atGRN&gt;Kir2.1'!$T$12:$W$12</c:f>
                <c:numCache>
                  <c:formatCode>General</c:formatCode>
                  <c:ptCount val="4"/>
                  <c:pt idx="0">
                    <c:v>1.0353588706973232E-2</c:v>
                  </c:pt>
                  <c:pt idx="1">
                    <c:v>2.1958098094772685E-2</c:v>
                  </c:pt>
                  <c:pt idx="2">
                    <c:v>4.3499563484977813E-2</c:v>
                  </c:pt>
                  <c:pt idx="3">
                    <c:v>4.5504047094036604E-2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'fed atGRN&gt;Kir2.1'!$O$9:$R$9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'fed atGRN&gt;Kir2.1'!$O$12:$R$12</c:f>
              <c:numCache>
                <c:formatCode>General</c:formatCode>
                <c:ptCount val="4"/>
                <c:pt idx="0">
                  <c:v>0.10541254940711464</c:v>
                </c:pt>
                <c:pt idx="1">
                  <c:v>0.16859189723320159</c:v>
                </c:pt>
                <c:pt idx="2">
                  <c:v>0.24111001317523056</c:v>
                </c:pt>
                <c:pt idx="3">
                  <c:v>0.27285161396574442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F-419F-9ED9-9321BB82DBC6}"/>
            </c:ext>
          </c:extLst>
        </c:ser>
        <c:ser>
          <c:idx val="3"/>
          <c:order val="3"/>
          <c:tx>
            <c:strRef>
              <c:f>'fed atGRN&gt;Kir2.1'!$N$13</c:f>
              <c:strCache>
                <c:ptCount val="1"/>
                <c:pt idx="0">
                  <c:v>Suc. &amp; 1% Geo. (atGRN&gt;Kir2.1)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'fed atGRN&gt;Kir2.1'!$T$13:$W$13</c:f>
                <c:numCache>
                  <c:formatCode>General</c:formatCode>
                  <c:ptCount val="4"/>
                  <c:pt idx="0">
                    <c:v>1.2065730251470421E-2</c:v>
                  </c:pt>
                  <c:pt idx="1">
                    <c:v>1.8744502351585736E-2</c:v>
                  </c:pt>
                  <c:pt idx="2">
                    <c:v>2.3216639417508542E-2</c:v>
                  </c:pt>
                  <c:pt idx="3">
                    <c:v>2.6124959013776507E-2</c:v>
                  </c:pt>
                </c:numCache>
              </c:numRef>
            </c:plus>
            <c:minus>
              <c:numRef>
                <c:f>'fed atGRN&gt;Kir2.1'!$T$13:$W$13</c:f>
                <c:numCache>
                  <c:formatCode>General</c:formatCode>
                  <c:ptCount val="4"/>
                  <c:pt idx="0">
                    <c:v>1.2065730251470421E-2</c:v>
                  </c:pt>
                  <c:pt idx="1">
                    <c:v>1.8744502351585736E-2</c:v>
                  </c:pt>
                  <c:pt idx="2">
                    <c:v>2.3216639417508542E-2</c:v>
                  </c:pt>
                  <c:pt idx="3">
                    <c:v>2.6124959013776507E-2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'fed atGRN&gt;Kir2.1'!$O$9:$R$9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'fed atGRN&gt;Kir2.1'!$O$13:$R$13</c:f>
              <c:numCache>
                <c:formatCode>General</c:formatCode>
                <c:ptCount val="4"/>
                <c:pt idx="0">
                  <c:v>8.5451251646903814E-2</c:v>
                </c:pt>
                <c:pt idx="1">
                  <c:v>0.11624588274044795</c:v>
                </c:pt>
                <c:pt idx="2">
                  <c:v>0.16272233201581027</c:v>
                </c:pt>
                <c:pt idx="3">
                  <c:v>0.20618635893092416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F-419F-9ED9-9321BB82D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0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0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14031243750691"/>
          <c:y val="0.66293853253503976"/>
          <c:w val="0.80955935720564232"/>
          <c:h val="0.3043806076409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'strvd atGRN&gt;Kir2.1'!$N$10</c:f>
              <c:strCache>
                <c:ptCount val="1"/>
                <c:pt idx="0">
                  <c:v>Suc. (atGRN/+)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'strvd atGRN&gt;Kir2.1'!$T$10:$W$10</c:f>
                <c:numCache>
                  <c:formatCode>General</c:formatCode>
                  <c:ptCount val="4"/>
                  <c:pt idx="0">
                    <c:v>4.5609207671416657E-2</c:v>
                  </c:pt>
                  <c:pt idx="1">
                    <c:v>3.8297096615695726E-2</c:v>
                  </c:pt>
                  <c:pt idx="2">
                    <c:v>9.8785655214106184E-3</c:v>
                  </c:pt>
                  <c:pt idx="3">
                    <c:v>1.9946242268324199E-2</c:v>
                  </c:pt>
                </c:numCache>
              </c:numRef>
            </c:plus>
            <c:minus>
              <c:numRef>
                <c:f>'strvd atGRN&gt;Kir2.1'!$T$10:$W$10</c:f>
                <c:numCache>
                  <c:formatCode>General</c:formatCode>
                  <c:ptCount val="4"/>
                  <c:pt idx="0">
                    <c:v>4.5609207671416657E-2</c:v>
                  </c:pt>
                  <c:pt idx="1">
                    <c:v>3.8297096615695726E-2</c:v>
                  </c:pt>
                  <c:pt idx="2">
                    <c:v>9.8785655214106184E-3</c:v>
                  </c:pt>
                  <c:pt idx="3">
                    <c:v>1.9946242268324199E-2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'strvd atGRN&gt;Kir2.1'!$O$9:$R$9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'strvd atGRN&gt;Kir2.1'!$O$10:$R$10</c:f>
              <c:numCache>
                <c:formatCode>General</c:formatCode>
                <c:ptCount val="4"/>
                <c:pt idx="0">
                  <c:v>0.56513938007073017</c:v>
                </c:pt>
                <c:pt idx="1">
                  <c:v>0.73900041605991273</c:v>
                </c:pt>
                <c:pt idx="2">
                  <c:v>0.87109943831911796</c:v>
                </c:pt>
                <c:pt idx="3">
                  <c:v>0.93330039525691699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C-44B6-8091-2FAC34E481E3}"/>
            </c:ext>
          </c:extLst>
        </c:ser>
        <c:ser>
          <c:idx val="2"/>
          <c:order val="1"/>
          <c:tx>
            <c:strRef>
              <c:f>'strvd atGRN&gt;Kir2.1'!$N$11</c:f>
              <c:strCache>
                <c:ptCount val="1"/>
                <c:pt idx="0">
                  <c:v>Suc. &amp; 1% Geo. (atGRN/+)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'strvd atGRN&gt;Kir2.1'!$T$11:$W$11</c:f>
                <c:numCache>
                  <c:formatCode>General</c:formatCode>
                  <c:ptCount val="4"/>
                  <c:pt idx="0">
                    <c:v>3.2408558728338401E-2</c:v>
                  </c:pt>
                  <c:pt idx="1">
                    <c:v>2.1758054748649249E-2</c:v>
                  </c:pt>
                  <c:pt idx="2">
                    <c:v>1.3493993411664783E-2</c:v>
                  </c:pt>
                  <c:pt idx="3">
                    <c:v>1.5173428187933454E-2</c:v>
                  </c:pt>
                </c:numCache>
              </c:numRef>
            </c:plus>
            <c:minus>
              <c:numRef>
                <c:f>'strvd atGRN&gt;Kir2.1'!$T$11:$W$11</c:f>
                <c:numCache>
                  <c:formatCode>General</c:formatCode>
                  <c:ptCount val="4"/>
                  <c:pt idx="0">
                    <c:v>3.2408558728338401E-2</c:v>
                  </c:pt>
                  <c:pt idx="1">
                    <c:v>2.1758054748649249E-2</c:v>
                  </c:pt>
                  <c:pt idx="2">
                    <c:v>1.3493993411664783E-2</c:v>
                  </c:pt>
                  <c:pt idx="3">
                    <c:v>1.5173428187933454E-2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'strvd atGRN&gt;Kir2.1'!$O$9:$R$9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'strvd atGRN&gt;Kir2.1'!$O$11:$R$11</c:f>
              <c:numCache>
                <c:formatCode>General</c:formatCode>
                <c:ptCount val="4"/>
                <c:pt idx="0">
                  <c:v>0.52696588308716463</c:v>
                </c:pt>
                <c:pt idx="1">
                  <c:v>0.67630538797586848</c:v>
                </c:pt>
                <c:pt idx="2">
                  <c:v>0.83521427085500322</c:v>
                </c:pt>
                <c:pt idx="3">
                  <c:v>0.89970355731225293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DC-44B6-8091-2FAC34E481E3}"/>
            </c:ext>
          </c:extLst>
        </c:ser>
        <c:ser>
          <c:idx val="1"/>
          <c:order val="2"/>
          <c:tx>
            <c:strRef>
              <c:f>'strvd atGRN&gt;Kir2.1'!$N$12</c:f>
              <c:strCache>
                <c:ptCount val="1"/>
                <c:pt idx="0">
                  <c:v>Suc. (atGRN&gt;Kir2.1)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'strvd atGRN&gt;Kir2.1'!$T$12:$W$12</c:f>
                <c:numCache>
                  <c:formatCode>General</c:formatCode>
                  <c:ptCount val="4"/>
                  <c:pt idx="0">
                    <c:v>1.4898791670485681E-2</c:v>
                  </c:pt>
                  <c:pt idx="1">
                    <c:v>1.0891999844391584E-2</c:v>
                  </c:pt>
                  <c:pt idx="2">
                    <c:v>2.4062837276454429E-2</c:v>
                  </c:pt>
                  <c:pt idx="3">
                    <c:v>1.69686938331771E-2</c:v>
                  </c:pt>
                </c:numCache>
              </c:numRef>
            </c:plus>
            <c:minus>
              <c:numRef>
                <c:f>'strvd atGRN&gt;Kir2.1'!$T$12:$W$12</c:f>
                <c:numCache>
                  <c:formatCode>General</c:formatCode>
                  <c:ptCount val="4"/>
                  <c:pt idx="0">
                    <c:v>1.4898791670485681E-2</c:v>
                  </c:pt>
                  <c:pt idx="1">
                    <c:v>1.0891999844391584E-2</c:v>
                  </c:pt>
                  <c:pt idx="2">
                    <c:v>2.4062837276454429E-2</c:v>
                  </c:pt>
                  <c:pt idx="3">
                    <c:v>1.69686938331771E-2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'strvd atGRN&gt;Kir2.1'!$O$9:$R$9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'strvd atGRN&gt;Kir2.1'!$O$12:$R$12</c:f>
              <c:numCache>
                <c:formatCode>General</c:formatCode>
                <c:ptCount val="4"/>
                <c:pt idx="0">
                  <c:v>0.14426877470355731</c:v>
                </c:pt>
                <c:pt idx="1">
                  <c:v>0.20059288537549408</c:v>
                </c:pt>
                <c:pt idx="2">
                  <c:v>0.22332015810276679</c:v>
                </c:pt>
                <c:pt idx="3">
                  <c:v>0.22402597402597402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DC-44B6-8091-2FAC34E481E3}"/>
            </c:ext>
          </c:extLst>
        </c:ser>
        <c:ser>
          <c:idx val="3"/>
          <c:order val="3"/>
          <c:tx>
            <c:strRef>
              <c:f>'strvd atGRN&gt;Kir2.1'!$N$13</c:f>
              <c:strCache>
                <c:ptCount val="1"/>
                <c:pt idx="0">
                  <c:v>Suc. &amp; 1% Geo. (atGRN&gt;Kir2.1)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'strvd atGRN&gt;Kir2.1'!$T$13:$W$13</c:f>
                <c:numCache>
                  <c:formatCode>General</c:formatCode>
                  <c:ptCount val="4"/>
                  <c:pt idx="0">
                    <c:v>3.3535628773061037E-2</c:v>
                  </c:pt>
                  <c:pt idx="1">
                    <c:v>3.5620553761724232E-2</c:v>
                  </c:pt>
                  <c:pt idx="2">
                    <c:v>9.0632096481443741E-3</c:v>
                  </c:pt>
                  <c:pt idx="3">
                    <c:v>1.3831377714776893E-2</c:v>
                  </c:pt>
                </c:numCache>
              </c:numRef>
            </c:plus>
            <c:minus>
              <c:numRef>
                <c:f>'strvd atGRN&gt;Kir2.1'!$T$13:$W$13</c:f>
                <c:numCache>
                  <c:formatCode>General</c:formatCode>
                  <c:ptCount val="4"/>
                  <c:pt idx="0">
                    <c:v>3.3535628773061037E-2</c:v>
                  </c:pt>
                  <c:pt idx="1">
                    <c:v>3.5620553761724232E-2</c:v>
                  </c:pt>
                  <c:pt idx="2">
                    <c:v>9.0632096481443741E-3</c:v>
                  </c:pt>
                  <c:pt idx="3">
                    <c:v>1.3831377714776893E-2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'strvd atGRN&gt;Kir2.1'!$O$9:$R$9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'strvd atGRN&gt;Kir2.1'!$O$13:$R$13</c:f>
              <c:numCache>
                <c:formatCode>General</c:formatCode>
                <c:ptCount val="4"/>
                <c:pt idx="0">
                  <c:v>0.15662055335968378</c:v>
                </c:pt>
                <c:pt idx="1">
                  <c:v>0.19021739130434781</c:v>
                </c:pt>
                <c:pt idx="2">
                  <c:v>0.1892292490118577</c:v>
                </c:pt>
                <c:pt idx="3">
                  <c:v>0.18831168831168832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DC-44B6-8091-2FAC34E48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0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0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14031243750691"/>
          <c:y val="0.66293853253503976"/>
          <c:w val="0.80955935720564232"/>
          <c:h val="0.3043806076409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25514</xdr:colOff>
      <xdr:row>16</xdr:row>
      <xdr:rowOff>136073</xdr:rowOff>
    </xdr:from>
    <xdr:to>
      <xdr:col>16</xdr:col>
      <xdr:colOff>26276</xdr:colOff>
      <xdr:row>36</xdr:row>
      <xdr:rowOff>8504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437981</xdr:colOff>
      <xdr:row>17</xdr:row>
      <xdr:rowOff>42522</xdr:rowOff>
    </xdr:from>
    <xdr:ext cx="383567" cy="25182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91419" y="2517321"/>
          <a:ext cx="383567" cy="2518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Fed</a:t>
          </a:r>
          <a:endParaRPr lang="ko-KR" altLang="ko-KR" sz="900" b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603816</xdr:colOff>
      <xdr:row>16</xdr:row>
      <xdr:rowOff>144576</xdr:rowOff>
    </xdr:from>
    <xdr:to>
      <xdr:col>16</xdr:col>
      <xdr:colOff>603816</xdr:colOff>
      <xdr:row>34</xdr:row>
      <xdr:rowOff>9921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495B0-A653-4059-8F22-CDC10AAE3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437981</xdr:colOff>
      <xdr:row>17</xdr:row>
      <xdr:rowOff>42523</xdr:rowOff>
    </xdr:from>
    <xdr:ext cx="582404" cy="22499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CA1A94-5D25-43B4-9FFD-C5030C0F4084}"/>
            </a:ext>
          </a:extLst>
        </xdr:cNvPr>
        <xdr:cNvSpPr txBox="1"/>
      </xdr:nvSpPr>
      <xdr:spPr>
        <a:xfrm>
          <a:off x="8891419" y="2517322"/>
          <a:ext cx="582404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Starved</a:t>
          </a:r>
          <a:endParaRPr lang="ko-KR" altLang="ko-KR" sz="900" b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3"/>
  <sheetViews>
    <sheetView tabSelected="1" zoomScale="92" zoomScaleNormal="92" workbookViewId="0">
      <selection activeCell="I112" sqref="I112"/>
    </sheetView>
  </sheetViews>
  <sheetFormatPr defaultColWidth="9" defaultRowHeight="10.199999999999999"/>
  <cols>
    <col min="1" max="13" width="9" style="2"/>
    <col min="14" max="14" width="18.33203125" style="2" customWidth="1"/>
    <col min="15" max="16384" width="9" style="2"/>
  </cols>
  <sheetData>
    <row r="1" spans="1:23">
      <c r="A1" s="1" t="s">
        <v>21</v>
      </c>
    </row>
    <row r="2" spans="1:23">
      <c r="N2" s="3"/>
      <c r="O2" s="3"/>
      <c r="P2" s="3"/>
    </row>
    <row r="3" spans="1:23" ht="11.4">
      <c r="A3" s="13" t="s">
        <v>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N3" s="3"/>
      <c r="O3" s="3"/>
      <c r="P3" s="3"/>
    </row>
    <row r="4" spans="1:23">
      <c r="A4" s="4"/>
      <c r="B4" s="15" t="s">
        <v>0</v>
      </c>
      <c r="C4" s="16"/>
      <c r="D4" s="17"/>
      <c r="E4" s="14" t="s">
        <v>1</v>
      </c>
      <c r="F4" s="14"/>
      <c r="G4" s="14"/>
      <c r="H4" s="4"/>
      <c r="I4" s="4"/>
      <c r="J4" s="4"/>
      <c r="K4" s="5" t="s">
        <v>2</v>
      </c>
      <c r="L4" s="6" t="s">
        <v>3</v>
      </c>
      <c r="N4" s="3"/>
      <c r="O4" s="3"/>
      <c r="P4" s="3"/>
    </row>
    <row r="5" spans="1:23">
      <c r="A5" s="7" t="s">
        <v>4</v>
      </c>
      <c r="B5" s="5" t="s">
        <v>5</v>
      </c>
      <c r="C5" s="5" t="s">
        <v>6</v>
      </c>
      <c r="D5" s="5" t="s">
        <v>7</v>
      </c>
      <c r="E5" s="5" t="s">
        <v>5</v>
      </c>
      <c r="F5" s="5" t="s">
        <v>6</v>
      </c>
      <c r="G5" s="5" t="s">
        <v>7</v>
      </c>
      <c r="H5" s="4"/>
      <c r="I5" s="18" t="s">
        <v>0</v>
      </c>
      <c r="J5" s="19"/>
      <c r="K5" s="5">
        <f>AVERAGE(D6:D15)</f>
        <v>0.24733750548967939</v>
      </c>
      <c r="L5" s="5">
        <f>STDEV(D6:D15)/SQRT(6)</f>
        <v>2.8348071372030745E-2</v>
      </c>
      <c r="N5" s="3"/>
      <c r="O5" s="3"/>
      <c r="P5" s="3"/>
    </row>
    <row r="6" spans="1:23">
      <c r="A6" s="5">
        <v>1</v>
      </c>
      <c r="B6" s="5">
        <v>7</v>
      </c>
      <c r="C6" s="5">
        <v>22</v>
      </c>
      <c r="D6" s="5">
        <f>B6/C6</f>
        <v>0.31818181818181818</v>
      </c>
      <c r="E6" s="5">
        <v>6</v>
      </c>
      <c r="F6" s="5">
        <v>22</v>
      </c>
      <c r="G6" s="5">
        <f>E6/F6</f>
        <v>0.27272727272727271</v>
      </c>
      <c r="H6" s="4"/>
      <c r="I6" s="18" t="s">
        <v>8</v>
      </c>
      <c r="J6" s="19"/>
      <c r="K6" s="5">
        <f>AVERAGE(G6:G15)</f>
        <v>0.14608036890645584</v>
      </c>
      <c r="L6" s="5">
        <f>STDEV(G6:G15)/SQRT(6)</f>
        <v>3.255594652022293E-2</v>
      </c>
    </row>
    <row r="7" spans="1:23">
      <c r="A7" s="5">
        <v>2</v>
      </c>
      <c r="B7" s="5">
        <v>3</v>
      </c>
      <c r="C7" s="5">
        <v>23</v>
      </c>
      <c r="D7" s="5">
        <f t="shared" ref="D7:D8" si="0">B7/C7</f>
        <v>0.13043478260869565</v>
      </c>
      <c r="E7" s="5">
        <v>4</v>
      </c>
      <c r="F7" s="5">
        <v>23</v>
      </c>
      <c r="G7" s="5">
        <f t="shared" ref="G7:G8" si="1">E7/F7</f>
        <v>0.17391304347826086</v>
      </c>
      <c r="H7" s="4"/>
    </row>
    <row r="8" spans="1:23">
      <c r="A8" s="5">
        <v>3</v>
      </c>
      <c r="B8" s="5">
        <v>6</v>
      </c>
      <c r="C8" s="5">
        <v>22</v>
      </c>
      <c r="D8" s="5">
        <f t="shared" si="0"/>
        <v>0.27272727272727271</v>
      </c>
      <c r="E8" s="5">
        <v>3</v>
      </c>
      <c r="F8" s="5">
        <v>22</v>
      </c>
      <c r="G8" s="5">
        <f t="shared" si="1"/>
        <v>0.13636363636363635</v>
      </c>
      <c r="H8" s="4"/>
      <c r="I8" s="4"/>
      <c r="J8" s="4"/>
      <c r="K8" s="4"/>
      <c r="L8" s="4"/>
      <c r="O8" s="8" t="s">
        <v>2</v>
      </c>
      <c r="T8" s="1" t="s">
        <v>20</v>
      </c>
    </row>
    <row r="9" spans="1:23">
      <c r="A9" s="5">
        <v>4</v>
      </c>
      <c r="B9" s="5">
        <v>7</v>
      </c>
      <c r="C9" s="5">
        <v>23</v>
      </c>
      <c r="D9" s="5">
        <f t="shared" ref="D9:D11" si="2">B9/C9</f>
        <v>0.30434782608695654</v>
      </c>
      <c r="E9" s="5">
        <v>1</v>
      </c>
      <c r="F9" s="5">
        <v>23</v>
      </c>
      <c r="G9" s="5">
        <f t="shared" ref="G9:G11" si="3">E9/F9</f>
        <v>4.3478260869565216E-2</v>
      </c>
      <c r="H9" s="4"/>
      <c r="I9" s="4"/>
      <c r="J9" s="4"/>
      <c r="K9" s="4"/>
      <c r="L9" s="4"/>
      <c r="N9" s="1"/>
      <c r="O9" s="1">
        <v>10</v>
      </c>
      <c r="P9" s="1">
        <v>50</v>
      </c>
      <c r="Q9" s="1">
        <v>100</v>
      </c>
      <c r="R9" s="1">
        <v>500</v>
      </c>
      <c r="S9" s="1"/>
      <c r="T9" s="1">
        <v>10</v>
      </c>
      <c r="U9" s="1">
        <v>50</v>
      </c>
      <c r="V9" s="1">
        <v>100</v>
      </c>
      <c r="W9" s="1">
        <v>500</v>
      </c>
    </row>
    <row r="10" spans="1:23">
      <c r="A10" s="5">
        <v>5</v>
      </c>
      <c r="B10" s="24">
        <v>5</v>
      </c>
      <c r="C10" s="24">
        <v>24</v>
      </c>
      <c r="D10" s="24">
        <f t="shared" si="2"/>
        <v>0.20833333333333334</v>
      </c>
      <c r="E10" s="24">
        <v>4</v>
      </c>
      <c r="F10" s="24">
        <v>24</v>
      </c>
      <c r="G10" s="24">
        <f t="shared" si="3"/>
        <v>0.16666666666666666</v>
      </c>
      <c r="H10" s="4"/>
      <c r="I10" s="4"/>
      <c r="J10" s="4"/>
      <c r="K10" s="4"/>
      <c r="L10" s="4"/>
      <c r="N10" s="1" t="s">
        <v>33</v>
      </c>
      <c r="O10" s="2">
        <f>K5</f>
        <v>0.24733750548967939</v>
      </c>
      <c r="P10" s="2">
        <f>K19</f>
        <v>0.3353645147123408</v>
      </c>
      <c r="Q10" s="2">
        <f>K33</f>
        <v>0.48742863416776455</v>
      </c>
      <c r="R10" s="2">
        <f>K47</f>
        <v>0.65999278499278502</v>
      </c>
      <c r="T10" s="2">
        <f>L5</f>
        <v>2.8348071372030745E-2</v>
      </c>
      <c r="U10" s="2">
        <f>L19</f>
        <v>4.0525027523684136E-2</v>
      </c>
      <c r="V10" s="2">
        <f>L33</f>
        <v>4.6693942856602846E-2</v>
      </c>
      <c r="W10" s="2">
        <f>L47</f>
        <v>6.3725149767976094E-2</v>
      </c>
    </row>
    <row r="11" spans="1:23">
      <c r="A11" s="5">
        <v>6</v>
      </c>
      <c r="B11" s="24">
        <v>6</v>
      </c>
      <c r="C11" s="24">
        <v>24</v>
      </c>
      <c r="D11" s="24">
        <f t="shared" si="2"/>
        <v>0.25</v>
      </c>
      <c r="E11" s="24">
        <v>2</v>
      </c>
      <c r="F11" s="24">
        <v>24</v>
      </c>
      <c r="G11" s="24">
        <f t="shared" si="3"/>
        <v>8.3333333333333329E-2</v>
      </c>
      <c r="H11" s="4"/>
      <c r="I11" s="4"/>
      <c r="J11" s="4"/>
      <c r="K11" s="4"/>
      <c r="L11" s="4"/>
      <c r="N11" s="1" t="s">
        <v>36</v>
      </c>
      <c r="O11" s="2">
        <f>K6</f>
        <v>0.14608036890645584</v>
      </c>
      <c r="P11" s="2">
        <f>K20</f>
        <v>0.19625603864734298</v>
      </c>
      <c r="Q11" s="2">
        <f>K34</f>
        <v>0.27667984189723321</v>
      </c>
      <c r="R11" s="2">
        <f>K48</f>
        <v>0.57440476190476197</v>
      </c>
      <c r="T11" s="2">
        <f>L6</f>
        <v>3.255594652022293E-2</v>
      </c>
      <c r="U11" s="2">
        <f>L20</f>
        <v>3.3843550724879268E-2</v>
      </c>
      <c r="V11" s="2">
        <f>L34</f>
        <v>3.355130194908728E-2</v>
      </c>
      <c r="W11" s="2">
        <f>L48</f>
        <v>5.629643460071717E-2</v>
      </c>
    </row>
    <row r="12" spans="1:23">
      <c r="A12" s="5">
        <v>7</v>
      </c>
      <c r="B12" s="24"/>
      <c r="C12" s="24"/>
      <c r="D12" s="24"/>
      <c r="E12" s="24"/>
      <c r="F12" s="24"/>
      <c r="G12" s="24"/>
      <c r="H12" s="4"/>
      <c r="I12" s="4"/>
      <c r="J12" s="4"/>
      <c r="K12" s="4"/>
      <c r="L12" s="4"/>
      <c r="N12" s="1" t="s">
        <v>34</v>
      </c>
      <c r="O12" s="2">
        <f>K61</f>
        <v>0.10541254940711464</v>
      </c>
      <c r="P12" s="2">
        <f>K75</f>
        <v>0.16859189723320159</v>
      </c>
      <c r="Q12" s="2">
        <f>K89</f>
        <v>0.24111001317523056</v>
      </c>
      <c r="R12" s="2">
        <f>K103</f>
        <v>0.27285161396574442</v>
      </c>
      <c r="T12" s="2">
        <f>L61</f>
        <v>1.0353588706973232E-2</v>
      </c>
      <c r="U12" s="2">
        <f>L75</f>
        <v>2.1958098094772685E-2</v>
      </c>
      <c r="V12" s="2">
        <f>L89</f>
        <v>4.3499563484977813E-2</v>
      </c>
      <c r="W12" s="2">
        <f>L103</f>
        <v>4.5504047094036604E-2</v>
      </c>
    </row>
    <row r="13" spans="1:23">
      <c r="A13" s="5">
        <v>8</v>
      </c>
      <c r="B13" s="24"/>
      <c r="C13" s="24"/>
      <c r="D13" s="24"/>
      <c r="E13" s="24"/>
      <c r="F13" s="24"/>
      <c r="G13" s="24"/>
      <c r="H13" s="4"/>
      <c r="I13" s="4"/>
      <c r="J13" s="4"/>
      <c r="K13" s="4"/>
      <c r="L13" s="4"/>
      <c r="N13" s="1" t="s">
        <v>37</v>
      </c>
      <c r="O13" s="2">
        <f>K62</f>
        <v>8.5451251646903814E-2</v>
      </c>
      <c r="P13" s="2">
        <f>K76</f>
        <v>0.11624588274044795</v>
      </c>
      <c r="Q13" s="2">
        <f>K90</f>
        <v>0.16272233201581027</v>
      </c>
      <c r="R13" s="2">
        <f>K104</f>
        <v>0.20618635893092416</v>
      </c>
      <c r="T13" s="2">
        <f>L62</f>
        <v>1.2065730251470421E-2</v>
      </c>
      <c r="U13" s="2">
        <f>L76</f>
        <v>1.8744502351585736E-2</v>
      </c>
      <c r="V13" s="2">
        <f>L90</f>
        <v>2.3216639417508542E-2</v>
      </c>
      <c r="W13" s="2">
        <f>L104</f>
        <v>2.6124959013776507E-2</v>
      </c>
    </row>
    <row r="14" spans="1:23">
      <c r="A14" s="5">
        <v>9</v>
      </c>
      <c r="B14" s="24"/>
      <c r="C14" s="24"/>
      <c r="D14" s="24"/>
      <c r="E14" s="24"/>
      <c r="F14" s="24"/>
      <c r="G14" s="24"/>
      <c r="H14" s="4"/>
      <c r="I14" s="4"/>
      <c r="J14" s="4"/>
      <c r="K14" s="4"/>
      <c r="L14" s="4"/>
    </row>
    <row r="15" spans="1:23">
      <c r="A15" s="5">
        <v>10</v>
      </c>
      <c r="B15" s="5"/>
      <c r="C15" s="5"/>
      <c r="D15" s="5"/>
      <c r="E15" s="5"/>
      <c r="F15" s="5"/>
      <c r="G15" s="5"/>
      <c r="H15" s="4"/>
      <c r="I15" s="4"/>
      <c r="J15" s="4"/>
      <c r="K15" s="4"/>
      <c r="L15" s="4"/>
    </row>
    <row r="16" spans="1:2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1.4">
      <c r="A17" s="13" t="s">
        <v>31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15" t="s">
        <v>9</v>
      </c>
      <c r="C18" s="16"/>
      <c r="D18" s="17"/>
      <c r="E18" s="15" t="s">
        <v>12</v>
      </c>
      <c r="F18" s="16"/>
      <c r="G18" s="17"/>
      <c r="H18" s="4"/>
      <c r="I18" s="4"/>
      <c r="J18" s="4"/>
      <c r="K18" s="5" t="s">
        <v>13</v>
      </c>
      <c r="L18" s="6" t="s">
        <v>3</v>
      </c>
    </row>
    <row r="19" spans="1:12">
      <c r="A19" s="7" t="s">
        <v>14</v>
      </c>
      <c r="B19" s="5" t="s">
        <v>5</v>
      </c>
      <c r="C19" s="5" t="s">
        <v>6</v>
      </c>
      <c r="D19" s="5" t="s">
        <v>7</v>
      </c>
      <c r="E19" s="5" t="s">
        <v>5</v>
      </c>
      <c r="F19" s="5" t="s">
        <v>6</v>
      </c>
      <c r="G19" s="5" t="s">
        <v>15</v>
      </c>
      <c r="H19" s="4"/>
      <c r="I19" s="15" t="s">
        <v>9</v>
      </c>
      <c r="J19" s="17"/>
      <c r="K19" s="5">
        <f>AVERAGE(D20:D29)</f>
        <v>0.3353645147123408</v>
      </c>
      <c r="L19" s="5">
        <f>STDEV(D20:D29)/SQRT(6)</f>
        <v>4.0525027523684136E-2</v>
      </c>
    </row>
    <row r="20" spans="1:12">
      <c r="A20" s="5">
        <v>1</v>
      </c>
      <c r="B20" s="5">
        <v>8</v>
      </c>
      <c r="C20" s="5">
        <v>22</v>
      </c>
      <c r="D20" s="5">
        <f>B20/C20</f>
        <v>0.36363636363636365</v>
      </c>
      <c r="E20" s="5">
        <v>5</v>
      </c>
      <c r="F20" s="5">
        <v>22</v>
      </c>
      <c r="G20" s="5">
        <f>E20/F20</f>
        <v>0.22727272727272727</v>
      </c>
      <c r="H20" s="4"/>
      <c r="I20" s="15" t="s">
        <v>16</v>
      </c>
      <c r="J20" s="17"/>
      <c r="K20" s="5">
        <f>AVERAGE(G20:G29)</f>
        <v>0.19625603864734298</v>
      </c>
      <c r="L20" s="5">
        <f>STDEV(G20:G29)/SQRT(6)</f>
        <v>3.3843550724879268E-2</v>
      </c>
    </row>
    <row r="21" spans="1:12">
      <c r="A21" s="5">
        <v>2</v>
      </c>
      <c r="B21" s="5">
        <v>5</v>
      </c>
      <c r="C21" s="5">
        <v>23</v>
      </c>
      <c r="D21" s="5">
        <f t="shared" ref="D21:D22" si="4">B21/C21</f>
        <v>0.21739130434782608</v>
      </c>
      <c r="E21" s="5">
        <v>1</v>
      </c>
      <c r="F21" s="5">
        <v>23</v>
      </c>
      <c r="G21" s="5">
        <f t="shared" ref="G21:G22" si="5">E21/F21</f>
        <v>4.3478260869565216E-2</v>
      </c>
      <c r="H21" s="4"/>
    </row>
    <row r="22" spans="1:12">
      <c r="A22" s="5">
        <v>3</v>
      </c>
      <c r="B22" s="5">
        <v>11</v>
      </c>
      <c r="C22" s="5">
        <v>22</v>
      </c>
      <c r="D22" s="5">
        <f t="shared" si="4"/>
        <v>0.5</v>
      </c>
      <c r="E22" s="5">
        <v>6</v>
      </c>
      <c r="F22" s="5">
        <v>22</v>
      </c>
      <c r="G22" s="5">
        <f t="shared" si="5"/>
        <v>0.27272727272727271</v>
      </c>
      <c r="H22" s="4"/>
      <c r="I22" s="4"/>
      <c r="J22" s="4"/>
      <c r="K22" s="4"/>
      <c r="L22" s="4"/>
    </row>
    <row r="23" spans="1:12">
      <c r="A23" s="5">
        <v>4</v>
      </c>
      <c r="B23" s="5">
        <v>8</v>
      </c>
      <c r="C23" s="5">
        <v>23</v>
      </c>
      <c r="D23" s="5">
        <f t="shared" ref="D23:D25" si="6">B23/C23</f>
        <v>0.34782608695652173</v>
      </c>
      <c r="E23" s="5">
        <v>5</v>
      </c>
      <c r="F23" s="5">
        <v>23</v>
      </c>
      <c r="G23" s="5">
        <f t="shared" ref="G23:G25" si="7">E23/F23</f>
        <v>0.21739130434782608</v>
      </c>
      <c r="H23" s="4"/>
      <c r="I23" s="4"/>
      <c r="J23" s="4"/>
      <c r="K23" s="4"/>
      <c r="L23" s="4"/>
    </row>
    <row r="24" spans="1:12">
      <c r="A24" s="5">
        <v>5</v>
      </c>
      <c r="B24" s="24">
        <v>6</v>
      </c>
      <c r="C24" s="24">
        <v>24</v>
      </c>
      <c r="D24" s="24">
        <f t="shared" si="6"/>
        <v>0.25</v>
      </c>
      <c r="E24" s="24">
        <v>4</v>
      </c>
      <c r="F24" s="24">
        <v>24</v>
      </c>
      <c r="G24" s="24">
        <f t="shared" si="7"/>
        <v>0.16666666666666666</v>
      </c>
      <c r="H24" s="4"/>
      <c r="I24" s="4"/>
      <c r="J24" s="4"/>
      <c r="K24" s="4"/>
      <c r="L24" s="4"/>
    </row>
    <row r="25" spans="1:12">
      <c r="A25" s="5">
        <v>6</v>
      </c>
      <c r="B25" s="24">
        <v>8</v>
      </c>
      <c r="C25" s="24">
        <v>24</v>
      </c>
      <c r="D25" s="24">
        <f t="shared" si="6"/>
        <v>0.33333333333333331</v>
      </c>
      <c r="E25" s="24">
        <v>6</v>
      </c>
      <c r="F25" s="24">
        <v>24</v>
      </c>
      <c r="G25" s="24">
        <f t="shared" si="7"/>
        <v>0.25</v>
      </c>
      <c r="H25" s="4"/>
      <c r="I25" s="4"/>
      <c r="J25" s="4"/>
      <c r="K25" s="4"/>
      <c r="L25" s="4"/>
    </row>
    <row r="26" spans="1:12">
      <c r="A26" s="5">
        <v>7</v>
      </c>
      <c r="B26" s="24"/>
      <c r="C26" s="24"/>
      <c r="D26" s="24"/>
      <c r="E26" s="24"/>
      <c r="F26" s="24"/>
      <c r="G26" s="24"/>
      <c r="H26" s="4"/>
      <c r="I26" s="4"/>
      <c r="J26" s="4"/>
      <c r="K26" s="4"/>
      <c r="L26" s="4"/>
    </row>
    <row r="27" spans="1:12">
      <c r="A27" s="5">
        <v>8</v>
      </c>
      <c r="B27" s="24"/>
      <c r="C27" s="24"/>
      <c r="D27" s="24"/>
      <c r="E27" s="24"/>
      <c r="F27" s="24"/>
      <c r="G27" s="24"/>
      <c r="H27" s="4"/>
      <c r="I27" s="4"/>
      <c r="J27" s="4"/>
      <c r="K27" s="4"/>
      <c r="L27" s="4"/>
    </row>
    <row r="28" spans="1:12">
      <c r="A28" s="5">
        <v>9</v>
      </c>
      <c r="B28" s="24"/>
      <c r="C28" s="24"/>
      <c r="D28" s="24"/>
      <c r="E28" s="24"/>
      <c r="F28" s="24"/>
      <c r="G28" s="24"/>
      <c r="H28" s="4"/>
      <c r="I28" s="4"/>
      <c r="J28" s="4"/>
      <c r="K28" s="4"/>
      <c r="L28" s="4"/>
    </row>
    <row r="29" spans="1:12">
      <c r="A29" s="5">
        <v>10</v>
      </c>
      <c r="B29" s="24"/>
      <c r="C29" s="24"/>
      <c r="D29" s="24"/>
      <c r="E29" s="24"/>
      <c r="F29" s="24"/>
      <c r="G29" s="2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1.4">
      <c r="A31" s="13" t="s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15" t="s">
        <v>10</v>
      </c>
      <c r="C32" s="16"/>
      <c r="D32" s="17"/>
      <c r="E32" s="14" t="s">
        <v>17</v>
      </c>
      <c r="F32" s="14"/>
      <c r="G32" s="14"/>
      <c r="H32" s="4"/>
      <c r="I32" s="4"/>
      <c r="J32" s="4"/>
      <c r="K32" s="5" t="s">
        <v>2</v>
      </c>
      <c r="L32" s="6" t="s">
        <v>3</v>
      </c>
    </row>
    <row r="33" spans="1:15">
      <c r="A33" s="7" t="s">
        <v>4</v>
      </c>
      <c r="B33" s="5" t="s">
        <v>5</v>
      </c>
      <c r="C33" s="5" t="s">
        <v>6</v>
      </c>
      <c r="D33" s="5" t="s">
        <v>7</v>
      </c>
      <c r="E33" s="5" t="s">
        <v>5</v>
      </c>
      <c r="F33" s="5" t="s">
        <v>6</v>
      </c>
      <c r="G33" s="5" t="s">
        <v>7</v>
      </c>
      <c r="H33" s="4"/>
      <c r="I33" s="14" t="s">
        <v>10</v>
      </c>
      <c r="J33" s="14"/>
      <c r="K33" s="5">
        <f>AVERAGE(D34:D43)</f>
        <v>0.48742863416776455</v>
      </c>
      <c r="L33" s="5">
        <f>STDEV(D34:D43)/SQRT(6)</f>
        <v>4.6693942856602846E-2</v>
      </c>
    </row>
    <row r="34" spans="1:15">
      <c r="A34" s="5">
        <v>1</v>
      </c>
      <c r="B34" s="5">
        <v>12</v>
      </c>
      <c r="C34" s="5">
        <v>22</v>
      </c>
      <c r="D34" s="5">
        <f>B34/C34</f>
        <v>0.54545454545454541</v>
      </c>
      <c r="E34" s="5">
        <v>9</v>
      </c>
      <c r="F34" s="5">
        <v>22</v>
      </c>
      <c r="G34" s="5">
        <f>E34/F34</f>
        <v>0.40909090909090912</v>
      </c>
      <c r="H34" s="4"/>
      <c r="I34" s="14" t="s">
        <v>18</v>
      </c>
      <c r="J34" s="14"/>
      <c r="K34" s="5">
        <f>AVERAGE(G34:G43)</f>
        <v>0.27667984189723321</v>
      </c>
      <c r="L34" s="5">
        <f>STDEV(G34:G43)/SQRT(6)</f>
        <v>3.355130194908728E-2</v>
      </c>
      <c r="O34" s="2" t="s">
        <v>22</v>
      </c>
    </row>
    <row r="35" spans="1:15">
      <c r="A35" s="5">
        <v>2</v>
      </c>
      <c r="B35" s="5">
        <v>7</v>
      </c>
      <c r="C35" s="5">
        <v>23</v>
      </c>
      <c r="D35" s="5">
        <f t="shared" ref="D35:D36" si="8">B35/C35</f>
        <v>0.30434782608695654</v>
      </c>
      <c r="E35" s="5">
        <v>7</v>
      </c>
      <c r="F35" s="5">
        <v>23</v>
      </c>
      <c r="G35" s="5">
        <f t="shared" ref="G35:G36" si="9">E35/F35</f>
        <v>0.30434782608695654</v>
      </c>
      <c r="H35" s="4"/>
    </row>
    <row r="36" spans="1:15">
      <c r="A36" s="5">
        <v>3</v>
      </c>
      <c r="B36" s="5">
        <v>14</v>
      </c>
      <c r="C36" s="5">
        <v>22</v>
      </c>
      <c r="D36" s="5">
        <f t="shared" si="8"/>
        <v>0.63636363636363635</v>
      </c>
      <c r="E36" s="5">
        <v>6</v>
      </c>
      <c r="F36" s="5">
        <v>22</v>
      </c>
      <c r="G36" s="5">
        <f t="shared" si="9"/>
        <v>0.27272727272727271</v>
      </c>
      <c r="H36" s="4"/>
      <c r="I36" s="4"/>
      <c r="J36" s="4"/>
      <c r="K36" s="4"/>
      <c r="L36" s="4"/>
    </row>
    <row r="37" spans="1:15">
      <c r="A37" s="5">
        <v>4</v>
      </c>
      <c r="B37" s="5">
        <v>12</v>
      </c>
      <c r="C37" s="5">
        <v>23</v>
      </c>
      <c r="D37" s="5">
        <f t="shared" ref="D37:D39" si="10">B37/C37</f>
        <v>0.52173913043478259</v>
      </c>
      <c r="E37" s="5">
        <v>4</v>
      </c>
      <c r="F37" s="5">
        <v>23</v>
      </c>
      <c r="G37" s="5">
        <f t="shared" ref="G37:G39" si="11">E37/F37</f>
        <v>0.17391304347826086</v>
      </c>
      <c r="H37" s="4"/>
      <c r="I37" s="4"/>
      <c r="J37" s="4"/>
      <c r="K37" s="4"/>
      <c r="L37" s="4"/>
    </row>
    <row r="38" spans="1:15">
      <c r="A38" s="5">
        <v>5</v>
      </c>
      <c r="B38" s="24">
        <v>12</v>
      </c>
      <c r="C38" s="24">
        <v>24</v>
      </c>
      <c r="D38" s="24">
        <f t="shared" si="10"/>
        <v>0.5</v>
      </c>
      <c r="E38" s="24">
        <v>5</v>
      </c>
      <c r="F38" s="24">
        <v>24</v>
      </c>
      <c r="G38" s="24">
        <f t="shared" si="11"/>
        <v>0.20833333333333334</v>
      </c>
      <c r="H38" s="4"/>
      <c r="I38" s="4"/>
      <c r="J38" s="4"/>
      <c r="K38" s="4"/>
      <c r="L38" s="4"/>
    </row>
    <row r="39" spans="1:15">
      <c r="A39" s="5">
        <v>6</v>
      </c>
      <c r="B39" s="24">
        <v>10</v>
      </c>
      <c r="C39" s="24">
        <v>24</v>
      </c>
      <c r="D39" s="24">
        <f t="shared" si="10"/>
        <v>0.41666666666666669</v>
      </c>
      <c r="E39" s="24">
        <v>7</v>
      </c>
      <c r="F39" s="24">
        <v>24</v>
      </c>
      <c r="G39" s="24">
        <f t="shared" si="11"/>
        <v>0.29166666666666669</v>
      </c>
      <c r="H39" s="4"/>
      <c r="I39" s="4"/>
      <c r="J39" s="4"/>
      <c r="K39" s="4"/>
      <c r="L39" s="4"/>
    </row>
    <row r="40" spans="1:15">
      <c r="A40" s="5">
        <v>7</v>
      </c>
      <c r="B40" s="24"/>
      <c r="C40" s="24"/>
      <c r="D40" s="24"/>
      <c r="E40" s="24"/>
      <c r="F40" s="24"/>
      <c r="G40" s="24"/>
      <c r="H40" s="4"/>
      <c r="I40" s="4"/>
      <c r="J40" s="4"/>
      <c r="K40" s="4"/>
      <c r="L40" s="4"/>
    </row>
    <row r="41" spans="1:15">
      <c r="A41" s="5">
        <v>8</v>
      </c>
      <c r="B41" s="24"/>
      <c r="C41" s="24"/>
      <c r="D41" s="24"/>
      <c r="E41" s="24"/>
      <c r="F41" s="24"/>
      <c r="G41" s="24"/>
      <c r="H41" s="4"/>
      <c r="I41" s="4"/>
      <c r="J41" s="4"/>
      <c r="K41" s="4"/>
      <c r="L41" s="4"/>
    </row>
    <row r="42" spans="1:15">
      <c r="A42" s="5">
        <v>9</v>
      </c>
      <c r="B42" s="24"/>
      <c r="C42" s="24"/>
      <c r="D42" s="24"/>
      <c r="E42" s="24"/>
      <c r="F42" s="24"/>
      <c r="G42" s="24"/>
      <c r="H42" s="4"/>
      <c r="I42" s="4"/>
      <c r="J42" s="4"/>
      <c r="K42" s="4"/>
      <c r="L42" s="4"/>
    </row>
    <row r="43" spans="1:15">
      <c r="A43" s="5">
        <v>10</v>
      </c>
      <c r="B43" s="5"/>
      <c r="C43" s="5"/>
      <c r="D43" s="5"/>
      <c r="E43" s="5"/>
      <c r="F43" s="5"/>
      <c r="G43" s="5"/>
      <c r="H43" s="4"/>
      <c r="I43" s="4"/>
      <c r="J43" s="4"/>
      <c r="K43" s="4"/>
      <c r="L43" s="4"/>
    </row>
    <row r="45" spans="1:15" ht="11.4">
      <c r="A45" s="13" t="s">
        <v>31</v>
      </c>
      <c r="B45" s="4"/>
      <c r="C45" s="4"/>
      <c r="D45" s="4"/>
      <c r="E45" s="4"/>
      <c r="F45" s="4"/>
      <c r="G45" s="4"/>
    </row>
    <row r="46" spans="1:15">
      <c r="A46" s="4"/>
      <c r="B46" s="15" t="s">
        <v>11</v>
      </c>
      <c r="C46" s="16"/>
      <c r="D46" s="17"/>
      <c r="E46" s="14" t="s">
        <v>19</v>
      </c>
      <c r="F46" s="14"/>
      <c r="G46" s="14"/>
      <c r="I46" s="4"/>
      <c r="J46" s="4"/>
      <c r="K46" s="5" t="s">
        <v>13</v>
      </c>
      <c r="L46" s="6" t="s">
        <v>3</v>
      </c>
    </row>
    <row r="47" spans="1:15">
      <c r="A47" s="7" t="s">
        <v>4</v>
      </c>
      <c r="B47" s="5" t="s">
        <v>5</v>
      </c>
      <c r="C47" s="5" t="s">
        <v>6</v>
      </c>
      <c r="D47" s="5" t="s">
        <v>7</v>
      </c>
      <c r="E47" s="5" t="s">
        <v>5</v>
      </c>
      <c r="F47" s="5" t="s">
        <v>6</v>
      </c>
      <c r="G47" s="5" t="s">
        <v>7</v>
      </c>
      <c r="I47" s="15" t="s">
        <v>9</v>
      </c>
      <c r="J47" s="17"/>
      <c r="K47" s="5">
        <f>AVERAGE(D48:D57)</f>
        <v>0.65999278499278502</v>
      </c>
      <c r="L47" s="5">
        <f>STDEV(D48:D57)/SQRT(6)</f>
        <v>6.3725149767976094E-2</v>
      </c>
    </row>
    <row r="48" spans="1:15">
      <c r="A48" s="5">
        <v>1</v>
      </c>
      <c r="B48" s="5">
        <v>18</v>
      </c>
      <c r="C48" s="5">
        <v>21</v>
      </c>
      <c r="D48" s="5">
        <f>B48/C48</f>
        <v>0.8571428571428571</v>
      </c>
      <c r="E48" s="5">
        <v>16</v>
      </c>
      <c r="F48" s="5">
        <v>21</v>
      </c>
      <c r="G48" s="5">
        <f>E48/F48</f>
        <v>0.76190476190476186</v>
      </c>
      <c r="I48" s="15" t="s">
        <v>16</v>
      </c>
      <c r="J48" s="17"/>
      <c r="K48" s="5">
        <f>AVERAGE(G48:G57)</f>
        <v>0.57440476190476197</v>
      </c>
      <c r="L48" s="5">
        <f>STDEV(G48:G57)/SQRT(6)</f>
        <v>5.629643460071717E-2</v>
      </c>
    </row>
    <row r="49" spans="1:12">
      <c r="A49" s="5">
        <v>2</v>
      </c>
      <c r="B49" s="5">
        <v>12</v>
      </c>
      <c r="C49" s="5">
        <v>21</v>
      </c>
      <c r="D49" s="5">
        <f t="shared" ref="D49:D50" si="12">B49/C49</f>
        <v>0.5714285714285714</v>
      </c>
      <c r="E49" s="5">
        <v>9</v>
      </c>
      <c r="F49" s="5">
        <v>21</v>
      </c>
      <c r="G49" s="5">
        <f t="shared" ref="G49:G50" si="13">E49/F49</f>
        <v>0.42857142857142855</v>
      </c>
    </row>
    <row r="50" spans="1:12">
      <c r="A50" s="5">
        <v>3</v>
      </c>
      <c r="B50" s="5">
        <v>13</v>
      </c>
      <c r="C50" s="5">
        <v>22</v>
      </c>
      <c r="D50" s="5">
        <f t="shared" si="12"/>
        <v>0.59090909090909094</v>
      </c>
      <c r="E50" s="5">
        <v>11</v>
      </c>
      <c r="F50" s="5">
        <v>22</v>
      </c>
      <c r="G50" s="5">
        <f t="shared" si="13"/>
        <v>0.5</v>
      </c>
    </row>
    <row r="51" spans="1:12">
      <c r="A51" s="5">
        <v>4</v>
      </c>
      <c r="B51" s="5">
        <v>18</v>
      </c>
      <c r="C51" s="5">
        <v>21</v>
      </c>
      <c r="D51" s="5">
        <f t="shared" ref="D51:D53" si="14">B51/C51</f>
        <v>0.8571428571428571</v>
      </c>
      <c r="E51" s="5">
        <v>15</v>
      </c>
      <c r="F51" s="5">
        <v>21</v>
      </c>
      <c r="G51" s="5">
        <f t="shared" ref="G51:G53" si="15">E51/F51</f>
        <v>0.7142857142857143</v>
      </c>
    </row>
    <row r="52" spans="1:12">
      <c r="A52" s="5">
        <v>5</v>
      </c>
      <c r="B52" s="24">
        <v>12</v>
      </c>
      <c r="C52" s="24">
        <v>24</v>
      </c>
      <c r="D52" s="24">
        <f t="shared" si="14"/>
        <v>0.5</v>
      </c>
      <c r="E52" s="24">
        <v>14</v>
      </c>
      <c r="F52" s="24">
        <v>24</v>
      </c>
      <c r="G52" s="24">
        <f t="shared" si="15"/>
        <v>0.58333333333333337</v>
      </c>
    </row>
    <row r="53" spans="1:12">
      <c r="A53" s="5">
        <v>6</v>
      </c>
      <c r="B53" s="24">
        <v>14</v>
      </c>
      <c r="C53" s="24">
        <v>24</v>
      </c>
      <c r="D53" s="24">
        <f t="shared" si="14"/>
        <v>0.58333333333333337</v>
      </c>
      <c r="E53" s="24">
        <v>11</v>
      </c>
      <c r="F53" s="24">
        <v>24</v>
      </c>
      <c r="G53" s="24">
        <f t="shared" si="15"/>
        <v>0.45833333333333331</v>
      </c>
    </row>
    <row r="54" spans="1:12">
      <c r="A54" s="5">
        <v>7</v>
      </c>
      <c r="B54" s="24"/>
      <c r="C54" s="24"/>
      <c r="D54" s="24"/>
      <c r="E54" s="24"/>
      <c r="F54" s="24"/>
      <c r="G54" s="24"/>
    </row>
    <row r="55" spans="1:12">
      <c r="A55" s="5">
        <v>8</v>
      </c>
      <c r="B55" s="24"/>
      <c r="C55" s="24"/>
      <c r="D55" s="24"/>
      <c r="E55" s="24"/>
      <c r="F55" s="24"/>
      <c r="G55" s="24"/>
    </row>
    <row r="56" spans="1:12">
      <c r="A56" s="5">
        <v>9</v>
      </c>
      <c r="B56" s="24"/>
      <c r="C56" s="24"/>
      <c r="D56" s="24"/>
      <c r="E56" s="24"/>
      <c r="F56" s="24"/>
      <c r="G56" s="24"/>
    </row>
    <row r="57" spans="1:12">
      <c r="A57" s="5">
        <v>10</v>
      </c>
      <c r="B57" s="5"/>
      <c r="C57" s="5"/>
      <c r="D57" s="5"/>
      <c r="E57" s="5"/>
      <c r="F57" s="5"/>
      <c r="G57" s="5"/>
    </row>
    <row r="59" spans="1:12" ht="11.4">
      <c r="A59" s="13" t="s">
        <v>32</v>
      </c>
    </row>
    <row r="60" spans="1:12">
      <c r="A60" s="4"/>
      <c r="B60" s="15" t="s">
        <v>0</v>
      </c>
      <c r="C60" s="16"/>
      <c r="D60" s="17"/>
      <c r="E60" s="14" t="s">
        <v>1</v>
      </c>
      <c r="F60" s="14"/>
      <c r="G60" s="14"/>
      <c r="H60" s="4"/>
      <c r="I60" s="4"/>
      <c r="J60" s="4"/>
      <c r="K60" s="5" t="s">
        <v>2</v>
      </c>
      <c r="L60" s="6" t="s">
        <v>3</v>
      </c>
    </row>
    <row r="61" spans="1:12">
      <c r="A61" s="7" t="s">
        <v>4</v>
      </c>
      <c r="B61" s="5" t="s">
        <v>5</v>
      </c>
      <c r="C61" s="5" t="s">
        <v>6</v>
      </c>
      <c r="D61" s="5" t="s">
        <v>7</v>
      </c>
      <c r="E61" s="5" t="s">
        <v>5</v>
      </c>
      <c r="F61" s="5" t="s">
        <v>6</v>
      </c>
      <c r="G61" s="5" t="s">
        <v>7</v>
      </c>
      <c r="H61" s="4"/>
      <c r="I61" s="18" t="s">
        <v>0</v>
      </c>
      <c r="J61" s="19"/>
      <c r="K61" s="5">
        <f>AVERAGE(D62:D71)</f>
        <v>0.10541254940711464</v>
      </c>
      <c r="L61" s="5">
        <f>STDEV(D62:D71)/SQRT(8)</f>
        <v>1.0353588706973232E-2</v>
      </c>
    </row>
    <row r="62" spans="1:12">
      <c r="A62" s="5">
        <v>1</v>
      </c>
      <c r="B62" s="5">
        <v>2</v>
      </c>
      <c r="C62" s="5">
        <v>24</v>
      </c>
      <c r="D62" s="5">
        <f>B62/C62</f>
        <v>8.3333333333333329E-2</v>
      </c>
      <c r="E62" s="5">
        <v>1</v>
      </c>
      <c r="F62" s="5">
        <v>24</v>
      </c>
      <c r="G62" s="5">
        <f>E62/F62</f>
        <v>4.1666666666666664E-2</v>
      </c>
      <c r="H62" s="4"/>
      <c r="I62" s="18" t="s">
        <v>8</v>
      </c>
      <c r="J62" s="19"/>
      <c r="K62" s="5">
        <f>AVERAGE(G62:G71)</f>
        <v>8.5451251646903814E-2</v>
      </c>
      <c r="L62" s="5">
        <f>STDEV(G62:G71)/SQRT(8)</f>
        <v>1.2065730251470421E-2</v>
      </c>
    </row>
    <row r="63" spans="1:12">
      <c r="A63" s="5">
        <v>2</v>
      </c>
      <c r="B63" s="5">
        <v>2</v>
      </c>
      <c r="C63" s="5">
        <v>24</v>
      </c>
      <c r="D63" s="5">
        <f t="shared" ref="D63:D64" si="16">B63/C63</f>
        <v>8.3333333333333329E-2</v>
      </c>
      <c r="E63" s="5">
        <v>2</v>
      </c>
      <c r="F63" s="5">
        <v>24</v>
      </c>
      <c r="G63" s="5">
        <f t="shared" ref="G63:G64" si="17">E63/F63</f>
        <v>8.3333333333333329E-2</v>
      </c>
      <c r="H63" s="4"/>
    </row>
    <row r="64" spans="1:12">
      <c r="A64" s="5">
        <v>3</v>
      </c>
      <c r="B64" s="5">
        <v>2</v>
      </c>
      <c r="C64" s="5">
        <v>22</v>
      </c>
      <c r="D64" s="5">
        <f t="shared" si="16"/>
        <v>9.0909090909090912E-2</v>
      </c>
      <c r="E64" s="5">
        <v>3</v>
      </c>
      <c r="F64" s="5">
        <v>22</v>
      </c>
      <c r="G64" s="5">
        <f t="shared" si="17"/>
        <v>0.13636363636363635</v>
      </c>
      <c r="H64" s="4"/>
      <c r="I64" s="4"/>
      <c r="J64" s="4"/>
      <c r="K64" s="4"/>
      <c r="L64" s="4"/>
    </row>
    <row r="65" spans="1:12">
      <c r="A65" s="5">
        <v>4</v>
      </c>
      <c r="B65" s="5">
        <v>3</v>
      </c>
      <c r="C65" s="5">
        <v>23</v>
      </c>
      <c r="D65" s="5">
        <f t="shared" ref="D65:D69" si="18">B65/C65</f>
        <v>0.13043478260869565</v>
      </c>
      <c r="E65" s="5">
        <v>2</v>
      </c>
      <c r="F65" s="5">
        <v>23</v>
      </c>
      <c r="G65" s="5">
        <f>E65/F65</f>
        <v>8.6956521739130432E-2</v>
      </c>
      <c r="H65" s="4"/>
      <c r="I65" s="4"/>
      <c r="J65" s="4"/>
      <c r="K65" s="4"/>
      <c r="L65" s="4"/>
    </row>
    <row r="66" spans="1:12">
      <c r="A66" s="5">
        <v>5</v>
      </c>
      <c r="B66" s="24">
        <v>2</v>
      </c>
      <c r="C66" s="24">
        <v>24</v>
      </c>
      <c r="D66" s="24">
        <f t="shared" si="18"/>
        <v>8.3333333333333329E-2</v>
      </c>
      <c r="E66" s="24">
        <v>2</v>
      </c>
      <c r="F66" s="24">
        <v>24</v>
      </c>
      <c r="G66" s="24">
        <f>E66/F66</f>
        <v>8.3333333333333329E-2</v>
      </c>
      <c r="H66" s="4"/>
      <c r="I66" s="4"/>
      <c r="J66" s="4"/>
      <c r="K66" s="4"/>
      <c r="L66" s="4"/>
    </row>
    <row r="67" spans="1:12">
      <c r="A67" s="5">
        <v>6</v>
      </c>
      <c r="B67" s="24">
        <v>3</v>
      </c>
      <c r="C67" s="24">
        <v>24</v>
      </c>
      <c r="D67" s="24">
        <f t="shared" si="18"/>
        <v>0.125</v>
      </c>
      <c r="E67" s="24">
        <v>3</v>
      </c>
      <c r="F67" s="24">
        <v>24</v>
      </c>
      <c r="G67" s="24">
        <f>E67/F67</f>
        <v>0.125</v>
      </c>
      <c r="H67" s="4"/>
      <c r="I67" s="4"/>
      <c r="J67" s="4"/>
      <c r="K67" s="4"/>
      <c r="L67" s="4"/>
    </row>
    <row r="68" spans="1:12">
      <c r="A68" s="5">
        <v>7</v>
      </c>
      <c r="B68" s="24">
        <v>4</v>
      </c>
      <c r="C68" s="24">
        <v>25</v>
      </c>
      <c r="D68" s="24">
        <f t="shared" si="18"/>
        <v>0.16</v>
      </c>
      <c r="E68" s="24">
        <v>1</v>
      </c>
      <c r="F68" s="24">
        <v>25</v>
      </c>
      <c r="G68" s="24">
        <f>E68/F68</f>
        <v>0.04</v>
      </c>
      <c r="H68" s="4"/>
      <c r="I68" s="4"/>
      <c r="J68" s="4"/>
      <c r="K68" s="4"/>
      <c r="L68" s="4"/>
    </row>
    <row r="69" spans="1:12">
      <c r="A69" s="5">
        <v>8</v>
      </c>
      <c r="B69" s="24">
        <v>2</v>
      </c>
      <c r="C69" s="24">
        <v>23</v>
      </c>
      <c r="D69" s="24">
        <f t="shared" si="18"/>
        <v>8.6956521739130432E-2</v>
      </c>
      <c r="E69" s="24">
        <v>2</v>
      </c>
      <c r="F69" s="24">
        <v>23</v>
      </c>
      <c r="G69" s="24">
        <f>E69/F69</f>
        <v>8.6956521739130432E-2</v>
      </c>
      <c r="H69" s="4"/>
      <c r="I69" s="4"/>
      <c r="J69" s="4"/>
      <c r="K69" s="4"/>
      <c r="L69" s="4"/>
    </row>
    <row r="70" spans="1:12">
      <c r="A70" s="5">
        <v>9</v>
      </c>
      <c r="B70" s="24"/>
      <c r="C70" s="24"/>
      <c r="D70" s="24"/>
      <c r="E70" s="24"/>
      <c r="F70" s="24"/>
      <c r="G70" s="24"/>
      <c r="H70" s="4"/>
      <c r="I70" s="4"/>
      <c r="J70" s="4"/>
      <c r="K70" s="4"/>
      <c r="L70" s="4"/>
    </row>
    <row r="71" spans="1:12">
      <c r="A71" s="5">
        <v>10</v>
      </c>
      <c r="B71" s="5"/>
      <c r="C71" s="5"/>
      <c r="D71" s="5"/>
      <c r="E71" s="5"/>
      <c r="F71" s="5"/>
      <c r="G71" s="5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1.4">
      <c r="A73" s="13" t="s">
        <v>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15" t="s">
        <v>9</v>
      </c>
      <c r="C74" s="16"/>
      <c r="D74" s="17"/>
      <c r="E74" s="15" t="s">
        <v>12</v>
      </c>
      <c r="F74" s="16"/>
      <c r="G74" s="17"/>
      <c r="H74" s="4"/>
      <c r="I74" s="4"/>
      <c r="J74" s="4"/>
      <c r="K74" s="5" t="s">
        <v>13</v>
      </c>
      <c r="L74" s="6" t="s">
        <v>3</v>
      </c>
    </row>
    <row r="75" spans="1:12">
      <c r="A75" s="7" t="s">
        <v>14</v>
      </c>
      <c r="B75" s="5" t="s">
        <v>5</v>
      </c>
      <c r="C75" s="5" t="s">
        <v>6</v>
      </c>
      <c r="D75" s="5" t="s">
        <v>7</v>
      </c>
      <c r="E75" s="5" t="s">
        <v>5</v>
      </c>
      <c r="F75" s="5" t="s">
        <v>6</v>
      </c>
      <c r="G75" s="5" t="s">
        <v>15</v>
      </c>
      <c r="H75" s="4"/>
      <c r="I75" s="15" t="s">
        <v>9</v>
      </c>
      <c r="J75" s="17"/>
      <c r="K75" s="5">
        <f>AVERAGE(D76:D85)</f>
        <v>0.16859189723320159</v>
      </c>
      <c r="L75" s="5">
        <f>STDEV(D76:D85)/SQRT(8)</f>
        <v>2.1958098094772685E-2</v>
      </c>
    </row>
    <row r="76" spans="1:12">
      <c r="A76" s="5">
        <v>1</v>
      </c>
      <c r="B76" s="5">
        <v>5</v>
      </c>
      <c r="C76" s="5">
        <v>24</v>
      </c>
      <c r="D76" s="5">
        <f>B76/C76</f>
        <v>0.20833333333333334</v>
      </c>
      <c r="E76" s="5">
        <v>5</v>
      </c>
      <c r="F76" s="5">
        <v>24</v>
      </c>
      <c r="G76" s="5">
        <f>E76/F76</f>
        <v>0.20833333333333334</v>
      </c>
      <c r="H76" s="4"/>
      <c r="I76" s="15" t="s">
        <v>16</v>
      </c>
      <c r="J76" s="17"/>
      <c r="K76" s="5">
        <f>AVERAGE(G76:G85)</f>
        <v>0.11624588274044795</v>
      </c>
      <c r="L76" s="5">
        <f>STDEV(G76:G85)/SQRT(8)</f>
        <v>1.8744502351585736E-2</v>
      </c>
    </row>
    <row r="77" spans="1:12">
      <c r="A77" s="5">
        <v>2</v>
      </c>
      <c r="B77" s="5">
        <v>2</v>
      </c>
      <c r="C77" s="5">
        <v>24</v>
      </c>
      <c r="D77" s="5">
        <f t="shared" ref="D77:D78" si="19">B77/C77</f>
        <v>8.3333333333333329E-2</v>
      </c>
      <c r="E77" s="5">
        <v>1</v>
      </c>
      <c r="F77" s="5">
        <v>24</v>
      </c>
      <c r="G77" s="5">
        <f t="shared" ref="G77:G78" si="20">E77/F77</f>
        <v>4.1666666666666664E-2</v>
      </c>
      <c r="H77" s="4"/>
    </row>
    <row r="78" spans="1:12">
      <c r="A78" s="5">
        <v>3</v>
      </c>
      <c r="B78" s="5">
        <v>2</v>
      </c>
      <c r="C78" s="5">
        <v>22</v>
      </c>
      <c r="D78" s="5">
        <f t="shared" si="19"/>
        <v>9.0909090909090912E-2</v>
      </c>
      <c r="E78" s="5">
        <v>2</v>
      </c>
      <c r="F78" s="5">
        <v>22</v>
      </c>
      <c r="G78" s="5">
        <f t="shared" si="20"/>
        <v>9.0909090909090912E-2</v>
      </c>
      <c r="H78" s="4"/>
      <c r="I78" s="4"/>
      <c r="J78" s="4"/>
      <c r="K78" s="4"/>
      <c r="L78" s="4"/>
    </row>
    <row r="79" spans="1:12">
      <c r="A79" s="5">
        <v>4</v>
      </c>
      <c r="B79" s="5">
        <v>3</v>
      </c>
      <c r="C79" s="5">
        <v>23</v>
      </c>
      <c r="D79" s="5">
        <f t="shared" ref="D79:D83" si="21">B79/C79</f>
        <v>0.13043478260869565</v>
      </c>
      <c r="E79" s="5">
        <v>3</v>
      </c>
      <c r="F79" s="5">
        <v>23</v>
      </c>
      <c r="G79" s="5">
        <f t="shared" ref="G79:G83" si="22">E79/F79</f>
        <v>0.13043478260869565</v>
      </c>
      <c r="H79" s="4"/>
      <c r="I79" s="4"/>
      <c r="J79" s="4"/>
      <c r="K79" s="4"/>
      <c r="L79" s="4"/>
    </row>
    <row r="80" spans="1:12">
      <c r="A80" s="5">
        <v>5</v>
      </c>
      <c r="B80" s="24">
        <v>5</v>
      </c>
      <c r="C80" s="24">
        <v>24</v>
      </c>
      <c r="D80" s="24">
        <f t="shared" si="21"/>
        <v>0.20833333333333334</v>
      </c>
      <c r="E80" s="24">
        <v>3</v>
      </c>
      <c r="F80" s="24">
        <v>24</v>
      </c>
      <c r="G80" s="24">
        <f t="shared" si="22"/>
        <v>0.125</v>
      </c>
      <c r="H80" s="4"/>
      <c r="I80" s="4"/>
      <c r="J80" s="4"/>
      <c r="K80" s="4"/>
      <c r="L80" s="4"/>
    </row>
    <row r="81" spans="1:12">
      <c r="A81" s="5">
        <v>6</v>
      </c>
      <c r="B81" s="24">
        <v>6</v>
      </c>
      <c r="C81" s="24">
        <v>24</v>
      </c>
      <c r="D81" s="24">
        <f t="shared" si="21"/>
        <v>0.25</v>
      </c>
      <c r="E81" s="24">
        <v>4</v>
      </c>
      <c r="F81" s="24">
        <v>24</v>
      </c>
      <c r="G81" s="24">
        <f t="shared" si="22"/>
        <v>0.16666666666666666</v>
      </c>
      <c r="H81" s="4"/>
      <c r="I81" s="4"/>
      <c r="J81" s="4"/>
      <c r="K81" s="4"/>
      <c r="L81" s="4"/>
    </row>
    <row r="82" spans="1:12">
      <c r="A82" s="5">
        <v>7</v>
      </c>
      <c r="B82" s="24">
        <v>4</v>
      </c>
      <c r="C82" s="24">
        <v>25</v>
      </c>
      <c r="D82" s="24">
        <f t="shared" si="21"/>
        <v>0.16</v>
      </c>
      <c r="E82" s="24">
        <v>2</v>
      </c>
      <c r="F82" s="24">
        <v>25</v>
      </c>
      <c r="G82" s="24">
        <f t="shared" si="22"/>
        <v>0.08</v>
      </c>
      <c r="H82" s="4"/>
      <c r="I82" s="4"/>
      <c r="J82" s="4"/>
      <c r="K82" s="4"/>
      <c r="L82" s="4"/>
    </row>
    <row r="83" spans="1:12">
      <c r="A83" s="5">
        <v>8</v>
      </c>
      <c r="B83" s="24">
        <v>5</v>
      </c>
      <c r="C83" s="24">
        <v>23</v>
      </c>
      <c r="D83" s="24">
        <f t="shared" si="21"/>
        <v>0.21739130434782608</v>
      </c>
      <c r="E83" s="24">
        <v>2</v>
      </c>
      <c r="F83" s="24">
        <v>23</v>
      </c>
      <c r="G83" s="24">
        <f t="shared" si="22"/>
        <v>8.6956521739130432E-2</v>
      </c>
      <c r="H83" s="4"/>
      <c r="I83" s="4"/>
      <c r="J83" s="4"/>
      <c r="K83" s="4"/>
      <c r="L83" s="4"/>
    </row>
    <row r="84" spans="1:12">
      <c r="A84" s="5">
        <v>9</v>
      </c>
      <c r="B84" s="24"/>
      <c r="C84" s="24"/>
      <c r="D84" s="24"/>
      <c r="E84" s="24"/>
      <c r="F84" s="24"/>
      <c r="G84" s="24"/>
      <c r="H84" s="4"/>
      <c r="I84" s="4"/>
      <c r="J84" s="4"/>
      <c r="K84" s="4"/>
      <c r="L84" s="4"/>
    </row>
    <row r="85" spans="1:12">
      <c r="A85" s="5">
        <v>10</v>
      </c>
      <c r="B85" s="5"/>
      <c r="C85" s="5"/>
      <c r="D85" s="5"/>
      <c r="E85" s="5"/>
      <c r="F85" s="5"/>
      <c r="G85" s="5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1.4">
      <c r="A87" s="13" t="s">
        <v>32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15" t="s">
        <v>10</v>
      </c>
      <c r="C88" s="16"/>
      <c r="D88" s="17"/>
      <c r="E88" s="14" t="s">
        <v>17</v>
      </c>
      <c r="F88" s="14"/>
      <c r="G88" s="14"/>
      <c r="H88" s="4"/>
      <c r="I88" s="4"/>
      <c r="J88" s="4"/>
      <c r="K88" s="5" t="s">
        <v>2</v>
      </c>
      <c r="L88" s="6" t="s">
        <v>3</v>
      </c>
    </row>
    <row r="89" spans="1:12">
      <c r="A89" s="7" t="s">
        <v>4</v>
      </c>
      <c r="B89" s="5" t="s">
        <v>5</v>
      </c>
      <c r="C89" s="5" t="s">
        <v>6</v>
      </c>
      <c r="D89" s="5" t="s">
        <v>7</v>
      </c>
      <c r="E89" s="5" t="s">
        <v>5</v>
      </c>
      <c r="F89" s="5" t="s">
        <v>6</v>
      </c>
      <c r="G89" s="5" t="s">
        <v>7</v>
      </c>
      <c r="H89" s="4"/>
      <c r="I89" s="14" t="s">
        <v>10</v>
      </c>
      <c r="J89" s="14"/>
      <c r="K89" s="5">
        <f>AVERAGE(D90:D99)</f>
        <v>0.24111001317523056</v>
      </c>
      <c r="L89" s="5">
        <f>STDEV(D90:D99)/SQRT(8)</f>
        <v>4.3499563484977813E-2</v>
      </c>
    </row>
    <row r="90" spans="1:12">
      <c r="A90" s="5">
        <v>1</v>
      </c>
      <c r="B90" s="5">
        <v>6</v>
      </c>
      <c r="C90" s="5">
        <v>24</v>
      </c>
      <c r="D90" s="5">
        <f>B90/C90</f>
        <v>0.25</v>
      </c>
      <c r="E90" s="5">
        <v>5</v>
      </c>
      <c r="F90" s="5">
        <v>24</v>
      </c>
      <c r="G90" s="5">
        <f>E90/F90</f>
        <v>0.20833333333333334</v>
      </c>
      <c r="H90" s="4"/>
      <c r="I90" s="14" t="s">
        <v>18</v>
      </c>
      <c r="J90" s="14"/>
      <c r="K90" s="5">
        <f>AVERAGE(G90:G99)</f>
        <v>0.16272233201581027</v>
      </c>
      <c r="L90" s="5">
        <f>STDEV(G90:G99)/SQRT(8)</f>
        <v>2.3216639417508542E-2</v>
      </c>
    </row>
    <row r="91" spans="1:12">
      <c r="A91" s="5">
        <v>2</v>
      </c>
      <c r="B91" s="5">
        <v>3</v>
      </c>
      <c r="C91" s="5">
        <v>24</v>
      </c>
      <c r="D91" s="5">
        <f t="shared" ref="D91:D92" si="23">B91/C91</f>
        <v>0.125</v>
      </c>
      <c r="E91" s="5">
        <v>3</v>
      </c>
      <c r="F91" s="5">
        <v>24</v>
      </c>
      <c r="G91" s="5">
        <f t="shared" ref="G91:G92" si="24">E91/F91</f>
        <v>0.125</v>
      </c>
      <c r="H91" s="4"/>
    </row>
    <row r="92" spans="1:12">
      <c r="A92" s="5">
        <v>3</v>
      </c>
      <c r="B92" s="5">
        <v>2</v>
      </c>
      <c r="C92" s="5">
        <v>22</v>
      </c>
      <c r="D92" s="5">
        <f t="shared" si="23"/>
        <v>9.0909090909090912E-2</v>
      </c>
      <c r="E92" s="5">
        <v>2</v>
      </c>
      <c r="F92" s="5">
        <v>22</v>
      </c>
      <c r="G92" s="5">
        <f t="shared" si="24"/>
        <v>9.0909090909090912E-2</v>
      </c>
      <c r="H92" s="4"/>
      <c r="I92" s="4"/>
      <c r="J92" s="4"/>
      <c r="K92" s="4"/>
      <c r="L92" s="4"/>
    </row>
    <row r="93" spans="1:12">
      <c r="A93" s="5">
        <v>4</v>
      </c>
      <c r="B93" s="5">
        <v>3</v>
      </c>
      <c r="C93" s="5">
        <v>23</v>
      </c>
      <c r="D93" s="5">
        <f t="shared" ref="D93:D97" si="25">B93/C93</f>
        <v>0.13043478260869565</v>
      </c>
      <c r="E93" s="5">
        <v>3</v>
      </c>
      <c r="F93" s="5">
        <v>23</v>
      </c>
      <c r="G93" s="5">
        <f t="shared" ref="G93:G97" si="26">E93/F93</f>
        <v>0.13043478260869565</v>
      </c>
      <c r="H93" s="4"/>
      <c r="I93" s="4"/>
      <c r="J93" s="4"/>
      <c r="K93" s="4"/>
      <c r="L93" s="4"/>
    </row>
    <row r="94" spans="1:12">
      <c r="A94" s="5">
        <v>5</v>
      </c>
      <c r="B94" s="24">
        <v>8</v>
      </c>
      <c r="C94" s="24">
        <v>24</v>
      </c>
      <c r="D94" s="24">
        <f t="shared" si="25"/>
        <v>0.33333333333333331</v>
      </c>
      <c r="E94" s="24">
        <v>3</v>
      </c>
      <c r="F94" s="24">
        <v>24</v>
      </c>
      <c r="G94" s="24">
        <f t="shared" si="26"/>
        <v>0.125</v>
      </c>
      <c r="H94" s="4"/>
      <c r="I94" s="4"/>
      <c r="J94" s="4"/>
      <c r="K94" s="4"/>
      <c r="L94" s="4"/>
    </row>
    <row r="95" spans="1:12">
      <c r="A95" s="5">
        <v>6</v>
      </c>
      <c r="B95" s="24">
        <v>11</v>
      </c>
      <c r="C95" s="24">
        <v>24</v>
      </c>
      <c r="D95" s="24">
        <f t="shared" si="25"/>
        <v>0.45833333333333331</v>
      </c>
      <c r="E95" s="24">
        <v>7</v>
      </c>
      <c r="F95" s="24">
        <v>24</v>
      </c>
      <c r="G95" s="24">
        <f t="shared" si="26"/>
        <v>0.29166666666666669</v>
      </c>
      <c r="H95" s="4"/>
      <c r="I95" s="4"/>
      <c r="J95" s="4"/>
      <c r="K95" s="4"/>
      <c r="L95" s="4"/>
    </row>
    <row r="96" spans="1:12">
      <c r="A96" s="5">
        <v>7</v>
      </c>
      <c r="B96" s="24">
        <v>7</v>
      </c>
      <c r="C96" s="24">
        <v>25</v>
      </c>
      <c r="D96" s="24">
        <f t="shared" si="25"/>
        <v>0.28000000000000003</v>
      </c>
      <c r="E96" s="24">
        <v>5</v>
      </c>
      <c r="F96" s="24">
        <v>25</v>
      </c>
      <c r="G96" s="24">
        <f t="shared" si="26"/>
        <v>0.2</v>
      </c>
      <c r="H96" s="4"/>
      <c r="I96" s="4"/>
      <c r="J96" s="4"/>
      <c r="K96" s="4"/>
      <c r="L96" s="4"/>
    </row>
    <row r="97" spans="1:12">
      <c r="A97" s="5">
        <v>8</v>
      </c>
      <c r="B97" s="24">
        <v>6</v>
      </c>
      <c r="C97" s="24">
        <v>23</v>
      </c>
      <c r="D97" s="24">
        <f t="shared" si="25"/>
        <v>0.2608695652173913</v>
      </c>
      <c r="E97" s="24">
        <v>3</v>
      </c>
      <c r="F97" s="24">
        <v>23</v>
      </c>
      <c r="G97" s="24">
        <f t="shared" si="26"/>
        <v>0.13043478260869565</v>
      </c>
      <c r="H97" s="4"/>
      <c r="I97" s="4"/>
      <c r="J97" s="4"/>
      <c r="K97" s="4"/>
      <c r="L97" s="4"/>
    </row>
    <row r="98" spans="1:12">
      <c r="A98" s="5">
        <v>9</v>
      </c>
      <c r="B98" s="24"/>
      <c r="C98" s="24"/>
      <c r="D98" s="24"/>
      <c r="E98" s="24"/>
      <c r="F98" s="24"/>
      <c r="G98" s="24"/>
      <c r="H98" s="4"/>
      <c r="I98" s="4"/>
      <c r="J98" s="4"/>
      <c r="K98" s="4"/>
      <c r="L98" s="4"/>
    </row>
    <row r="99" spans="1:12">
      <c r="A99" s="5">
        <v>10</v>
      </c>
      <c r="B99" s="5"/>
      <c r="C99" s="5"/>
      <c r="D99" s="5"/>
      <c r="E99" s="5"/>
      <c r="F99" s="5"/>
      <c r="G99" s="5"/>
      <c r="H99" s="4"/>
      <c r="I99" s="4"/>
      <c r="J99" s="4"/>
      <c r="K99" s="4"/>
      <c r="L99" s="4"/>
    </row>
    <row r="101" spans="1:12" ht="11.4">
      <c r="A101" s="13" t="s">
        <v>32</v>
      </c>
      <c r="B101" s="4"/>
      <c r="C101" s="4"/>
      <c r="D101" s="4"/>
      <c r="E101" s="4"/>
      <c r="F101" s="4"/>
      <c r="G101" s="4"/>
    </row>
    <row r="102" spans="1:12">
      <c r="A102" s="4"/>
      <c r="B102" s="15" t="s">
        <v>11</v>
      </c>
      <c r="C102" s="16"/>
      <c r="D102" s="17"/>
      <c r="E102" s="14" t="s">
        <v>19</v>
      </c>
      <c r="F102" s="14"/>
      <c r="G102" s="14"/>
      <c r="I102" s="4"/>
      <c r="J102" s="4"/>
      <c r="K102" s="5" t="s">
        <v>13</v>
      </c>
      <c r="L102" s="6" t="s">
        <v>3</v>
      </c>
    </row>
    <row r="103" spans="1:12">
      <c r="A103" s="7" t="s">
        <v>4</v>
      </c>
      <c r="B103" s="5" t="s">
        <v>5</v>
      </c>
      <c r="C103" s="5" t="s">
        <v>6</v>
      </c>
      <c r="D103" s="5" t="s">
        <v>7</v>
      </c>
      <c r="E103" s="5" t="s">
        <v>5</v>
      </c>
      <c r="F103" s="5" t="s">
        <v>6</v>
      </c>
      <c r="G103" s="5" t="s">
        <v>7</v>
      </c>
      <c r="I103" s="15" t="s">
        <v>9</v>
      </c>
      <c r="J103" s="17"/>
      <c r="K103" s="5">
        <f>AVERAGE(D104:D113)</f>
        <v>0.27285161396574442</v>
      </c>
      <c r="L103" s="5">
        <f>STDEV(D104:D113)/SQRT(8)</f>
        <v>4.5504047094036604E-2</v>
      </c>
    </row>
    <row r="104" spans="1:12">
      <c r="A104" s="5">
        <v>1</v>
      </c>
      <c r="B104" s="5">
        <v>6</v>
      </c>
      <c r="C104" s="5">
        <v>24</v>
      </c>
      <c r="D104" s="5">
        <f>B104/C104</f>
        <v>0.25</v>
      </c>
      <c r="E104" s="5">
        <v>5</v>
      </c>
      <c r="F104" s="5">
        <v>24</v>
      </c>
      <c r="G104" s="5">
        <f>E104/F104</f>
        <v>0.20833333333333334</v>
      </c>
      <c r="I104" s="15" t="s">
        <v>16</v>
      </c>
      <c r="J104" s="17"/>
      <c r="K104" s="5">
        <f>AVERAGE(G104:G113)</f>
        <v>0.20618635893092416</v>
      </c>
      <c r="L104" s="5">
        <f>STDEV(G104:G113)/SQRT(8)</f>
        <v>2.6124959013776507E-2</v>
      </c>
    </row>
    <row r="105" spans="1:12">
      <c r="A105" s="5">
        <v>2</v>
      </c>
      <c r="B105" s="5">
        <v>4</v>
      </c>
      <c r="C105" s="5">
        <v>24</v>
      </c>
      <c r="D105" s="5">
        <f t="shared" ref="D105:D106" si="27">B105/C105</f>
        <v>0.16666666666666666</v>
      </c>
      <c r="E105" s="5">
        <v>4</v>
      </c>
      <c r="F105" s="5">
        <v>24</v>
      </c>
      <c r="G105" s="5">
        <f t="shared" ref="G105:G106" si="28">E105/F105</f>
        <v>0.16666666666666666</v>
      </c>
    </row>
    <row r="106" spans="1:12">
      <c r="A106" s="5">
        <v>3</v>
      </c>
      <c r="B106" s="5">
        <v>3</v>
      </c>
      <c r="C106" s="5">
        <v>22</v>
      </c>
      <c r="D106" s="5">
        <f t="shared" si="27"/>
        <v>0.13636363636363635</v>
      </c>
      <c r="E106" s="5">
        <v>2</v>
      </c>
      <c r="F106" s="5">
        <v>22</v>
      </c>
      <c r="G106" s="5">
        <f t="shared" si="28"/>
        <v>9.0909090909090912E-2</v>
      </c>
    </row>
    <row r="107" spans="1:12">
      <c r="A107" s="5">
        <v>4</v>
      </c>
      <c r="B107" s="5">
        <v>3</v>
      </c>
      <c r="C107" s="5">
        <v>23</v>
      </c>
      <c r="D107" s="5">
        <f t="shared" ref="D107:D111" si="29">B107/C107</f>
        <v>0.13043478260869565</v>
      </c>
      <c r="E107" s="5">
        <v>3</v>
      </c>
      <c r="F107" s="5">
        <v>21</v>
      </c>
      <c r="G107" s="5">
        <f t="shared" ref="G107:G111" si="30">E107/F107</f>
        <v>0.14285714285714285</v>
      </c>
    </row>
    <row r="108" spans="1:12">
      <c r="A108" s="5">
        <v>5</v>
      </c>
      <c r="B108" s="24">
        <v>9</v>
      </c>
      <c r="C108" s="24">
        <v>24</v>
      </c>
      <c r="D108" s="24">
        <f t="shared" si="29"/>
        <v>0.375</v>
      </c>
      <c r="E108" s="24">
        <v>6</v>
      </c>
      <c r="F108" s="24">
        <v>24</v>
      </c>
      <c r="G108" s="24">
        <f t="shared" si="30"/>
        <v>0.25</v>
      </c>
    </row>
    <row r="109" spans="1:12">
      <c r="A109" s="5">
        <v>6</v>
      </c>
      <c r="B109" s="24">
        <v>12</v>
      </c>
      <c r="C109" s="24">
        <v>24</v>
      </c>
      <c r="D109" s="24">
        <f t="shared" si="29"/>
        <v>0.5</v>
      </c>
      <c r="E109" s="24">
        <v>8</v>
      </c>
      <c r="F109" s="24">
        <v>24</v>
      </c>
      <c r="G109" s="24">
        <f t="shared" si="30"/>
        <v>0.33333333333333331</v>
      </c>
    </row>
    <row r="110" spans="1:12">
      <c r="A110" s="5">
        <v>7</v>
      </c>
      <c r="B110" s="24">
        <v>8</v>
      </c>
      <c r="C110" s="24">
        <v>25</v>
      </c>
      <c r="D110" s="24">
        <f t="shared" si="29"/>
        <v>0.32</v>
      </c>
      <c r="E110" s="24">
        <v>6</v>
      </c>
      <c r="F110" s="24">
        <v>25</v>
      </c>
      <c r="G110" s="24">
        <f t="shared" si="30"/>
        <v>0.24</v>
      </c>
    </row>
    <row r="111" spans="1:12">
      <c r="A111" s="5">
        <v>8</v>
      </c>
      <c r="B111" s="24">
        <v>7</v>
      </c>
      <c r="C111" s="24">
        <v>23</v>
      </c>
      <c r="D111" s="24">
        <f t="shared" si="29"/>
        <v>0.30434782608695654</v>
      </c>
      <c r="E111" s="24">
        <v>5</v>
      </c>
      <c r="F111" s="24">
        <v>23</v>
      </c>
      <c r="G111" s="24">
        <f t="shared" si="30"/>
        <v>0.21739130434782608</v>
      </c>
    </row>
    <row r="112" spans="1:12">
      <c r="A112" s="5">
        <v>9</v>
      </c>
      <c r="B112" s="24"/>
      <c r="C112" s="24"/>
      <c r="D112" s="24"/>
      <c r="E112" s="24"/>
      <c r="F112" s="24"/>
      <c r="G112" s="24"/>
    </row>
    <row r="113" spans="1:7">
      <c r="A113" s="5">
        <v>10</v>
      </c>
      <c r="B113" s="5"/>
      <c r="C113" s="5"/>
      <c r="D113" s="5"/>
      <c r="E113" s="5"/>
      <c r="F113" s="5"/>
      <c r="G113" s="5"/>
    </row>
  </sheetData>
  <mergeCells count="32">
    <mergeCell ref="B4:D4"/>
    <mergeCell ref="E4:G4"/>
    <mergeCell ref="B18:D18"/>
    <mergeCell ref="E18:G18"/>
    <mergeCell ref="I19:J19"/>
    <mergeCell ref="I20:J20"/>
    <mergeCell ref="B32:D32"/>
    <mergeCell ref="E32:G32"/>
    <mergeCell ref="I5:J5"/>
    <mergeCell ref="I6:J6"/>
    <mergeCell ref="I47:J47"/>
    <mergeCell ref="I48:J48"/>
    <mergeCell ref="I33:J33"/>
    <mergeCell ref="I34:J34"/>
    <mergeCell ref="B46:D46"/>
    <mergeCell ref="E46:G46"/>
    <mergeCell ref="B60:D60"/>
    <mergeCell ref="E60:G60"/>
    <mergeCell ref="I61:J61"/>
    <mergeCell ref="I62:J62"/>
    <mergeCell ref="B74:D74"/>
    <mergeCell ref="E74:G74"/>
    <mergeCell ref="I75:J75"/>
    <mergeCell ref="I76:J76"/>
    <mergeCell ref="B88:D88"/>
    <mergeCell ref="E88:G88"/>
    <mergeCell ref="I89:J89"/>
    <mergeCell ref="I90:J90"/>
    <mergeCell ref="B102:D102"/>
    <mergeCell ref="E102:G102"/>
    <mergeCell ref="I103:J103"/>
    <mergeCell ref="I104:J10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3"/>
  <sheetViews>
    <sheetView zoomScale="112" zoomScaleNormal="112" workbookViewId="0">
      <selection activeCell="I83" sqref="I83"/>
    </sheetView>
  </sheetViews>
  <sheetFormatPr defaultColWidth="9" defaultRowHeight="10.199999999999999"/>
  <cols>
    <col min="1" max="16384" width="9" style="2"/>
  </cols>
  <sheetData>
    <row r="1" spans="1:23">
      <c r="A1" s="1" t="s">
        <v>35</v>
      </c>
    </row>
    <row r="2" spans="1:23">
      <c r="N2" s="3"/>
      <c r="O2" s="3"/>
      <c r="P2" s="3"/>
    </row>
    <row r="3" spans="1:23" ht="11.4">
      <c r="A3" s="13" t="s">
        <v>31</v>
      </c>
      <c r="B3" s="10"/>
      <c r="C3" s="10"/>
      <c r="D3" s="10"/>
      <c r="E3" s="10"/>
      <c r="F3" s="10"/>
      <c r="G3" s="10"/>
      <c r="H3" s="4"/>
      <c r="I3" s="4"/>
      <c r="J3" s="4"/>
      <c r="K3" s="4"/>
      <c r="L3" s="4"/>
      <c r="N3" s="3"/>
      <c r="O3" s="3"/>
      <c r="P3" s="3"/>
    </row>
    <row r="4" spans="1:23">
      <c r="A4" s="10"/>
      <c r="B4" s="20" t="s">
        <v>23</v>
      </c>
      <c r="C4" s="21"/>
      <c r="D4" s="22"/>
      <c r="E4" s="20" t="s">
        <v>24</v>
      </c>
      <c r="F4" s="21"/>
      <c r="G4" s="22"/>
      <c r="H4" s="4"/>
      <c r="I4" s="4"/>
      <c r="J4" s="4"/>
      <c r="K4" s="5" t="s">
        <v>2</v>
      </c>
      <c r="L4" s="6" t="s">
        <v>3</v>
      </c>
      <c r="N4" s="3"/>
      <c r="O4" s="3"/>
      <c r="P4" s="3"/>
    </row>
    <row r="5" spans="1:23">
      <c r="A5" s="12" t="s">
        <v>14</v>
      </c>
      <c r="B5" s="11" t="s">
        <v>5</v>
      </c>
      <c r="C5" s="11" t="s">
        <v>6</v>
      </c>
      <c r="D5" s="11" t="s">
        <v>7</v>
      </c>
      <c r="E5" s="11" t="s">
        <v>5</v>
      </c>
      <c r="F5" s="11" t="s">
        <v>6</v>
      </c>
      <c r="G5" s="11" t="s">
        <v>7</v>
      </c>
      <c r="H5" s="4"/>
      <c r="I5" s="18" t="s">
        <v>0</v>
      </c>
      <c r="J5" s="19"/>
      <c r="K5" s="5">
        <f>AVERAGE(D6:D15)</f>
        <v>0.56513938007073017</v>
      </c>
      <c r="L5" s="5">
        <f>STDEV(D6:D15)/SQRT(8)</f>
        <v>4.5609207671416657E-2</v>
      </c>
      <c r="N5" s="3"/>
      <c r="O5" s="3"/>
      <c r="P5" s="3"/>
    </row>
    <row r="6" spans="1:23">
      <c r="A6" s="11">
        <v>1</v>
      </c>
      <c r="B6" s="11">
        <v>13</v>
      </c>
      <c r="C6" s="11">
        <v>22</v>
      </c>
      <c r="D6" s="11">
        <f>B6/C6</f>
        <v>0.59090909090909094</v>
      </c>
      <c r="E6" s="11">
        <v>12</v>
      </c>
      <c r="F6" s="11">
        <v>22</v>
      </c>
      <c r="G6" s="11">
        <f>E6/F6</f>
        <v>0.54545454545454541</v>
      </c>
      <c r="H6" s="4"/>
      <c r="I6" s="18" t="s">
        <v>8</v>
      </c>
      <c r="J6" s="19"/>
      <c r="K6" s="5">
        <f>AVERAGE(G6:G15)</f>
        <v>0.52696588308716463</v>
      </c>
      <c r="L6" s="5">
        <f>STDEV(G6:G15)/SQRT(8)</f>
        <v>3.2408558728338401E-2</v>
      </c>
    </row>
    <row r="7" spans="1:23">
      <c r="A7" s="11">
        <v>2</v>
      </c>
      <c r="B7" s="11">
        <v>11</v>
      </c>
      <c r="C7" s="11">
        <v>23</v>
      </c>
      <c r="D7" s="11">
        <f>B7/C7</f>
        <v>0.47826086956521741</v>
      </c>
      <c r="E7" s="11">
        <v>12</v>
      </c>
      <c r="F7" s="11">
        <v>23</v>
      </c>
      <c r="G7" s="11">
        <f>E7/F7</f>
        <v>0.52173913043478259</v>
      </c>
      <c r="H7" s="4"/>
    </row>
    <row r="8" spans="1:23">
      <c r="A8" s="11">
        <v>3</v>
      </c>
      <c r="B8" s="11">
        <v>10</v>
      </c>
      <c r="C8" s="11">
        <v>22</v>
      </c>
      <c r="D8" s="11">
        <f>B8/C8</f>
        <v>0.45454545454545453</v>
      </c>
      <c r="E8" s="11">
        <v>9</v>
      </c>
      <c r="F8" s="11">
        <v>22</v>
      </c>
      <c r="G8" s="11">
        <f>E8/F8</f>
        <v>0.40909090909090912</v>
      </c>
      <c r="H8" s="4"/>
      <c r="I8" s="4"/>
      <c r="J8" s="4"/>
      <c r="K8" s="4"/>
      <c r="L8" s="4"/>
      <c r="O8" s="8" t="s">
        <v>2</v>
      </c>
      <c r="T8" s="1" t="s">
        <v>20</v>
      </c>
    </row>
    <row r="9" spans="1:23">
      <c r="A9" s="11">
        <v>4</v>
      </c>
      <c r="B9" s="23">
        <v>14</v>
      </c>
      <c r="C9" s="23">
        <v>19</v>
      </c>
      <c r="D9" s="23">
        <f>B9/C9</f>
        <v>0.73684210526315785</v>
      </c>
      <c r="E9" s="23">
        <v>12</v>
      </c>
      <c r="F9" s="23">
        <v>19</v>
      </c>
      <c r="G9" s="23">
        <f>E9/F9</f>
        <v>0.63157894736842102</v>
      </c>
      <c r="H9" s="4"/>
      <c r="I9" s="4"/>
      <c r="J9" s="4"/>
      <c r="K9" s="4"/>
      <c r="L9" s="4"/>
      <c r="N9" s="1"/>
      <c r="O9" s="1">
        <v>10</v>
      </c>
      <c r="P9" s="1">
        <v>50</v>
      </c>
      <c r="Q9" s="1">
        <v>100</v>
      </c>
      <c r="R9" s="1">
        <v>500</v>
      </c>
      <c r="S9" s="1"/>
      <c r="T9" s="1">
        <v>10</v>
      </c>
      <c r="U9" s="1">
        <v>50</v>
      </c>
      <c r="V9" s="1">
        <v>100</v>
      </c>
      <c r="W9" s="1">
        <v>500</v>
      </c>
    </row>
    <row r="10" spans="1:23">
      <c r="A10" s="11">
        <v>5</v>
      </c>
      <c r="B10" s="23"/>
      <c r="C10" s="23"/>
      <c r="D10" s="23"/>
      <c r="E10" s="23"/>
      <c r="F10" s="23"/>
      <c r="G10" s="23"/>
      <c r="H10" s="4"/>
      <c r="I10" s="4"/>
      <c r="J10" s="4"/>
      <c r="K10" s="4"/>
      <c r="L10" s="4"/>
      <c r="N10" s="1" t="s">
        <v>33</v>
      </c>
      <c r="O10" s="2">
        <f>K5</f>
        <v>0.56513938007073017</v>
      </c>
      <c r="P10" s="2">
        <f>K19</f>
        <v>0.73900041605991273</v>
      </c>
      <c r="Q10" s="2">
        <f>K33</f>
        <v>0.87109943831911796</v>
      </c>
      <c r="R10" s="2">
        <f>K47</f>
        <v>0.93330039525691699</v>
      </c>
      <c r="T10" s="2">
        <f>L5</f>
        <v>4.5609207671416657E-2</v>
      </c>
      <c r="U10" s="2">
        <f>L19</f>
        <v>3.8297096615695726E-2</v>
      </c>
      <c r="V10" s="2">
        <f>L33</f>
        <v>9.8785655214106184E-3</v>
      </c>
      <c r="W10" s="2">
        <f>L47</f>
        <v>1.9946242268324199E-2</v>
      </c>
    </row>
    <row r="11" spans="1:23">
      <c r="A11" s="11">
        <v>6</v>
      </c>
      <c r="B11" s="23"/>
      <c r="C11" s="23"/>
      <c r="D11" s="23"/>
      <c r="E11" s="23"/>
      <c r="F11" s="23"/>
      <c r="G11" s="23"/>
      <c r="H11" s="4"/>
      <c r="I11" s="4"/>
      <c r="J11" s="4"/>
      <c r="K11" s="4"/>
      <c r="L11" s="4"/>
      <c r="N11" s="1" t="s">
        <v>36</v>
      </c>
      <c r="O11" s="2">
        <f>K6</f>
        <v>0.52696588308716463</v>
      </c>
      <c r="P11" s="2">
        <f>K20</f>
        <v>0.67630538797586848</v>
      </c>
      <c r="Q11" s="2">
        <f>K34</f>
        <v>0.83521427085500322</v>
      </c>
      <c r="R11" s="2">
        <f>K48</f>
        <v>0.89970355731225293</v>
      </c>
      <c r="T11" s="2">
        <f>L6</f>
        <v>3.2408558728338401E-2</v>
      </c>
      <c r="U11" s="2">
        <f>L20</f>
        <v>2.1758054748649249E-2</v>
      </c>
      <c r="V11" s="2">
        <f>L34</f>
        <v>1.3493993411664783E-2</v>
      </c>
      <c r="W11" s="2">
        <f>L48</f>
        <v>1.5173428187933454E-2</v>
      </c>
    </row>
    <row r="12" spans="1:23">
      <c r="A12" s="11">
        <v>7</v>
      </c>
      <c r="B12" s="23"/>
      <c r="C12" s="23"/>
      <c r="D12" s="23"/>
      <c r="E12" s="23"/>
      <c r="F12" s="23"/>
      <c r="G12" s="23"/>
      <c r="H12" s="4"/>
      <c r="I12" s="4"/>
      <c r="J12" s="4"/>
      <c r="K12" s="4"/>
      <c r="L12" s="4"/>
      <c r="N12" s="1" t="s">
        <v>34</v>
      </c>
      <c r="O12" s="2">
        <f>K61</f>
        <v>0.14426877470355731</v>
      </c>
      <c r="P12" s="2">
        <f>K75</f>
        <v>0.20059288537549408</v>
      </c>
      <c r="Q12" s="2">
        <f>K89</f>
        <v>0.22332015810276679</v>
      </c>
      <c r="R12" s="2">
        <f>K103</f>
        <v>0.22402597402597402</v>
      </c>
      <c r="T12" s="2">
        <f>L61</f>
        <v>1.4898791670485681E-2</v>
      </c>
      <c r="U12" s="2">
        <f>L75</f>
        <v>1.0891999844391584E-2</v>
      </c>
      <c r="V12" s="2">
        <f>L89</f>
        <v>2.4062837276454429E-2</v>
      </c>
      <c r="W12" s="2">
        <f>L103</f>
        <v>1.69686938331771E-2</v>
      </c>
    </row>
    <row r="13" spans="1:23">
      <c r="A13" s="11">
        <v>8</v>
      </c>
      <c r="B13" s="11"/>
      <c r="C13" s="11"/>
      <c r="D13" s="11"/>
      <c r="E13" s="11"/>
      <c r="F13" s="11"/>
      <c r="G13" s="11"/>
      <c r="H13" s="4"/>
      <c r="I13" s="4"/>
      <c r="J13" s="4"/>
      <c r="K13" s="4"/>
      <c r="L13" s="4"/>
      <c r="N13" s="1" t="s">
        <v>37</v>
      </c>
      <c r="O13" s="2">
        <f>K62</f>
        <v>0.15662055335968378</v>
      </c>
      <c r="P13" s="2">
        <f>K76</f>
        <v>0.19021739130434781</v>
      </c>
      <c r="Q13" s="2">
        <f>K90</f>
        <v>0.1892292490118577</v>
      </c>
      <c r="R13" s="2">
        <f>K104</f>
        <v>0.18831168831168832</v>
      </c>
      <c r="T13" s="2">
        <f>L62</f>
        <v>3.3535628773061037E-2</v>
      </c>
      <c r="U13" s="2">
        <f>L76</f>
        <v>3.5620553761724232E-2</v>
      </c>
      <c r="V13" s="2">
        <f>L90</f>
        <v>9.0632096481443741E-3</v>
      </c>
      <c r="W13" s="2">
        <f>L104</f>
        <v>1.3831377714776893E-2</v>
      </c>
    </row>
    <row r="14" spans="1:23">
      <c r="A14" s="11">
        <v>9</v>
      </c>
      <c r="B14" s="11"/>
      <c r="C14" s="11"/>
      <c r="D14" s="11"/>
      <c r="E14" s="11"/>
      <c r="F14" s="11"/>
      <c r="G14" s="11"/>
      <c r="H14" s="4"/>
      <c r="I14" s="4"/>
      <c r="J14" s="4"/>
      <c r="K14" s="4"/>
      <c r="L14" s="4"/>
    </row>
    <row r="15" spans="1:23">
      <c r="A15" s="11">
        <v>10</v>
      </c>
      <c r="B15" s="11"/>
      <c r="C15" s="11"/>
      <c r="D15" s="11"/>
      <c r="E15" s="11"/>
      <c r="F15" s="11"/>
      <c r="G15" s="11"/>
      <c r="H15" s="4"/>
      <c r="I15" s="4"/>
      <c r="J15" s="4"/>
      <c r="K15" s="4"/>
      <c r="L15" s="4"/>
    </row>
    <row r="16" spans="1:23">
      <c r="A16" s="10"/>
      <c r="B16" s="10"/>
      <c r="C16" s="10"/>
      <c r="D16" s="10"/>
      <c r="E16" s="10"/>
      <c r="F16" s="10"/>
      <c r="G16" s="10"/>
      <c r="H16" s="4"/>
      <c r="I16" s="4"/>
      <c r="J16" s="4"/>
      <c r="K16" s="4"/>
      <c r="L16" s="4"/>
    </row>
    <row r="17" spans="1:12" ht="11.4">
      <c r="A17" s="13" t="s">
        <v>31</v>
      </c>
      <c r="B17" s="10"/>
      <c r="C17" s="10"/>
      <c r="D17" s="10"/>
      <c r="E17" s="10"/>
      <c r="F17" s="10"/>
      <c r="G17" s="10"/>
      <c r="H17" s="4"/>
      <c r="I17" s="4"/>
      <c r="J17" s="4"/>
      <c r="K17" s="4"/>
      <c r="L17" s="4"/>
    </row>
    <row r="18" spans="1:12">
      <c r="A18" s="10"/>
      <c r="B18" s="20" t="s">
        <v>25</v>
      </c>
      <c r="C18" s="21"/>
      <c r="D18" s="22"/>
      <c r="E18" s="20" t="s">
        <v>26</v>
      </c>
      <c r="F18" s="21"/>
      <c r="G18" s="22"/>
      <c r="H18" s="4"/>
      <c r="I18" s="4"/>
      <c r="J18" s="4"/>
      <c r="K18" s="5" t="s">
        <v>13</v>
      </c>
      <c r="L18" s="6" t="s">
        <v>3</v>
      </c>
    </row>
    <row r="19" spans="1:12">
      <c r="A19" s="12" t="s">
        <v>14</v>
      </c>
      <c r="B19" s="11" t="s">
        <v>5</v>
      </c>
      <c r="C19" s="11" t="s">
        <v>6</v>
      </c>
      <c r="D19" s="11" t="s">
        <v>7</v>
      </c>
      <c r="E19" s="11" t="s">
        <v>5</v>
      </c>
      <c r="F19" s="11" t="s">
        <v>6</v>
      </c>
      <c r="G19" s="11" t="s">
        <v>7</v>
      </c>
      <c r="H19" s="4"/>
      <c r="I19" s="15" t="s">
        <v>9</v>
      </c>
      <c r="J19" s="17"/>
      <c r="K19" s="5">
        <f>AVERAGE(D20:D29)</f>
        <v>0.73900041605991273</v>
      </c>
      <c r="L19" s="5">
        <f>STDEV(D20:D29)/SQRT(8)</f>
        <v>3.8297096615695726E-2</v>
      </c>
    </row>
    <row r="20" spans="1:12">
      <c r="A20" s="11">
        <v>1</v>
      </c>
      <c r="B20" s="11">
        <v>15</v>
      </c>
      <c r="C20" s="11">
        <v>22</v>
      </c>
      <c r="D20" s="11">
        <f>B20/C20</f>
        <v>0.68181818181818177</v>
      </c>
      <c r="E20" s="11">
        <v>15</v>
      </c>
      <c r="F20" s="11">
        <v>22</v>
      </c>
      <c r="G20" s="11">
        <f>E20/F20</f>
        <v>0.68181818181818177</v>
      </c>
      <c r="H20" s="4"/>
      <c r="I20" s="15" t="s">
        <v>16</v>
      </c>
      <c r="J20" s="17"/>
      <c r="K20" s="5">
        <f>AVERAGE(G20:G29)</f>
        <v>0.67630538797586848</v>
      </c>
      <c r="L20" s="5">
        <f>STDEV(G20:G29)/SQRT(8)</f>
        <v>2.1758054748649249E-2</v>
      </c>
    </row>
    <row r="21" spans="1:12">
      <c r="A21" s="11">
        <v>2</v>
      </c>
      <c r="B21" s="11">
        <v>15</v>
      </c>
      <c r="C21" s="11">
        <v>23</v>
      </c>
      <c r="D21" s="11">
        <f>B21/C21</f>
        <v>0.65217391304347827</v>
      </c>
      <c r="E21" s="11">
        <v>16</v>
      </c>
      <c r="F21" s="11">
        <v>23</v>
      </c>
      <c r="G21" s="11">
        <f>E21/F21</f>
        <v>0.69565217391304346</v>
      </c>
      <c r="H21" s="4"/>
    </row>
    <row r="22" spans="1:12">
      <c r="A22" s="11">
        <v>3</v>
      </c>
      <c r="B22" s="11">
        <v>16</v>
      </c>
      <c r="C22" s="11">
        <v>22</v>
      </c>
      <c r="D22" s="11">
        <f>B22/C22</f>
        <v>0.72727272727272729</v>
      </c>
      <c r="E22" s="11">
        <v>13</v>
      </c>
      <c r="F22" s="11">
        <v>22</v>
      </c>
      <c r="G22" s="11">
        <f>E22/F22</f>
        <v>0.59090909090909094</v>
      </c>
      <c r="H22" s="4"/>
      <c r="I22" s="4"/>
      <c r="J22" s="4"/>
      <c r="K22" s="4"/>
      <c r="L22" s="4"/>
    </row>
    <row r="23" spans="1:12">
      <c r="A23" s="11">
        <v>4</v>
      </c>
      <c r="B23" s="23">
        <v>17</v>
      </c>
      <c r="C23" s="23">
        <v>19</v>
      </c>
      <c r="D23" s="23">
        <f>B23/C23</f>
        <v>0.89473684210526316</v>
      </c>
      <c r="E23" s="23">
        <v>14</v>
      </c>
      <c r="F23" s="23">
        <v>19</v>
      </c>
      <c r="G23" s="23">
        <f>E23/F23</f>
        <v>0.73684210526315785</v>
      </c>
      <c r="H23" s="4"/>
      <c r="I23" s="4"/>
      <c r="J23" s="4"/>
      <c r="K23" s="4"/>
      <c r="L23" s="4"/>
    </row>
    <row r="24" spans="1:12">
      <c r="A24" s="11">
        <v>5</v>
      </c>
      <c r="B24" s="23"/>
      <c r="C24" s="23"/>
      <c r="D24" s="23"/>
      <c r="E24" s="23"/>
      <c r="F24" s="23"/>
      <c r="G24" s="23"/>
      <c r="H24" s="4"/>
      <c r="I24" s="4"/>
      <c r="J24" s="4"/>
      <c r="K24" s="4"/>
      <c r="L24" s="4"/>
    </row>
    <row r="25" spans="1:12">
      <c r="A25" s="11">
        <v>6</v>
      </c>
      <c r="B25" s="23"/>
      <c r="C25" s="23"/>
      <c r="D25" s="23"/>
      <c r="E25" s="23"/>
      <c r="F25" s="23"/>
      <c r="G25" s="23"/>
      <c r="H25" s="4"/>
      <c r="I25" s="4"/>
      <c r="J25" s="4"/>
      <c r="K25" s="4"/>
      <c r="L25" s="4"/>
    </row>
    <row r="26" spans="1:12">
      <c r="A26" s="11">
        <v>7</v>
      </c>
      <c r="B26" s="23"/>
      <c r="C26" s="23"/>
      <c r="D26" s="23"/>
      <c r="E26" s="23"/>
      <c r="F26" s="23"/>
      <c r="G26" s="23"/>
      <c r="H26" s="4"/>
      <c r="I26" s="4"/>
      <c r="J26" s="4"/>
      <c r="K26" s="4"/>
      <c r="L26" s="4"/>
    </row>
    <row r="27" spans="1:12">
      <c r="A27" s="11">
        <v>8</v>
      </c>
      <c r="B27" s="11"/>
      <c r="C27" s="11"/>
      <c r="D27" s="11"/>
      <c r="E27" s="11"/>
      <c r="F27" s="11"/>
      <c r="G27" s="11"/>
      <c r="H27" s="4"/>
      <c r="I27" s="4"/>
      <c r="J27" s="4"/>
      <c r="K27" s="4"/>
      <c r="L27" s="4"/>
    </row>
    <row r="28" spans="1:12">
      <c r="A28" s="11">
        <v>9</v>
      </c>
      <c r="B28" s="11"/>
      <c r="C28" s="11"/>
      <c r="D28" s="11"/>
      <c r="E28" s="11"/>
      <c r="F28" s="11"/>
      <c r="G28" s="11"/>
      <c r="H28" s="4"/>
      <c r="I28" s="4"/>
      <c r="J28" s="4"/>
      <c r="K28" s="4"/>
      <c r="L28" s="4"/>
    </row>
    <row r="29" spans="1:12">
      <c r="A29" s="11">
        <v>10</v>
      </c>
      <c r="B29" s="11"/>
      <c r="C29" s="11"/>
      <c r="D29" s="11"/>
      <c r="E29" s="11"/>
      <c r="F29" s="11"/>
      <c r="G29" s="11"/>
      <c r="H29" s="4"/>
      <c r="I29" s="4"/>
      <c r="J29" s="4"/>
      <c r="K29" s="4"/>
      <c r="L29" s="4"/>
    </row>
    <row r="30" spans="1:12">
      <c r="A30" s="10"/>
      <c r="B30" s="10"/>
      <c r="C30" s="10"/>
      <c r="D30" s="10"/>
      <c r="E30" s="10"/>
      <c r="F30" s="10"/>
      <c r="G30" s="10"/>
      <c r="H30" s="4"/>
      <c r="I30" s="4"/>
      <c r="J30" s="4"/>
      <c r="K30" s="4"/>
      <c r="L30" s="4"/>
    </row>
    <row r="31" spans="1:12" ht="11.4">
      <c r="A31" s="13" t="s">
        <v>31</v>
      </c>
      <c r="B31" s="10"/>
      <c r="C31" s="10"/>
      <c r="D31" s="10"/>
      <c r="E31" s="10"/>
      <c r="F31" s="10"/>
      <c r="G31" s="10"/>
      <c r="H31" s="4"/>
      <c r="I31" s="4"/>
      <c r="J31" s="4"/>
      <c r="K31" s="4"/>
      <c r="L31" s="4"/>
    </row>
    <row r="32" spans="1:12">
      <c r="A32" s="10"/>
      <c r="B32" s="20" t="s">
        <v>27</v>
      </c>
      <c r="C32" s="21"/>
      <c r="D32" s="22"/>
      <c r="E32" s="20" t="s">
        <v>28</v>
      </c>
      <c r="F32" s="21"/>
      <c r="G32" s="22"/>
      <c r="H32" s="4"/>
      <c r="I32" s="4"/>
      <c r="J32" s="4"/>
      <c r="K32" s="5" t="s">
        <v>2</v>
      </c>
      <c r="L32" s="6" t="s">
        <v>3</v>
      </c>
    </row>
    <row r="33" spans="1:15">
      <c r="A33" s="12" t="s">
        <v>14</v>
      </c>
      <c r="B33" s="11" t="s">
        <v>5</v>
      </c>
      <c r="C33" s="11" t="s">
        <v>6</v>
      </c>
      <c r="D33" s="11" t="s">
        <v>7</v>
      </c>
      <c r="E33" s="11" t="s">
        <v>5</v>
      </c>
      <c r="F33" s="11" t="s">
        <v>6</v>
      </c>
      <c r="G33" s="11" t="s">
        <v>7</v>
      </c>
      <c r="H33" s="4"/>
      <c r="I33" s="14" t="s">
        <v>10</v>
      </c>
      <c r="J33" s="14"/>
      <c r="K33" s="5">
        <f>AVERAGE(D34:D43)</f>
        <v>0.87109943831911796</v>
      </c>
      <c r="L33" s="5">
        <f>STDEV(D34:D43)/SQRT(8)</f>
        <v>9.8785655214106184E-3</v>
      </c>
    </row>
    <row r="34" spans="1:15">
      <c r="A34" s="11">
        <v>1</v>
      </c>
      <c r="B34" s="11">
        <v>20</v>
      </c>
      <c r="C34" s="11">
        <v>22</v>
      </c>
      <c r="D34" s="11">
        <f>B34/C34</f>
        <v>0.90909090909090906</v>
      </c>
      <c r="E34" s="11">
        <v>19</v>
      </c>
      <c r="F34" s="11">
        <v>22</v>
      </c>
      <c r="G34" s="11">
        <f>E34/F34</f>
        <v>0.86363636363636365</v>
      </c>
      <c r="H34" s="4"/>
      <c r="I34" s="14" t="s">
        <v>18</v>
      </c>
      <c r="J34" s="14"/>
      <c r="K34" s="5">
        <f>AVERAGE(G34:G43)</f>
        <v>0.83521427085500322</v>
      </c>
      <c r="L34" s="5">
        <f>STDEV(G34:G43)/SQRT(8)</f>
        <v>1.3493993411664783E-2</v>
      </c>
      <c r="O34" s="2" t="s">
        <v>22</v>
      </c>
    </row>
    <row r="35" spans="1:15">
      <c r="A35" s="11">
        <v>2</v>
      </c>
      <c r="B35" s="11">
        <v>20</v>
      </c>
      <c r="C35" s="11">
        <v>23</v>
      </c>
      <c r="D35" s="11">
        <f>B35/C35</f>
        <v>0.86956521739130432</v>
      </c>
      <c r="E35" s="11">
        <v>20</v>
      </c>
      <c r="F35" s="11">
        <v>23</v>
      </c>
      <c r="G35" s="11">
        <f>E35/F35</f>
        <v>0.86956521739130432</v>
      </c>
      <c r="H35" s="4"/>
    </row>
    <row r="36" spans="1:15">
      <c r="A36" s="11">
        <v>3</v>
      </c>
      <c r="B36" s="11">
        <v>19</v>
      </c>
      <c r="C36" s="11">
        <v>22</v>
      </c>
      <c r="D36" s="11">
        <f>B36/C36</f>
        <v>0.86363636363636365</v>
      </c>
      <c r="E36" s="11">
        <v>18</v>
      </c>
      <c r="F36" s="11">
        <v>22</v>
      </c>
      <c r="G36" s="11">
        <f>E36/F36</f>
        <v>0.81818181818181823</v>
      </c>
      <c r="H36" s="4"/>
      <c r="I36" s="4"/>
      <c r="J36" s="4"/>
      <c r="K36" s="4"/>
      <c r="L36" s="4"/>
    </row>
    <row r="37" spans="1:15">
      <c r="A37" s="11">
        <v>4</v>
      </c>
      <c r="B37" s="23">
        <v>16</v>
      </c>
      <c r="C37" s="23">
        <v>19</v>
      </c>
      <c r="D37" s="23">
        <f>B37/C37</f>
        <v>0.84210526315789469</v>
      </c>
      <c r="E37" s="23">
        <v>15</v>
      </c>
      <c r="F37" s="23">
        <v>19</v>
      </c>
      <c r="G37" s="23">
        <f>E37/F37</f>
        <v>0.78947368421052633</v>
      </c>
      <c r="H37" s="4"/>
      <c r="I37" s="4"/>
      <c r="J37" s="4"/>
      <c r="K37" s="4"/>
      <c r="L37" s="4"/>
    </row>
    <row r="38" spans="1:15">
      <c r="A38" s="11">
        <v>5</v>
      </c>
      <c r="B38" s="23"/>
      <c r="C38" s="23"/>
      <c r="D38" s="23"/>
      <c r="E38" s="23"/>
      <c r="F38" s="23"/>
      <c r="G38" s="23"/>
      <c r="H38" s="4"/>
      <c r="I38" s="4"/>
      <c r="J38" s="4"/>
      <c r="K38" s="4"/>
      <c r="L38" s="4"/>
    </row>
    <row r="39" spans="1:15">
      <c r="A39" s="11">
        <v>6</v>
      </c>
      <c r="B39" s="23"/>
      <c r="C39" s="23"/>
      <c r="D39" s="23"/>
      <c r="E39" s="23"/>
      <c r="F39" s="23"/>
      <c r="G39" s="23"/>
      <c r="H39" s="4"/>
      <c r="I39" s="4"/>
      <c r="J39" s="4"/>
      <c r="K39" s="4"/>
      <c r="L39" s="4"/>
    </row>
    <row r="40" spans="1:15">
      <c r="A40" s="11">
        <v>7</v>
      </c>
      <c r="B40" s="23"/>
      <c r="C40" s="23"/>
      <c r="D40" s="23"/>
      <c r="E40" s="23"/>
      <c r="F40" s="23"/>
      <c r="G40" s="23"/>
      <c r="H40" s="4"/>
      <c r="I40" s="4"/>
      <c r="J40" s="4"/>
      <c r="K40" s="4"/>
      <c r="L40" s="4"/>
    </row>
    <row r="41" spans="1:15">
      <c r="A41" s="11">
        <v>8</v>
      </c>
      <c r="B41" s="11"/>
      <c r="C41" s="11"/>
      <c r="D41" s="11"/>
      <c r="E41" s="11"/>
      <c r="F41" s="11"/>
      <c r="G41" s="11"/>
      <c r="H41" s="4"/>
      <c r="I41" s="4"/>
      <c r="J41" s="4"/>
      <c r="K41" s="4"/>
      <c r="L41" s="4"/>
    </row>
    <row r="42" spans="1:15">
      <c r="A42" s="11">
        <v>9</v>
      </c>
      <c r="B42" s="11"/>
      <c r="C42" s="11"/>
      <c r="D42" s="11"/>
      <c r="E42" s="11"/>
      <c r="F42" s="11"/>
      <c r="G42" s="11"/>
      <c r="H42" s="4"/>
      <c r="I42" s="4"/>
      <c r="J42" s="4"/>
      <c r="K42" s="4"/>
      <c r="L42" s="4"/>
    </row>
    <row r="43" spans="1:15">
      <c r="A43" s="11">
        <v>10</v>
      </c>
      <c r="B43" s="11"/>
      <c r="C43" s="11"/>
      <c r="D43" s="11"/>
      <c r="E43" s="11"/>
      <c r="F43" s="11"/>
      <c r="G43" s="11"/>
      <c r="H43" s="4"/>
      <c r="I43" s="4"/>
      <c r="J43" s="4"/>
      <c r="K43" s="4"/>
      <c r="L43" s="4"/>
    </row>
    <row r="44" spans="1:15">
      <c r="A44" s="9"/>
      <c r="B44" s="9"/>
      <c r="C44" s="9"/>
      <c r="D44" s="9"/>
      <c r="E44" s="9"/>
      <c r="F44" s="9"/>
      <c r="G44" s="9"/>
    </row>
    <row r="45" spans="1:15" ht="11.4">
      <c r="A45" s="13" t="s">
        <v>31</v>
      </c>
      <c r="B45" s="10"/>
      <c r="C45" s="10"/>
      <c r="D45" s="10"/>
      <c r="E45" s="10"/>
      <c r="F45" s="10"/>
      <c r="G45" s="10"/>
    </row>
    <row r="46" spans="1:15">
      <c r="A46" s="10"/>
      <c r="B46" s="20" t="s">
        <v>29</v>
      </c>
      <c r="C46" s="21"/>
      <c r="D46" s="22"/>
      <c r="E46" s="20" t="s">
        <v>30</v>
      </c>
      <c r="F46" s="21"/>
      <c r="G46" s="22"/>
      <c r="I46" s="4"/>
      <c r="J46" s="4"/>
      <c r="K46" s="5" t="s">
        <v>13</v>
      </c>
      <c r="L46" s="6" t="s">
        <v>3</v>
      </c>
    </row>
    <row r="47" spans="1:15">
      <c r="A47" s="12" t="s">
        <v>14</v>
      </c>
      <c r="B47" s="11" t="s">
        <v>5</v>
      </c>
      <c r="C47" s="11" t="s">
        <v>6</v>
      </c>
      <c r="D47" s="11" t="s">
        <v>7</v>
      </c>
      <c r="E47" s="11" t="s">
        <v>5</v>
      </c>
      <c r="F47" s="11" t="s">
        <v>6</v>
      </c>
      <c r="G47" s="11" t="s">
        <v>7</v>
      </c>
      <c r="I47" s="15" t="s">
        <v>9</v>
      </c>
      <c r="J47" s="17"/>
      <c r="K47" s="5">
        <f>AVERAGE(D48:D57)</f>
        <v>0.93330039525691699</v>
      </c>
      <c r="L47" s="5">
        <f>STDEV(D48:D57)/SQRT(8)</f>
        <v>1.9946242268324199E-2</v>
      </c>
    </row>
    <row r="48" spans="1:15">
      <c r="A48" s="11">
        <v>1</v>
      </c>
      <c r="B48" s="11">
        <v>21</v>
      </c>
      <c r="C48" s="11">
        <v>22</v>
      </c>
      <c r="D48" s="11">
        <f>B48/C48</f>
        <v>0.95454545454545459</v>
      </c>
      <c r="E48" s="11">
        <v>19</v>
      </c>
      <c r="F48" s="11">
        <v>22</v>
      </c>
      <c r="G48" s="11">
        <f>E48/F48</f>
        <v>0.86363636363636365</v>
      </c>
      <c r="I48" s="15" t="s">
        <v>16</v>
      </c>
      <c r="J48" s="17"/>
      <c r="K48" s="5">
        <f>AVERAGE(G48:G57)</f>
        <v>0.89970355731225293</v>
      </c>
      <c r="L48" s="5">
        <f>STDEV(G48:G57)/SQRT(8)</f>
        <v>1.5173428187933454E-2</v>
      </c>
    </row>
    <row r="49" spans="1:12">
      <c r="A49" s="11">
        <v>2</v>
      </c>
      <c r="B49" s="11">
        <v>20</v>
      </c>
      <c r="C49" s="11">
        <v>23</v>
      </c>
      <c r="D49" s="11">
        <f>B49/C49</f>
        <v>0.86956521739130432</v>
      </c>
      <c r="E49" s="11">
        <v>20</v>
      </c>
      <c r="F49" s="11">
        <v>23</v>
      </c>
      <c r="G49" s="11">
        <f>E49/F49</f>
        <v>0.86956521739130432</v>
      </c>
    </row>
    <row r="50" spans="1:12">
      <c r="A50" s="11">
        <v>3</v>
      </c>
      <c r="B50" s="11">
        <v>20</v>
      </c>
      <c r="C50" s="11">
        <v>22</v>
      </c>
      <c r="D50" s="11">
        <f>B50/C50</f>
        <v>0.90909090909090906</v>
      </c>
      <c r="E50" s="11">
        <v>20</v>
      </c>
      <c r="F50" s="11">
        <v>22</v>
      </c>
      <c r="G50" s="11">
        <f>E50/F50</f>
        <v>0.90909090909090906</v>
      </c>
    </row>
    <row r="51" spans="1:12">
      <c r="A51" s="11">
        <v>4</v>
      </c>
      <c r="B51" s="11">
        <v>23</v>
      </c>
      <c r="C51" s="11">
        <v>23</v>
      </c>
      <c r="D51" s="11">
        <f>B51/C51</f>
        <v>1</v>
      </c>
      <c r="E51" s="11">
        <v>22</v>
      </c>
      <c r="F51" s="11">
        <v>23</v>
      </c>
      <c r="G51" s="11">
        <f>E51/F51</f>
        <v>0.95652173913043481</v>
      </c>
    </row>
    <row r="52" spans="1:12">
      <c r="A52" s="11">
        <v>5</v>
      </c>
      <c r="B52" s="11"/>
      <c r="C52" s="11"/>
      <c r="D52" s="11"/>
      <c r="E52" s="11"/>
      <c r="F52" s="11"/>
      <c r="G52" s="11"/>
    </row>
    <row r="53" spans="1:12">
      <c r="A53" s="11">
        <v>6</v>
      </c>
      <c r="B53" s="11"/>
      <c r="C53" s="11"/>
      <c r="D53" s="11"/>
      <c r="E53" s="11"/>
      <c r="F53" s="11"/>
      <c r="G53" s="11"/>
    </row>
    <row r="54" spans="1:12">
      <c r="A54" s="11">
        <v>7</v>
      </c>
      <c r="B54" s="11"/>
      <c r="C54" s="11"/>
      <c r="D54" s="11"/>
      <c r="E54" s="11"/>
      <c r="F54" s="11"/>
      <c r="G54" s="11"/>
    </row>
    <row r="55" spans="1:12">
      <c r="A55" s="11">
        <v>8</v>
      </c>
      <c r="B55" s="11"/>
      <c r="C55" s="11"/>
      <c r="D55" s="11"/>
      <c r="E55" s="11"/>
      <c r="F55" s="11"/>
      <c r="G55" s="11"/>
    </row>
    <row r="56" spans="1:12">
      <c r="A56" s="11">
        <v>9</v>
      </c>
      <c r="B56" s="11"/>
      <c r="C56" s="11"/>
      <c r="D56" s="11"/>
      <c r="E56" s="11"/>
      <c r="F56" s="11"/>
      <c r="G56" s="11"/>
    </row>
    <row r="57" spans="1:12">
      <c r="A57" s="11">
        <v>10</v>
      </c>
      <c r="B57" s="11"/>
      <c r="C57" s="11"/>
      <c r="D57" s="11"/>
      <c r="E57" s="11"/>
      <c r="F57" s="11"/>
      <c r="G57" s="11"/>
    </row>
    <row r="59" spans="1:12" ht="11.4">
      <c r="A59" s="13" t="s">
        <v>32</v>
      </c>
    </row>
    <row r="60" spans="1:12">
      <c r="A60" s="4"/>
      <c r="B60" s="15" t="s">
        <v>0</v>
      </c>
      <c r="C60" s="16"/>
      <c r="D60" s="17"/>
      <c r="E60" s="14" t="s">
        <v>1</v>
      </c>
      <c r="F60" s="14"/>
      <c r="G60" s="14"/>
      <c r="H60" s="4"/>
      <c r="I60" s="4"/>
      <c r="J60" s="4"/>
      <c r="K60" s="5" t="s">
        <v>2</v>
      </c>
      <c r="L60" s="6" t="s">
        <v>3</v>
      </c>
    </row>
    <row r="61" spans="1:12">
      <c r="A61" s="7" t="s">
        <v>4</v>
      </c>
      <c r="B61" s="5" t="s">
        <v>5</v>
      </c>
      <c r="C61" s="5" t="s">
        <v>6</v>
      </c>
      <c r="D61" s="5" t="s">
        <v>7</v>
      </c>
      <c r="E61" s="5" t="s">
        <v>5</v>
      </c>
      <c r="F61" s="5" t="s">
        <v>6</v>
      </c>
      <c r="G61" s="5" t="s">
        <v>7</v>
      </c>
      <c r="H61" s="4"/>
      <c r="I61" s="18" t="s">
        <v>0</v>
      </c>
      <c r="J61" s="19"/>
      <c r="K61" s="5">
        <f>AVERAGE(D62:D71)</f>
        <v>0.14426877470355731</v>
      </c>
      <c r="L61" s="5">
        <f>STDEV(D62:D71)/SQRT(8)</f>
        <v>1.4898791670485681E-2</v>
      </c>
    </row>
    <row r="62" spans="1:12">
      <c r="A62" s="5">
        <v>1</v>
      </c>
      <c r="B62" s="5">
        <v>2</v>
      </c>
      <c r="C62" s="5">
        <v>22</v>
      </c>
      <c r="D62" s="5">
        <f>B62/C62</f>
        <v>9.0909090909090912E-2</v>
      </c>
      <c r="E62" s="5">
        <v>6</v>
      </c>
      <c r="F62" s="5">
        <v>22</v>
      </c>
      <c r="G62" s="5">
        <f>E62/F62</f>
        <v>0.27272727272727271</v>
      </c>
      <c r="H62" s="4"/>
      <c r="I62" s="18" t="s">
        <v>8</v>
      </c>
      <c r="J62" s="19"/>
      <c r="K62" s="5">
        <f>AVERAGE(G62:G71)</f>
        <v>0.15662055335968378</v>
      </c>
      <c r="L62" s="5">
        <f>STDEV(G62:G71)/SQRT(8)</f>
        <v>3.3535628773061037E-2</v>
      </c>
    </row>
    <row r="63" spans="1:12">
      <c r="A63" s="5">
        <v>2</v>
      </c>
      <c r="B63" s="5">
        <v>3</v>
      </c>
      <c r="C63" s="5">
        <v>23</v>
      </c>
      <c r="D63" s="5">
        <f t="shared" ref="D63:D64" si="0">B63/C63</f>
        <v>0.13043478260869565</v>
      </c>
      <c r="E63" s="5">
        <v>4</v>
      </c>
      <c r="F63" s="5">
        <v>23</v>
      </c>
      <c r="G63" s="5">
        <f t="shared" ref="G63:G64" si="1">E63/F63</f>
        <v>0.17391304347826086</v>
      </c>
      <c r="H63" s="4"/>
    </row>
    <row r="64" spans="1:12">
      <c r="A64" s="5">
        <v>3</v>
      </c>
      <c r="B64" s="5">
        <v>4</v>
      </c>
      <c r="C64" s="5">
        <v>22</v>
      </c>
      <c r="D64" s="5">
        <f t="shared" si="0"/>
        <v>0.18181818181818182</v>
      </c>
      <c r="E64" s="5">
        <v>3</v>
      </c>
      <c r="F64" s="5">
        <v>22</v>
      </c>
      <c r="G64" s="5">
        <f t="shared" si="1"/>
        <v>0.13636363636363635</v>
      </c>
      <c r="H64" s="4"/>
      <c r="I64" s="4"/>
      <c r="J64" s="4"/>
      <c r="K64" s="4"/>
      <c r="L64" s="4"/>
    </row>
    <row r="65" spans="1:12">
      <c r="A65" s="5">
        <v>4</v>
      </c>
      <c r="B65" s="5">
        <v>4</v>
      </c>
      <c r="C65" s="5">
        <v>23</v>
      </c>
      <c r="D65" s="5">
        <f>B65/C65</f>
        <v>0.17391304347826086</v>
      </c>
      <c r="E65" s="5">
        <v>1</v>
      </c>
      <c r="F65" s="5">
        <v>23</v>
      </c>
      <c r="G65" s="5">
        <f>E65/F65</f>
        <v>4.3478260869565216E-2</v>
      </c>
      <c r="H65" s="4"/>
      <c r="I65" s="4"/>
      <c r="J65" s="4"/>
      <c r="K65" s="4"/>
      <c r="L65" s="4"/>
    </row>
    <row r="66" spans="1:12">
      <c r="A66" s="5">
        <v>5</v>
      </c>
      <c r="B66" s="5"/>
      <c r="C66" s="5"/>
      <c r="D66" s="5"/>
      <c r="E66" s="5"/>
      <c r="F66" s="5"/>
      <c r="G66" s="5"/>
      <c r="H66" s="4"/>
      <c r="I66" s="4"/>
      <c r="J66" s="4"/>
      <c r="K66" s="4"/>
      <c r="L66" s="4"/>
    </row>
    <row r="67" spans="1:12">
      <c r="A67" s="5">
        <v>6</v>
      </c>
      <c r="B67" s="5"/>
      <c r="C67" s="5"/>
      <c r="D67" s="5"/>
      <c r="E67" s="5"/>
      <c r="F67" s="5"/>
      <c r="G67" s="5"/>
      <c r="H67" s="4"/>
      <c r="I67" s="4"/>
      <c r="J67" s="4"/>
      <c r="K67" s="4"/>
      <c r="L67" s="4"/>
    </row>
    <row r="68" spans="1:12">
      <c r="A68" s="5">
        <v>7</v>
      </c>
      <c r="B68" s="5"/>
      <c r="C68" s="5"/>
      <c r="D68" s="5"/>
      <c r="E68" s="5"/>
      <c r="F68" s="5"/>
      <c r="G68" s="5"/>
      <c r="H68" s="4"/>
      <c r="I68" s="4"/>
      <c r="J68" s="4"/>
      <c r="K68" s="4"/>
      <c r="L68" s="4"/>
    </row>
    <row r="69" spans="1:12">
      <c r="A69" s="5">
        <v>8</v>
      </c>
      <c r="B69" s="5"/>
      <c r="C69" s="5"/>
      <c r="D69" s="5"/>
      <c r="E69" s="5"/>
      <c r="F69" s="5"/>
      <c r="G69" s="5"/>
      <c r="H69" s="4"/>
      <c r="I69" s="4"/>
      <c r="J69" s="4"/>
      <c r="K69" s="4"/>
      <c r="L69" s="4"/>
    </row>
    <row r="70" spans="1:12">
      <c r="A70" s="5">
        <v>9</v>
      </c>
      <c r="B70" s="5"/>
      <c r="C70" s="5"/>
      <c r="D70" s="5"/>
      <c r="E70" s="5"/>
      <c r="F70" s="5"/>
      <c r="G70" s="5"/>
      <c r="H70" s="4"/>
      <c r="I70" s="4"/>
      <c r="J70" s="4"/>
      <c r="K70" s="4"/>
      <c r="L70" s="4"/>
    </row>
    <row r="71" spans="1:12">
      <c r="A71" s="5">
        <v>10</v>
      </c>
      <c r="B71" s="5"/>
      <c r="C71" s="5"/>
      <c r="D71" s="5"/>
      <c r="E71" s="5"/>
      <c r="F71" s="5"/>
      <c r="G71" s="5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1.4">
      <c r="A73" s="13" t="s">
        <v>32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15" t="s">
        <v>9</v>
      </c>
      <c r="C74" s="16"/>
      <c r="D74" s="17"/>
      <c r="E74" s="15" t="s">
        <v>12</v>
      </c>
      <c r="F74" s="16"/>
      <c r="G74" s="17"/>
      <c r="H74" s="4"/>
      <c r="I74" s="4"/>
      <c r="J74" s="4"/>
      <c r="K74" s="5" t="s">
        <v>13</v>
      </c>
      <c r="L74" s="6" t="s">
        <v>3</v>
      </c>
    </row>
    <row r="75" spans="1:12">
      <c r="A75" s="7" t="s">
        <v>14</v>
      </c>
      <c r="B75" s="5" t="s">
        <v>5</v>
      </c>
      <c r="C75" s="5" t="s">
        <v>6</v>
      </c>
      <c r="D75" s="5" t="s">
        <v>7</v>
      </c>
      <c r="E75" s="5" t="s">
        <v>5</v>
      </c>
      <c r="F75" s="5" t="s">
        <v>6</v>
      </c>
      <c r="G75" s="5" t="s">
        <v>15</v>
      </c>
      <c r="H75" s="4"/>
      <c r="I75" s="15" t="s">
        <v>9</v>
      </c>
      <c r="J75" s="17"/>
      <c r="K75" s="5">
        <f>AVERAGE(D76:D85)</f>
        <v>0.20059288537549408</v>
      </c>
      <c r="L75" s="5">
        <f>STDEV(D76:D85)/SQRT(8)</f>
        <v>1.0891999844391584E-2</v>
      </c>
    </row>
    <row r="76" spans="1:12">
      <c r="A76" s="5">
        <v>1</v>
      </c>
      <c r="B76" s="5">
        <v>5</v>
      </c>
      <c r="C76" s="5">
        <v>22</v>
      </c>
      <c r="D76" s="5">
        <f>B76/C76</f>
        <v>0.22727272727272727</v>
      </c>
      <c r="E76" s="5">
        <v>5</v>
      </c>
      <c r="F76" s="5">
        <v>22</v>
      </c>
      <c r="G76" s="5">
        <f>E76/F76</f>
        <v>0.22727272727272727</v>
      </c>
      <c r="H76" s="4"/>
      <c r="I76" s="15" t="s">
        <v>16</v>
      </c>
      <c r="J76" s="17"/>
      <c r="K76" s="5">
        <f>AVERAGE(G76:G85)</f>
        <v>0.19021739130434781</v>
      </c>
      <c r="L76" s="5">
        <f>STDEV(G76:G85)/SQRT(8)</f>
        <v>3.5620553761724232E-2</v>
      </c>
    </row>
    <row r="77" spans="1:12">
      <c r="A77" s="5">
        <v>2</v>
      </c>
      <c r="B77" s="5">
        <v>4</v>
      </c>
      <c r="C77" s="5">
        <v>23</v>
      </c>
      <c r="D77" s="5">
        <f t="shared" ref="D77:D78" si="2">B77/C77</f>
        <v>0.17391304347826086</v>
      </c>
      <c r="E77" s="5">
        <v>1</v>
      </c>
      <c r="F77" s="5">
        <v>23</v>
      </c>
      <c r="G77" s="5">
        <f t="shared" ref="G77:G78" si="3">E77/F77</f>
        <v>4.3478260869565216E-2</v>
      </c>
      <c r="H77" s="4"/>
    </row>
    <row r="78" spans="1:12">
      <c r="A78" s="5">
        <v>3</v>
      </c>
      <c r="B78" s="5">
        <v>5</v>
      </c>
      <c r="C78" s="5">
        <v>22</v>
      </c>
      <c r="D78" s="5">
        <f t="shared" si="2"/>
        <v>0.22727272727272727</v>
      </c>
      <c r="E78" s="5">
        <v>6</v>
      </c>
      <c r="F78" s="5">
        <v>22</v>
      </c>
      <c r="G78" s="5">
        <f t="shared" si="3"/>
        <v>0.27272727272727271</v>
      </c>
      <c r="H78" s="4"/>
      <c r="I78" s="4"/>
      <c r="J78" s="4"/>
      <c r="K78" s="4"/>
      <c r="L78" s="4"/>
    </row>
    <row r="79" spans="1:12">
      <c r="A79" s="5">
        <v>4</v>
      </c>
      <c r="B79" s="5">
        <v>4</v>
      </c>
      <c r="C79" s="5">
        <v>23</v>
      </c>
      <c r="D79" s="5">
        <f>B79/C79</f>
        <v>0.17391304347826086</v>
      </c>
      <c r="E79" s="5">
        <v>5</v>
      </c>
      <c r="F79" s="5">
        <v>23</v>
      </c>
      <c r="G79" s="5">
        <f>E79/F79</f>
        <v>0.21739130434782608</v>
      </c>
      <c r="H79" s="4"/>
      <c r="I79" s="4"/>
      <c r="J79" s="4"/>
      <c r="K79" s="4"/>
      <c r="L79" s="4"/>
    </row>
    <row r="80" spans="1:12">
      <c r="A80" s="5">
        <v>5</v>
      </c>
      <c r="B80" s="5"/>
      <c r="C80" s="5"/>
      <c r="D80" s="5"/>
      <c r="E80" s="5"/>
      <c r="F80" s="5"/>
      <c r="G80" s="5"/>
      <c r="H80" s="4"/>
      <c r="I80" s="4"/>
      <c r="J80" s="4"/>
      <c r="K80" s="4"/>
      <c r="L80" s="4"/>
    </row>
    <row r="81" spans="1:12">
      <c r="A81" s="5">
        <v>6</v>
      </c>
      <c r="B81" s="5"/>
      <c r="C81" s="5"/>
      <c r="D81" s="5"/>
      <c r="E81" s="5"/>
      <c r="F81" s="5"/>
      <c r="G81" s="5"/>
      <c r="H81" s="4"/>
      <c r="I81" s="4"/>
      <c r="J81" s="4"/>
      <c r="K81" s="4"/>
      <c r="L81" s="4"/>
    </row>
    <row r="82" spans="1:12">
      <c r="A82" s="5">
        <v>7</v>
      </c>
      <c r="B82" s="5"/>
      <c r="C82" s="5"/>
      <c r="D82" s="5"/>
      <c r="E82" s="5"/>
      <c r="F82" s="5"/>
      <c r="G82" s="5"/>
      <c r="H82" s="4"/>
      <c r="I82" s="4"/>
      <c r="J82" s="4"/>
      <c r="K82" s="4"/>
      <c r="L82" s="4"/>
    </row>
    <row r="83" spans="1:12">
      <c r="A83" s="5">
        <v>8</v>
      </c>
      <c r="B83" s="5"/>
      <c r="C83" s="5"/>
      <c r="D83" s="5"/>
      <c r="E83" s="5"/>
      <c r="F83" s="5"/>
      <c r="G83" s="5"/>
      <c r="H83" s="4"/>
      <c r="I83" s="4"/>
      <c r="J83" s="4"/>
      <c r="K83" s="4"/>
      <c r="L83" s="4"/>
    </row>
    <row r="84" spans="1:12">
      <c r="A84" s="5">
        <v>9</v>
      </c>
      <c r="B84" s="5"/>
      <c r="C84" s="5"/>
      <c r="D84" s="5"/>
      <c r="E84" s="5"/>
      <c r="F84" s="5"/>
      <c r="G84" s="5"/>
      <c r="H84" s="4"/>
      <c r="I84" s="4"/>
      <c r="J84" s="4"/>
      <c r="K84" s="4"/>
      <c r="L84" s="4"/>
    </row>
    <row r="85" spans="1:12">
      <c r="A85" s="5">
        <v>10</v>
      </c>
      <c r="B85" s="5"/>
      <c r="C85" s="5"/>
      <c r="D85" s="5"/>
      <c r="E85" s="5"/>
      <c r="F85" s="5"/>
      <c r="G85" s="5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1.4">
      <c r="A87" s="13" t="s">
        <v>32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15" t="s">
        <v>10</v>
      </c>
      <c r="C88" s="16"/>
      <c r="D88" s="17"/>
      <c r="E88" s="14" t="s">
        <v>17</v>
      </c>
      <c r="F88" s="14"/>
      <c r="G88" s="14"/>
      <c r="H88" s="4"/>
      <c r="I88" s="4"/>
      <c r="J88" s="4"/>
      <c r="K88" s="5" t="s">
        <v>2</v>
      </c>
      <c r="L88" s="6" t="s">
        <v>3</v>
      </c>
    </row>
    <row r="89" spans="1:12">
      <c r="A89" s="7" t="s">
        <v>4</v>
      </c>
      <c r="B89" s="5" t="s">
        <v>5</v>
      </c>
      <c r="C89" s="5" t="s">
        <v>6</v>
      </c>
      <c r="D89" s="5" t="s">
        <v>7</v>
      </c>
      <c r="E89" s="5" t="s">
        <v>5</v>
      </c>
      <c r="F89" s="5" t="s">
        <v>6</v>
      </c>
      <c r="G89" s="5" t="s">
        <v>7</v>
      </c>
      <c r="H89" s="4"/>
      <c r="I89" s="14" t="s">
        <v>10</v>
      </c>
      <c r="J89" s="14"/>
      <c r="K89" s="5">
        <f>AVERAGE(D90:D99)</f>
        <v>0.22332015810276679</v>
      </c>
      <c r="L89" s="5">
        <f>STDEV(D90:D99)/SQRT(8)</f>
        <v>2.4062837276454429E-2</v>
      </c>
    </row>
    <row r="90" spans="1:12">
      <c r="A90" s="5">
        <v>1</v>
      </c>
      <c r="B90" s="11">
        <v>7</v>
      </c>
      <c r="C90" s="5">
        <v>22</v>
      </c>
      <c r="D90" s="5">
        <f>B90/C90</f>
        <v>0.31818181818181818</v>
      </c>
      <c r="E90" s="5">
        <v>4</v>
      </c>
      <c r="F90" s="5">
        <v>22</v>
      </c>
      <c r="G90" s="5">
        <f>E90/F90</f>
        <v>0.18181818181818182</v>
      </c>
      <c r="H90" s="4"/>
      <c r="I90" s="14" t="s">
        <v>18</v>
      </c>
      <c r="J90" s="14"/>
      <c r="K90" s="5">
        <f>AVERAGE(G90:G99)</f>
        <v>0.1892292490118577</v>
      </c>
      <c r="L90" s="5">
        <f>STDEV(G90:G99)/SQRT(8)</f>
        <v>9.0632096481443741E-3</v>
      </c>
    </row>
    <row r="91" spans="1:12">
      <c r="A91" s="5">
        <v>2</v>
      </c>
      <c r="B91" s="11">
        <v>4</v>
      </c>
      <c r="C91" s="5">
        <v>23</v>
      </c>
      <c r="D91" s="5">
        <f>B91/C91</f>
        <v>0.17391304347826086</v>
      </c>
      <c r="E91" s="5">
        <v>4</v>
      </c>
      <c r="F91" s="5">
        <v>23</v>
      </c>
      <c r="G91" s="5">
        <f t="shared" ref="G91:G92" si="4">E91/F91</f>
        <v>0.17391304347826086</v>
      </c>
      <c r="H91" s="4"/>
    </row>
    <row r="92" spans="1:12">
      <c r="A92" s="5">
        <v>3</v>
      </c>
      <c r="B92" s="11">
        <v>5</v>
      </c>
      <c r="C92" s="5">
        <v>22</v>
      </c>
      <c r="D92" s="5">
        <f>B92/C92</f>
        <v>0.22727272727272727</v>
      </c>
      <c r="E92" s="5">
        <v>5</v>
      </c>
      <c r="F92" s="5">
        <v>22</v>
      </c>
      <c r="G92" s="5">
        <f t="shared" si="4"/>
        <v>0.22727272727272727</v>
      </c>
      <c r="H92" s="4"/>
      <c r="I92" s="4"/>
      <c r="J92" s="4"/>
      <c r="K92" s="4"/>
      <c r="L92" s="4"/>
    </row>
    <row r="93" spans="1:12">
      <c r="A93" s="5">
        <v>4</v>
      </c>
      <c r="B93" s="23">
        <v>4</v>
      </c>
      <c r="C93" s="5">
        <v>23</v>
      </c>
      <c r="D93" s="5">
        <f>B93/C93</f>
        <v>0.17391304347826086</v>
      </c>
      <c r="E93" s="5">
        <v>4</v>
      </c>
      <c r="F93" s="5">
        <v>23</v>
      </c>
      <c r="G93" s="5">
        <f>E93/F93</f>
        <v>0.17391304347826086</v>
      </c>
      <c r="H93" s="4"/>
      <c r="I93" s="4"/>
      <c r="J93" s="4"/>
      <c r="K93" s="4"/>
      <c r="L93" s="4"/>
    </row>
    <row r="94" spans="1:12">
      <c r="A94" s="5">
        <v>5</v>
      </c>
      <c r="B94" s="5"/>
      <c r="C94" s="5"/>
      <c r="D94" s="5"/>
      <c r="E94" s="5"/>
      <c r="F94" s="5"/>
      <c r="G94" s="5"/>
      <c r="H94" s="4"/>
      <c r="I94" s="4"/>
      <c r="J94" s="4"/>
      <c r="K94" s="4"/>
      <c r="L94" s="4"/>
    </row>
    <row r="95" spans="1:12">
      <c r="A95" s="5">
        <v>6</v>
      </c>
      <c r="B95" s="5"/>
      <c r="C95" s="5"/>
      <c r="D95" s="5"/>
      <c r="E95" s="5"/>
      <c r="F95" s="5"/>
      <c r="G95" s="5"/>
      <c r="H95" s="4"/>
      <c r="I95" s="4"/>
      <c r="J95" s="4"/>
      <c r="K95" s="4"/>
      <c r="L95" s="4"/>
    </row>
    <row r="96" spans="1:12">
      <c r="A96" s="5">
        <v>7</v>
      </c>
      <c r="B96" s="5"/>
      <c r="C96" s="5"/>
      <c r="D96" s="5"/>
      <c r="E96" s="5"/>
      <c r="F96" s="5"/>
      <c r="G96" s="5"/>
      <c r="H96" s="4"/>
      <c r="I96" s="4"/>
      <c r="J96" s="4"/>
      <c r="K96" s="4"/>
      <c r="L96" s="4"/>
    </row>
    <row r="97" spans="1:12">
      <c r="A97" s="5">
        <v>8</v>
      </c>
      <c r="B97" s="5"/>
      <c r="C97" s="5"/>
      <c r="D97" s="5"/>
      <c r="E97" s="5"/>
      <c r="F97" s="5"/>
      <c r="G97" s="5"/>
      <c r="H97" s="4"/>
      <c r="I97" s="4"/>
      <c r="J97" s="4"/>
      <c r="K97" s="4"/>
      <c r="L97" s="4"/>
    </row>
    <row r="98" spans="1:12">
      <c r="A98" s="5">
        <v>9</v>
      </c>
      <c r="B98" s="5"/>
      <c r="C98" s="5"/>
      <c r="D98" s="5"/>
      <c r="E98" s="5"/>
      <c r="F98" s="5"/>
      <c r="G98" s="5"/>
      <c r="H98" s="4"/>
      <c r="I98" s="4"/>
      <c r="J98" s="4"/>
      <c r="K98" s="4"/>
      <c r="L98" s="4"/>
    </row>
    <row r="99" spans="1:12">
      <c r="A99" s="5">
        <v>10</v>
      </c>
      <c r="B99" s="5"/>
      <c r="C99" s="5"/>
      <c r="D99" s="5"/>
      <c r="E99" s="5"/>
      <c r="F99" s="5"/>
      <c r="G99" s="5"/>
      <c r="H99" s="4"/>
      <c r="I99" s="4"/>
      <c r="J99" s="4"/>
      <c r="K99" s="4"/>
      <c r="L99" s="4"/>
    </row>
    <row r="101" spans="1:12" ht="11.4">
      <c r="A101" s="13" t="s">
        <v>32</v>
      </c>
      <c r="B101" s="4"/>
      <c r="C101" s="4"/>
      <c r="D101" s="4"/>
      <c r="E101" s="4"/>
      <c r="F101" s="4"/>
      <c r="G101" s="4"/>
    </row>
    <row r="102" spans="1:12">
      <c r="A102" s="4"/>
      <c r="B102" s="15" t="s">
        <v>11</v>
      </c>
      <c r="C102" s="16"/>
      <c r="D102" s="17"/>
      <c r="E102" s="14" t="s">
        <v>19</v>
      </c>
      <c r="F102" s="14"/>
      <c r="G102" s="14"/>
      <c r="I102" s="4"/>
      <c r="J102" s="4"/>
      <c r="K102" s="5" t="s">
        <v>13</v>
      </c>
      <c r="L102" s="6" t="s">
        <v>3</v>
      </c>
    </row>
    <row r="103" spans="1:12">
      <c r="A103" s="7" t="s">
        <v>4</v>
      </c>
      <c r="B103" s="5" t="s">
        <v>5</v>
      </c>
      <c r="C103" s="5" t="s">
        <v>6</v>
      </c>
      <c r="D103" s="5" t="s">
        <v>7</v>
      </c>
      <c r="E103" s="5" t="s">
        <v>5</v>
      </c>
      <c r="F103" s="5" t="s">
        <v>6</v>
      </c>
      <c r="G103" s="5" t="s">
        <v>7</v>
      </c>
      <c r="I103" s="15" t="s">
        <v>9</v>
      </c>
      <c r="J103" s="17"/>
      <c r="K103" s="5">
        <f>AVERAGE(D104:D113)</f>
        <v>0.22402597402597402</v>
      </c>
      <c r="L103" s="5">
        <f>STDEV(D104:D113)/SQRT(8)</f>
        <v>1.69686938331771E-2</v>
      </c>
    </row>
    <row r="104" spans="1:12">
      <c r="A104" s="5">
        <v>1</v>
      </c>
      <c r="B104" s="5">
        <v>6</v>
      </c>
      <c r="C104" s="5">
        <v>21</v>
      </c>
      <c r="D104" s="5">
        <f>B104/C104</f>
        <v>0.2857142857142857</v>
      </c>
      <c r="E104" s="5">
        <v>4</v>
      </c>
      <c r="F104" s="5">
        <v>21</v>
      </c>
      <c r="G104" s="5">
        <f>E104/F104</f>
        <v>0.19047619047619047</v>
      </c>
      <c r="I104" s="15" t="s">
        <v>16</v>
      </c>
      <c r="J104" s="17"/>
      <c r="K104" s="5">
        <f>AVERAGE(G104:G113)</f>
        <v>0.18831168831168832</v>
      </c>
      <c r="L104" s="5">
        <f>STDEV(G104:G113)/SQRT(8)</f>
        <v>1.3831377714776893E-2</v>
      </c>
    </row>
    <row r="105" spans="1:12">
      <c r="A105" s="5">
        <v>2</v>
      </c>
      <c r="B105" s="5">
        <v>5</v>
      </c>
      <c r="C105" s="5">
        <v>21</v>
      </c>
      <c r="D105" s="5">
        <f t="shared" ref="D105:D106" si="5">B105/C105</f>
        <v>0.23809523809523808</v>
      </c>
      <c r="E105" s="5">
        <v>5</v>
      </c>
      <c r="F105" s="5">
        <v>21</v>
      </c>
      <c r="G105" s="5">
        <f t="shared" ref="G105:G106" si="6">E105/F105</f>
        <v>0.23809523809523808</v>
      </c>
    </row>
    <row r="106" spans="1:12">
      <c r="A106" s="5">
        <v>3</v>
      </c>
      <c r="B106" s="5">
        <v>4</v>
      </c>
      <c r="C106" s="5">
        <v>22</v>
      </c>
      <c r="D106" s="5">
        <f t="shared" si="5"/>
        <v>0.18181818181818182</v>
      </c>
      <c r="E106" s="5">
        <v>4</v>
      </c>
      <c r="F106" s="5">
        <v>22</v>
      </c>
      <c r="G106" s="5">
        <f t="shared" si="6"/>
        <v>0.18181818181818182</v>
      </c>
    </row>
    <row r="107" spans="1:12">
      <c r="A107" s="5">
        <v>4</v>
      </c>
      <c r="B107" s="5">
        <v>4</v>
      </c>
      <c r="C107" s="5">
        <v>21</v>
      </c>
      <c r="D107" s="5">
        <f>B107/C107</f>
        <v>0.19047619047619047</v>
      </c>
      <c r="E107" s="5">
        <v>3</v>
      </c>
      <c r="F107" s="5">
        <v>21</v>
      </c>
      <c r="G107" s="5">
        <f>E107/F107</f>
        <v>0.14285714285714285</v>
      </c>
    </row>
    <row r="108" spans="1:12">
      <c r="A108" s="5">
        <v>5</v>
      </c>
      <c r="B108" s="5"/>
      <c r="C108" s="5"/>
      <c r="D108" s="5"/>
      <c r="E108" s="5"/>
      <c r="F108" s="5"/>
      <c r="G108" s="5"/>
    </row>
    <row r="109" spans="1:12">
      <c r="A109" s="5">
        <v>6</v>
      </c>
      <c r="B109" s="5"/>
      <c r="C109" s="5"/>
      <c r="D109" s="5"/>
      <c r="E109" s="5"/>
      <c r="F109" s="5"/>
      <c r="G109" s="5"/>
    </row>
    <row r="110" spans="1:12">
      <c r="A110" s="5">
        <v>7</v>
      </c>
      <c r="B110" s="5"/>
      <c r="C110" s="5"/>
      <c r="D110" s="5"/>
      <c r="E110" s="5"/>
      <c r="F110" s="5"/>
      <c r="G110" s="5"/>
    </row>
    <row r="111" spans="1:12">
      <c r="A111" s="5">
        <v>8</v>
      </c>
      <c r="B111" s="5"/>
      <c r="C111" s="5"/>
      <c r="D111" s="5"/>
      <c r="E111" s="5"/>
      <c r="F111" s="5"/>
      <c r="G111" s="5"/>
    </row>
    <row r="112" spans="1:12">
      <c r="A112" s="5">
        <v>9</v>
      </c>
      <c r="B112" s="5"/>
      <c r="C112" s="5"/>
      <c r="D112" s="5"/>
      <c r="E112" s="5"/>
      <c r="F112" s="5"/>
      <c r="G112" s="5"/>
    </row>
    <row r="113" spans="1:7">
      <c r="A113" s="5">
        <v>10</v>
      </c>
      <c r="B113" s="5"/>
      <c r="C113" s="5"/>
      <c r="D113" s="5"/>
      <c r="E113" s="5"/>
      <c r="F113" s="5"/>
      <c r="G113" s="5"/>
    </row>
  </sheetData>
  <mergeCells count="32">
    <mergeCell ref="I34:J34"/>
    <mergeCell ref="B4:D4"/>
    <mergeCell ref="E4:G4"/>
    <mergeCell ref="I5:J5"/>
    <mergeCell ref="I6:J6"/>
    <mergeCell ref="B18:D18"/>
    <mergeCell ref="E18:G18"/>
    <mergeCell ref="I19:J19"/>
    <mergeCell ref="I20:J20"/>
    <mergeCell ref="B32:D32"/>
    <mergeCell ref="E32:G32"/>
    <mergeCell ref="I33:J33"/>
    <mergeCell ref="I76:J76"/>
    <mergeCell ref="B46:D46"/>
    <mergeCell ref="E46:G46"/>
    <mergeCell ref="I47:J47"/>
    <mergeCell ref="I48:J48"/>
    <mergeCell ref="B60:D60"/>
    <mergeCell ref="E60:G60"/>
    <mergeCell ref="I61:J61"/>
    <mergeCell ref="I62:J62"/>
    <mergeCell ref="B74:D74"/>
    <mergeCell ref="E74:G74"/>
    <mergeCell ref="I75:J75"/>
    <mergeCell ref="I103:J103"/>
    <mergeCell ref="I104:J104"/>
    <mergeCell ref="B88:D88"/>
    <mergeCell ref="E88:G88"/>
    <mergeCell ref="I89:J89"/>
    <mergeCell ref="I90:J90"/>
    <mergeCell ref="B102:D102"/>
    <mergeCell ref="E102:G10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fed atGRN&gt;Kir2.1</vt:lpstr>
      <vt:lpstr>strvd atGRN&gt;Kir2.1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Dilan de Silva</cp:lastModifiedBy>
  <dcterms:created xsi:type="dcterms:W3CDTF">2022-02-16T08:52:50Z</dcterms:created>
  <dcterms:modified xsi:type="dcterms:W3CDTF">2025-07-15T00:11:10Z</dcterms:modified>
</cp:coreProperties>
</file>