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ilan de Silva\Downloads\"/>
    </mc:Choice>
  </mc:AlternateContent>
  <xr:revisionPtr revIDLastSave="0" documentId="13_ncr:1_{AD753E38-C701-442A-9B2D-F7024F5DB0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GRN,stGRN" sheetId="5" r:id="rId1"/>
    <sheet name="Sheet1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4" i="5" l="1"/>
  <c r="L103" i="5"/>
  <c r="L90" i="5"/>
  <c r="L89" i="5"/>
  <c r="L76" i="5"/>
  <c r="L75" i="5"/>
  <c r="L62" i="5"/>
  <c r="L61" i="5"/>
  <c r="L48" i="5"/>
  <c r="W11" i="5" s="1"/>
  <c r="L47" i="5"/>
  <c r="L34" i="5"/>
  <c r="L33" i="5"/>
  <c r="V10" i="5" s="1"/>
  <c r="L20" i="5"/>
  <c r="U11" i="5" s="1"/>
  <c r="L19" i="5"/>
  <c r="L6" i="5"/>
  <c r="L5" i="5"/>
  <c r="T10" i="5" s="1"/>
  <c r="G105" i="5"/>
  <c r="G106" i="5"/>
  <c r="K104" i="5" s="1"/>
  <c r="G107" i="5"/>
  <c r="G91" i="5"/>
  <c r="G92" i="5"/>
  <c r="G93" i="5"/>
  <c r="G77" i="5"/>
  <c r="G78" i="5"/>
  <c r="G79" i="5"/>
  <c r="G63" i="5"/>
  <c r="G64" i="5"/>
  <c r="G65" i="5"/>
  <c r="D107" i="5"/>
  <c r="D106" i="5"/>
  <c r="D105" i="5"/>
  <c r="G104" i="5"/>
  <c r="D104" i="5"/>
  <c r="K103" i="5"/>
  <c r="D93" i="5"/>
  <c r="D92" i="5"/>
  <c r="D91" i="5"/>
  <c r="K90" i="5"/>
  <c r="G90" i="5"/>
  <c r="D90" i="5"/>
  <c r="D79" i="5"/>
  <c r="D78" i="5"/>
  <c r="D77" i="5"/>
  <c r="G76" i="5"/>
  <c r="D76" i="5"/>
  <c r="D65" i="5"/>
  <c r="D64" i="5"/>
  <c r="D63" i="5"/>
  <c r="K62" i="5"/>
  <c r="G62" i="5"/>
  <c r="D62" i="5"/>
  <c r="G51" i="5"/>
  <c r="D51" i="5"/>
  <c r="G50" i="5"/>
  <c r="D50" i="5"/>
  <c r="G49" i="5"/>
  <c r="D49" i="5"/>
  <c r="K48" i="5"/>
  <c r="G48" i="5"/>
  <c r="D48" i="5"/>
  <c r="K47" i="5"/>
  <c r="R10" i="5" s="1"/>
  <c r="G37" i="5"/>
  <c r="D37" i="5"/>
  <c r="G36" i="5"/>
  <c r="D36" i="5"/>
  <c r="G35" i="5"/>
  <c r="D35" i="5"/>
  <c r="K34" i="5"/>
  <c r="Q11" i="5" s="1"/>
  <c r="G34" i="5"/>
  <c r="D34" i="5"/>
  <c r="K33" i="5"/>
  <c r="G23" i="5"/>
  <c r="D23" i="5"/>
  <c r="G22" i="5"/>
  <c r="D22" i="5"/>
  <c r="G21" i="5"/>
  <c r="D21" i="5"/>
  <c r="K20" i="5"/>
  <c r="G20" i="5"/>
  <c r="D20" i="5"/>
  <c r="K19" i="5"/>
  <c r="P10" i="5" s="1"/>
  <c r="R11" i="5"/>
  <c r="P11" i="5"/>
  <c r="Q10" i="5"/>
  <c r="O10" i="5"/>
  <c r="G9" i="5"/>
  <c r="D9" i="5"/>
  <c r="G8" i="5"/>
  <c r="D8" i="5"/>
  <c r="G7" i="5"/>
  <c r="D7" i="5"/>
  <c r="K6" i="5"/>
  <c r="O11" i="5" s="1"/>
  <c r="G6" i="5"/>
  <c r="D6" i="5"/>
  <c r="K5" i="5"/>
  <c r="W10" i="5" l="1"/>
  <c r="V11" i="5"/>
  <c r="U10" i="5"/>
  <c r="T11" i="5"/>
  <c r="K76" i="5"/>
  <c r="K61" i="5"/>
  <c r="K75" i="5"/>
  <c r="K89" i="5"/>
</calcChain>
</file>

<file path=xl/sharedStrings.xml><?xml version="1.0" encoding="utf-8"?>
<sst xmlns="http://schemas.openxmlformats.org/spreadsheetml/2006/main" count="128" uniqueCount="27">
  <si>
    <t>10mM Suc.</t>
    <phoneticPr fontId="1" type="noConversion"/>
  </si>
  <si>
    <t>PER (average)</t>
    <phoneticPr fontId="1" type="noConversion"/>
  </si>
  <si>
    <t>SEM</t>
  </si>
  <si>
    <t>Plate #</t>
    <phoneticPr fontId="1" type="noConversion"/>
  </si>
  <si>
    <t>Response</t>
  </si>
  <si>
    <t>Total</t>
  </si>
  <si>
    <t>Response Rate</t>
  </si>
  <si>
    <t>50mM Suc.</t>
    <phoneticPr fontId="1" type="noConversion"/>
  </si>
  <si>
    <t>100mM Suc.</t>
    <phoneticPr fontId="1" type="noConversion"/>
  </si>
  <si>
    <t>500mM Suc.</t>
    <phoneticPr fontId="1" type="noConversion"/>
  </si>
  <si>
    <t>PER (average)</t>
  </si>
  <si>
    <t>Plate #</t>
  </si>
  <si>
    <t>Response Rate</t>
    <phoneticPr fontId="1" type="noConversion"/>
  </si>
  <si>
    <t>SEM</t>
    <phoneticPr fontId="1" type="noConversion"/>
  </si>
  <si>
    <t xml:space="preserve">Fed - Tarsal PER/ Modified PER </t>
    <phoneticPr fontId="1" type="noConversion"/>
  </si>
  <si>
    <t xml:space="preserve">  </t>
    <phoneticPr fontId="1" type="noConversion"/>
  </si>
  <si>
    <t>50mM Suc.</t>
  </si>
  <si>
    <t>100mM Suc.</t>
  </si>
  <si>
    <t>500mM Suc.</t>
  </si>
  <si>
    <t>atGRN&gt;Kir2.1</t>
  </si>
  <si>
    <t>Gr5a&gt;Kir2.1</t>
  </si>
  <si>
    <t>w1118</t>
  </si>
  <si>
    <t>Gr64f&gt;Kir2.1</t>
  </si>
  <si>
    <r>
      <t xml:space="preserve">atGRN&gt;Kir2.1 </t>
    </r>
    <r>
      <rPr>
        <sz val="9"/>
        <color theme="1"/>
        <rFont val="Arial"/>
        <family val="2"/>
      </rPr>
      <t>(atGRNs)</t>
    </r>
  </si>
  <si>
    <r>
      <t>Gr5a&gt;Kir2.1</t>
    </r>
    <r>
      <rPr>
        <sz val="9"/>
        <color theme="1"/>
        <rFont val="Arial"/>
        <family val="2"/>
      </rPr>
      <t xml:space="preserve"> (stGRNs)</t>
    </r>
  </si>
  <si>
    <r>
      <t>Gr64f&gt;Kir2.1</t>
    </r>
    <r>
      <rPr>
        <sz val="8"/>
        <color theme="1"/>
        <rFont val="Arial"/>
        <family val="2"/>
      </rPr>
      <t xml:space="preserve"> (all sweet GRNs)</t>
    </r>
  </si>
  <si>
    <t>10mM Suc.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</si>
</sst>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9"/>
      <color rgb="FF000000"/>
      <name val="Arial"/>
      <family val="2"/>
    </font>
    <font>
      <i/>
      <sz val="8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5" fillId="4" borderId="0" xfId="0" applyFont="1" applyFill="1">
      <alignment vertical="center"/>
    </xf>
    <xf numFmtId="0" fontId="3" fillId="4" borderId="0" xfId="0" applyFont="1" applyFill="1" applyAlignment="1">
      <alignment horizontal="left" vertical="center"/>
    </xf>
    <xf numFmtId="0" fontId="5" fillId="5" borderId="0" xfId="0" applyFont="1" applyFill="1">
      <alignment vertical="center"/>
    </xf>
    <xf numFmtId="0" fontId="3" fillId="5" borderId="0" xfId="0" applyFont="1" applyFill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>
      <alignment vertical="center"/>
    </xf>
    <xf numFmtId="0" fontId="3" fillId="7" borderId="4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>
      <alignment vertical="center"/>
    </xf>
    <xf numFmtId="0" fontId="3" fillId="8" borderId="4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>
      <alignment vertical="center"/>
    </xf>
    <xf numFmtId="0" fontId="3" fillId="9" borderId="4" xfId="0" applyFont="1" applyFill="1" applyBorder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9" borderId="0" xfId="0" applyFont="1" applyFill="1">
      <alignment vertical="center"/>
    </xf>
    <xf numFmtId="0" fontId="6" fillId="3" borderId="0" xfId="0" applyFont="1" applyFill="1">
      <alignment vertical="center"/>
    </xf>
    <xf numFmtId="0" fontId="9" fillId="8" borderId="0" xfId="0" applyFont="1" applyFill="1">
      <alignment vertical="center"/>
    </xf>
    <xf numFmtId="0" fontId="9" fillId="9" borderId="0" xfId="0" applyFont="1" applyFill="1">
      <alignment vertical="center"/>
    </xf>
    <xf numFmtId="0" fontId="2" fillId="0" borderId="4" xfId="0" applyFont="1" applyBorder="1">
      <alignment vertical="center"/>
    </xf>
    <xf numFmtId="0" fontId="7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6" fillId="0" borderId="4" xfId="0" applyFont="1" applyBorder="1">
      <alignment vertical="center"/>
    </xf>
    <xf numFmtId="0" fontId="3" fillId="8" borderId="4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53045563906598"/>
          <c:y val="0.10773407063975016"/>
          <c:w val="0.69133805910485258"/>
          <c:h val="0.40397509578544061"/>
        </c:manualLayout>
      </c:layout>
      <c:lineChart>
        <c:grouping val="standard"/>
        <c:varyColors val="0"/>
        <c:ser>
          <c:idx val="0"/>
          <c:order val="0"/>
          <c:tx>
            <c:strRef>
              <c:f>'atGRN,stGRN'!$N$10</c:f>
              <c:strCache>
                <c:ptCount val="1"/>
                <c:pt idx="0">
                  <c:v>atGRN&gt;Kir2.1 (atGRNs)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'atGRN,stGRN'!$T$10:$W$10</c:f>
                <c:numCache>
                  <c:formatCode>General</c:formatCode>
                  <c:ptCount val="4"/>
                  <c:pt idx="0">
                    <c:v>1.2028130608117218E-2</c:v>
                  </c:pt>
                  <c:pt idx="1">
                    <c:v>2.9462782549439487E-2</c:v>
                  </c:pt>
                  <c:pt idx="2">
                    <c:v>5.1031036307982877E-2</c:v>
                  </c:pt>
                  <c:pt idx="3">
                    <c:v>2.9462782549439428E-2</c:v>
                  </c:pt>
                </c:numCache>
              </c:numRef>
            </c:plus>
            <c:minus>
              <c:numRef>
                <c:f>'atGRN,stGRN'!$T$10:$W$10</c:f>
                <c:numCache>
                  <c:formatCode>General</c:formatCode>
                  <c:ptCount val="4"/>
                  <c:pt idx="0">
                    <c:v>1.2028130608117218E-2</c:v>
                  </c:pt>
                  <c:pt idx="1">
                    <c:v>2.9462782549439487E-2</c:v>
                  </c:pt>
                  <c:pt idx="2">
                    <c:v>5.1031036307982877E-2</c:v>
                  </c:pt>
                  <c:pt idx="3">
                    <c:v>2.9462782549439428E-2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'atGRN,stGRN'!$O$9:$R$9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'atGRN,stGRN'!$O$10:$R$10</c:f>
              <c:numCache>
                <c:formatCode>General</c:formatCode>
                <c:ptCount val="4"/>
                <c:pt idx="0">
                  <c:v>6.2499999999999993E-2</c:v>
                </c:pt>
                <c:pt idx="1">
                  <c:v>0.125</c:v>
                </c:pt>
                <c:pt idx="2">
                  <c:v>0.16666666666666669</c:v>
                </c:pt>
                <c:pt idx="3">
                  <c:v>0.25000000000000006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F-490B-AD98-607B5B8000E2}"/>
            </c:ext>
          </c:extLst>
        </c:ser>
        <c:ser>
          <c:idx val="2"/>
          <c:order val="1"/>
          <c:tx>
            <c:strRef>
              <c:f>'atGRN,stGRN'!$N$11</c:f>
              <c:strCache>
                <c:ptCount val="1"/>
                <c:pt idx="0">
                  <c:v>Gr5a&gt;Kir2.1 (stGRNs)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'atGRN,stGRN'!$T$11:$W$11</c:f>
                <c:numCache>
                  <c:formatCode>General</c:formatCode>
                  <c:ptCount val="4"/>
                  <c:pt idx="0">
                    <c:v>4.3368041655544448E-2</c:v>
                  </c:pt>
                  <c:pt idx="1">
                    <c:v>4.3368041655544358E-2</c:v>
                  </c:pt>
                  <c:pt idx="2">
                    <c:v>5.2083333333333273E-2</c:v>
                  </c:pt>
                  <c:pt idx="3">
                    <c:v>6.883412361666319E-2</c:v>
                  </c:pt>
                </c:numCache>
              </c:numRef>
            </c:plus>
            <c:minus>
              <c:numRef>
                <c:f>'atGRN,stGRN'!$T$11:$W$11</c:f>
                <c:numCache>
                  <c:formatCode>General</c:formatCode>
                  <c:ptCount val="4"/>
                  <c:pt idx="0">
                    <c:v>4.3368041655544448E-2</c:v>
                  </c:pt>
                  <c:pt idx="1">
                    <c:v>4.3368041655544358E-2</c:v>
                  </c:pt>
                  <c:pt idx="2">
                    <c:v>5.2083333333333273E-2</c:v>
                  </c:pt>
                  <c:pt idx="3">
                    <c:v>6.883412361666319E-2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'atGRN,stGRN'!$O$9:$R$9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'atGRN,stGRN'!$O$11:$R$11</c:f>
              <c:numCache>
                <c:formatCode>General</c:formatCode>
                <c:ptCount val="4"/>
                <c:pt idx="0">
                  <c:v>0.14583333333333331</c:v>
                </c:pt>
                <c:pt idx="1">
                  <c:v>0.27083333333333337</c:v>
                </c:pt>
                <c:pt idx="2">
                  <c:v>0.34375</c:v>
                </c:pt>
                <c:pt idx="3">
                  <c:v>0.53125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F-490B-AD98-607B5B8000E2}"/>
            </c:ext>
          </c:extLst>
        </c:ser>
        <c:ser>
          <c:idx val="1"/>
          <c:order val="2"/>
          <c:tx>
            <c:strRef>
              <c:f>'atGRN,stGRN'!$N$12</c:f>
              <c:strCache>
                <c:ptCount val="1"/>
                <c:pt idx="0">
                  <c:v>Gr64f&gt;Kir2.1 (all sweet GRNs)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9050">
                <a:solidFill>
                  <a:schemeClr val="accent6"/>
                </a:solidFill>
                <a:prstDash val="sys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'atGRN,stGRN'!$T$12:$W$12</c:f>
                <c:numCache>
                  <c:formatCode>General</c:formatCode>
                  <c:ptCount val="4"/>
                  <c:pt idx="0">
                    <c:v>1.8536594187554364E-2</c:v>
                  </c:pt>
                  <c:pt idx="1">
                    <c:v>1.410423334138187E-2</c:v>
                  </c:pt>
                  <c:pt idx="2">
                    <c:v>8.5051727179971549E-3</c:v>
                  </c:pt>
                  <c:pt idx="3">
                    <c:v>1.410423334138188E-2</c:v>
                  </c:pt>
                </c:numCache>
              </c:numRef>
            </c:plus>
            <c:minus>
              <c:numRef>
                <c:f>'atGRN,stGRN'!$T$12:$W$12</c:f>
                <c:numCache>
                  <c:formatCode>General</c:formatCode>
                  <c:ptCount val="4"/>
                  <c:pt idx="0">
                    <c:v>1.8536594187554364E-2</c:v>
                  </c:pt>
                  <c:pt idx="1">
                    <c:v>1.410423334138187E-2</c:v>
                  </c:pt>
                  <c:pt idx="2">
                    <c:v>8.5051727179971549E-3</c:v>
                  </c:pt>
                  <c:pt idx="3">
                    <c:v>1.410423334138188E-2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'atGRN,stGRN'!$O$9:$R$9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'atGRN,stGRN'!$O$12:$R$12</c:f>
              <c:numCache>
                <c:formatCode>General</c:formatCode>
                <c:ptCount val="4"/>
                <c:pt idx="0">
                  <c:v>5.2083333333333329E-2</c:v>
                </c:pt>
                <c:pt idx="1">
                  <c:v>7.2916666666666671E-2</c:v>
                </c:pt>
                <c:pt idx="2">
                  <c:v>6.2499999999999993E-2</c:v>
                </c:pt>
                <c:pt idx="3">
                  <c:v>9.375E-2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F-490B-AD98-607B5B8000E2}"/>
            </c:ext>
          </c:extLst>
        </c:ser>
        <c:ser>
          <c:idx val="3"/>
          <c:order val="3"/>
          <c:tx>
            <c:strRef>
              <c:f>'atGRN,stGRN'!$N$13</c:f>
              <c:strCache>
                <c:ptCount val="1"/>
                <c:pt idx="0">
                  <c:v>w1118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'atGRN,stGRN'!$T$13:$W$13</c:f>
                <c:numCache>
                  <c:formatCode>General</c:formatCode>
                  <c:ptCount val="4"/>
                  <c:pt idx="0">
                    <c:v>2.7886073618418421E-2</c:v>
                  </c:pt>
                  <c:pt idx="1">
                    <c:v>4.3989095344860847E-2</c:v>
                  </c:pt>
                  <c:pt idx="2">
                    <c:v>5.9384136723913461E-2</c:v>
                  </c:pt>
                  <c:pt idx="3">
                    <c:v>3.5067725480423848E-2</c:v>
                  </c:pt>
                </c:numCache>
              </c:numRef>
            </c:plus>
            <c:minus>
              <c:numRef>
                <c:f>'atGRN,stGRN'!$T$13:$W$13</c:f>
                <c:numCache>
                  <c:formatCode>General</c:formatCode>
                  <c:ptCount val="4"/>
                  <c:pt idx="0">
                    <c:v>2.7886073618418421E-2</c:v>
                  </c:pt>
                  <c:pt idx="1">
                    <c:v>4.3989095344860847E-2</c:v>
                  </c:pt>
                  <c:pt idx="2">
                    <c:v>5.9384136723913461E-2</c:v>
                  </c:pt>
                  <c:pt idx="3">
                    <c:v>3.5067725480423848E-2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'atGRN,stGRN'!$O$9:$R$9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cat>
          <c:val>
            <c:numRef>
              <c:f>'atGRN,stGRN'!$O$13:$R$13</c:f>
              <c:numCache>
                <c:formatCode>General</c:formatCode>
                <c:ptCount val="4"/>
                <c:pt idx="0">
                  <c:v>0.23958333333333337</c:v>
                </c:pt>
                <c:pt idx="1">
                  <c:v>0.42708333333333337</c:v>
                </c:pt>
                <c:pt idx="2">
                  <c:v>0.53125</c:v>
                </c:pt>
                <c:pt idx="3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8-4C60-82EC-C18FA9AA8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00495"/>
        <c:axId val="545198415"/>
      </c:line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[Sucrose]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mM)</a:t>
                </a:r>
              </a:p>
            </c:rich>
          </c:tx>
          <c:layout>
            <c:manualLayout>
              <c:xMode val="edge"/>
              <c:yMode val="edge"/>
              <c:x val="0.39772621412042641"/>
              <c:y val="0.58014705882352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1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5.0357485953053817E-2"/>
          <c:y val="0.66293839464246029"/>
          <c:w val="0.66724219325254686"/>
          <c:h val="0.200933401115712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1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382700</xdr:colOff>
      <xdr:row>16</xdr:row>
      <xdr:rowOff>132264</xdr:rowOff>
    </xdr:from>
    <xdr:to>
      <xdr:col>17</xdr:col>
      <xdr:colOff>360997</xdr:colOff>
      <xdr:row>39</xdr:row>
      <xdr:rowOff>98245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DA595D4-1E1E-4643-912C-1337CA3E9645}"/>
            </a:ext>
          </a:extLst>
        </xdr:cNvPr>
        <xdr:cNvGrpSpPr/>
      </xdr:nvGrpSpPr>
      <xdr:grpSpPr>
        <a:xfrm>
          <a:off x="8453437" y="2338730"/>
          <a:ext cx="3103245" cy="3105013"/>
          <a:chOff x="8232321" y="2474802"/>
          <a:chExt cx="3002076" cy="330823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8E27F7A-008D-CBD5-3444-3E4173B57F8B}"/>
              </a:ext>
            </a:extLst>
          </xdr:cNvPr>
          <xdr:cNvGraphicFramePr>
            <a:graphicFrameLocks/>
          </xdr:cNvGraphicFramePr>
        </xdr:nvGraphicFramePr>
        <xdr:xfrm>
          <a:off x="8232321" y="2474802"/>
          <a:ext cx="3002076" cy="33082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963F622-6067-AD3E-FAF1-D704F948A866}"/>
              </a:ext>
            </a:extLst>
          </xdr:cNvPr>
          <xdr:cNvSpPr txBox="1"/>
        </xdr:nvSpPr>
        <xdr:spPr>
          <a:xfrm>
            <a:off x="9339593" y="2519154"/>
            <a:ext cx="1082519" cy="2518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state</a:t>
            </a:r>
            <a:endParaRPr lang="ko-KR" altLang="ko-KR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3BA3-859E-4945-B55F-FABC11782F3D}">
  <dimension ref="A1:Y113"/>
  <sheetViews>
    <sheetView tabSelected="1" zoomScale="112" zoomScaleNormal="112" workbookViewId="0">
      <selection activeCell="L105" sqref="L105"/>
    </sheetView>
  </sheetViews>
  <sheetFormatPr defaultColWidth="9" defaultRowHeight="10.199999999999999"/>
  <cols>
    <col min="1" max="13" width="9" style="2"/>
    <col min="14" max="14" width="18.33203125" style="2" customWidth="1"/>
    <col min="15" max="16384" width="9" style="2"/>
  </cols>
  <sheetData>
    <row r="1" spans="1:25">
      <c r="A1" s="1" t="s">
        <v>14</v>
      </c>
    </row>
    <row r="2" spans="1:25">
      <c r="N2" s="3"/>
      <c r="O2" s="3"/>
      <c r="P2" s="3"/>
    </row>
    <row r="3" spans="1:25" ht="11.4">
      <c r="B3" s="14" t="s">
        <v>19</v>
      </c>
      <c r="C3" s="15"/>
      <c r="D3" s="15"/>
      <c r="E3" s="16" t="s">
        <v>20</v>
      </c>
      <c r="F3" s="17"/>
      <c r="G3" s="17"/>
      <c r="H3" s="4"/>
      <c r="I3" s="4"/>
      <c r="J3" s="4"/>
      <c r="K3" s="4"/>
      <c r="L3" s="4"/>
      <c r="N3" s="3"/>
      <c r="O3" s="3"/>
      <c r="P3" s="3"/>
    </row>
    <row r="4" spans="1:25">
      <c r="A4" s="4"/>
      <c r="B4" s="38" t="s">
        <v>0</v>
      </c>
      <c r="C4" s="39"/>
      <c r="D4" s="40"/>
      <c r="E4" s="41" t="s">
        <v>0</v>
      </c>
      <c r="F4" s="42"/>
      <c r="G4" s="43"/>
      <c r="H4" s="4"/>
      <c r="I4" s="4"/>
      <c r="J4" s="4"/>
      <c r="K4" s="5" t="s">
        <v>1</v>
      </c>
      <c r="L4" s="6" t="s">
        <v>2</v>
      </c>
      <c r="N4" s="3"/>
      <c r="O4" s="3"/>
      <c r="P4" s="3"/>
    </row>
    <row r="5" spans="1:25">
      <c r="A5" s="7" t="s">
        <v>3</v>
      </c>
      <c r="B5" s="27" t="s">
        <v>4</v>
      </c>
      <c r="C5" s="27" t="s">
        <v>5</v>
      </c>
      <c r="D5" s="27" t="s">
        <v>6</v>
      </c>
      <c r="E5" s="24" t="s">
        <v>4</v>
      </c>
      <c r="F5" s="24" t="s">
        <v>5</v>
      </c>
      <c r="G5" s="24" t="s">
        <v>6</v>
      </c>
      <c r="H5" s="4"/>
      <c r="I5" s="38" t="s">
        <v>0</v>
      </c>
      <c r="J5" s="40"/>
      <c r="K5" s="5">
        <f>AVERAGE(D6:D15)</f>
        <v>6.2499999999999993E-2</v>
      </c>
      <c r="L5" s="5">
        <f>STDEV(D6:D15)/SQRT(4)</f>
        <v>1.2028130608117218E-2</v>
      </c>
      <c r="N5" s="3"/>
      <c r="O5" s="3"/>
      <c r="P5" s="3"/>
    </row>
    <row r="6" spans="1:25">
      <c r="A6" s="5">
        <v>1</v>
      </c>
      <c r="B6" s="27">
        <v>2</v>
      </c>
      <c r="C6" s="27">
        <v>24</v>
      </c>
      <c r="D6" s="27">
        <f>B6/C6</f>
        <v>8.3333333333333329E-2</v>
      </c>
      <c r="E6" s="24">
        <v>6</v>
      </c>
      <c r="F6" s="24">
        <v>24</v>
      </c>
      <c r="G6" s="24">
        <f>E6/F6</f>
        <v>0.25</v>
      </c>
      <c r="H6" s="4"/>
      <c r="I6" s="41" t="s">
        <v>0</v>
      </c>
      <c r="J6" s="43"/>
      <c r="K6" s="5">
        <f>AVERAGE(G6:G15)</f>
        <v>0.14583333333333331</v>
      </c>
      <c r="L6" s="5">
        <f>STDEV(G6:G15)/SQRT(4)</f>
        <v>4.3368041655544448E-2</v>
      </c>
    </row>
    <row r="7" spans="1:25">
      <c r="A7" s="5">
        <v>2</v>
      </c>
      <c r="B7" s="27">
        <v>1</v>
      </c>
      <c r="C7" s="27">
        <v>24</v>
      </c>
      <c r="D7" s="27">
        <f>B7/C7</f>
        <v>4.1666666666666664E-2</v>
      </c>
      <c r="E7" s="24">
        <v>4</v>
      </c>
      <c r="F7" s="24">
        <v>24</v>
      </c>
      <c r="G7" s="24">
        <f t="shared" ref="G7:G9" si="0">E7/F7</f>
        <v>0.16666666666666666</v>
      </c>
      <c r="H7" s="4"/>
    </row>
    <row r="8" spans="1:25">
      <c r="A8" s="5">
        <v>3</v>
      </c>
      <c r="B8" s="27">
        <v>2</v>
      </c>
      <c r="C8" s="27">
        <v>24</v>
      </c>
      <c r="D8" s="27">
        <f>B8/C8</f>
        <v>8.3333333333333329E-2</v>
      </c>
      <c r="E8" s="24">
        <v>3</v>
      </c>
      <c r="F8" s="24">
        <v>24</v>
      </c>
      <c r="G8" s="24">
        <f t="shared" si="0"/>
        <v>0.125</v>
      </c>
      <c r="H8" s="4"/>
      <c r="I8" s="4"/>
      <c r="J8" s="4"/>
      <c r="K8" s="4"/>
      <c r="L8" s="4"/>
      <c r="O8" s="8" t="s">
        <v>1</v>
      </c>
      <c r="T8" s="1" t="s">
        <v>13</v>
      </c>
    </row>
    <row r="9" spans="1:25">
      <c r="A9" s="5">
        <v>4</v>
      </c>
      <c r="B9" s="27">
        <v>1</v>
      </c>
      <c r="C9" s="27">
        <v>24</v>
      </c>
      <c r="D9" s="27">
        <f>B9/C9</f>
        <v>4.1666666666666664E-2</v>
      </c>
      <c r="E9" s="24">
        <v>1</v>
      </c>
      <c r="F9" s="24">
        <v>24</v>
      </c>
      <c r="G9" s="24">
        <f t="shared" si="0"/>
        <v>4.1666666666666664E-2</v>
      </c>
      <c r="H9" s="4"/>
      <c r="I9" s="4"/>
      <c r="J9" s="4"/>
      <c r="K9" s="4"/>
      <c r="L9" s="4"/>
      <c r="N9" s="33"/>
      <c r="O9" s="33">
        <v>10</v>
      </c>
      <c r="P9" s="33">
        <v>50</v>
      </c>
      <c r="Q9" s="33">
        <v>100</v>
      </c>
      <c r="R9" s="33">
        <v>500</v>
      </c>
      <c r="S9" s="1"/>
      <c r="T9" s="1">
        <v>10</v>
      </c>
      <c r="U9" s="1">
        <v>50</v>
      </c>
      <c r="V9" s="1">
        <v>100</v>
      </c>
      <c r="W9" s="1">
        <v>500</v>
      </c>
    </row>
    <row r="10" spans="1:25" ht="11.4">
      <c r="A10" s="5">
        <v>5</v>
      </c>
      <c r="B10" s="27"/>
      <c r="C10" s="27"/>
      <c r="D10" s="27"/>
      <c r="E10" s="24"/>
      <c r="F10" s="24"/>
      <c r="G10" s="24"/>
      <c r="H10" s="4"/>
      <c r="I10" s="4"/>
      <c r="J10" s="4"/>
      <c r="K10" s="4"/>
      <c r="L10" s="4"/>
      <c r="N10" s="34" t="s">
        <v>23</v>
      </c>
      <c r="O10" s="35">
        <f>K5</f>
        <v>6.2499999999999993E-2</v>
      </c>
      <c r="P10" s="35">
        <f>K19</f>
        <v>0.125</v>
      </c>
      <c r="Q10" s="35">
        <f>K33</f>
        <v>0.16666666666666669</v>
      </c>
      <c r="R10" s="35">
        <f>K47</f>
        <v>0.25000000000000006</v>
      </c>
      <c r="T10" s="2">
        <f>L5</f>
        <v>1.2028130608117218E-2</v>
      </c>
      <c r="U10" s="2">
        <f>L19</f>
        <v>2.9462782549439487E-2</v>
      </c>
      <c r="V10" s="2">
        <f>L33</f>
        <v>5.1031036307982877E-2</v>
      </c>
      <c r="W10" s="2">
        <f>L47</f>
        <v>2.9462782549439428E-2</v>
      </c>
      <c r="Y10" s="10"/>
    </row>
    <row r="11" spans="1:25" ht="11.4">
      <c r="A11" s="5">
        <v>6</v>
      </c>
      <c r="B11" s="27"/>
      <c r="C11" s="27"/>
      <c r="D11" s="27"/>
      <c r="E11" s="24"/>
      <c r="F11" s="24"/>
      <c r="G11" s="24"/>
      <c r="H11" s="4"/>
      <c r="I11" s="4"/>
      <c r="J11" s="4"/>
      <c r="K11" s="4"/>
      <c r="L11" s="4"/>
      <c r="N11" s="34" t="s">
        <v>24</v>
      </c>
      <c r="O11" s="35">
        <f>K6</f>
        <v>0.14583333333333331</v>
      </c>
      <c r="P11" s="35">
        <f>K20</f>
        <v>0.27083333333333337</v>
      </c>
      <c r="Q11" s="35">
        <f>K34</f>
        <v>0.34375</v>
      </c>
      <c r="R11" s="35">
        <f>K48</f>
        <v>0.53125</v>
      </c>
      <c r="T11" s="2">
        <f>L6</f>
        <v>4.3368041655544448E-2</v>
      </c>
      <c r="U11" s="2">
        <f>L20</f>
        <v>4.3368041655544358E-2</v>
      </c>
      <c r="V11" s="2">
        <f>L34</f>
        <v>5.2083333333333273E-2</v>
      </c>
      <c r="W11" s="2">
        <f>L48</f>
        <v>6.883412361666319E-2</v>
      </c>
      <c r="Y11" s="10"/>
    </row>
    <row r="12" spans="1:25">
      <c r="A12" s="5">
        <v>7</v>
      </c>
      <c r="B12" s="27"/>
      <c r="C12" s="27"/>
      <c r="D12" s="27"/>
      <c r="E12" s="24"/>
      <c r="F12" s="24"/>
      <c r="G12" s="24"/>
      <c r="H12" s="4"/>
      <c r="I12" s="4"/>
      <c r="J12" s="4"/>
      <c r="K12" s="4"/>
      <c r="L12" s="4"/>
      <c r="N12" s="36" t="s">
        <v>25</v>
      </c>
      <c r="O12" s="35">
        <v>5.2083333333333329E-2</v>
      </c>
      <c r="P12" s="35">
        <v>7.2916666666666671E-2</v>
      </c>
      <c r="Q12" s="35">
        <v>6.2499999999999993E-2</v>
      </c>
      <c r="R12" s="35">
        <v>9.375E-2</v>
      </c>
      <c r="T12" s="2">
        <v>1.8536594187554364E-2</v>
      </c>
      <c r="U12" s="2">
        <v>1.410423334138187E-2</v>
      </c>
      <c r="V12" s="2">
        <v>8.5051727179971549E-3</v>
      </c>
      <c r="W12" s="2">
        <v>1.410423334138188E-2</v>
      </c>
    </row>
    <row r="13" spans="1:25">
      <c r="A13" s="5">
        <v>8</v>
      </c>
      <c r="B13" s="27"/>
      <c r="C13" s="27"/>
      <c r="D13" s="27"/>
      <c r="E13" s="24"/>
      <c r="F13" s="24"/>
      <c r="G13" s="24"/>
      <c r="H13" s="4"/>
      <c r="I13" s="4"/>
      <c r="J13" s="4"/>
      <c r="K13" s="4"/>
      <c r="L13" s="4"/>
      <c r="N13" s="35" t="s">
        <v>21</v>
      </c>
      <c r="O13" s="35">
        <v>0.23958333333333337</v>
      </c>
      <c r="P13" s="35">
        <v>0.42708333333333337</v>
      </c>
      <c r="Q13" s="35">
        <v>0.53125</v>
      </c>
      <c r="R13" s="35">
        <v>0.6875</v>
      </c>
      <c r="T13" s="2">
        <v>2.7886073618418421E-2</v>
      </c>
      <c r="U13" s="2">
        <v>4.3989095344860847E-2</v>
      </c>
      <c r="V13" s="2">
        <v>5.9384136723913461E-2</v>
      </c>
      <c r="W13" s="2">
        <v>3.5067725480423848E-2</v>
      </c>
    </row>
    <row r="14" spans="1:25">
      <c r="A14" s="5">
        <v>9</v>
      </c>
      <c r="B14" s="27"/>
      <c r="C14" s="27"/>
      <c r="D14" s="27"/>
      <c r="E14" s="24"/>
      <c r="F14" s="24"/>
      <c r="G14" s="24"/>
      <c r="H14" s="4"/>
      <c r="I14" s="4"/>
      <c r="J14" s="4"/>
      <c r="K14" s="4"/>
      <c r="L14" s="4"/>
    </row>
    <row r="15" spans="1:25">
      <c r="A15" s="5">
        <v>10</v>
      </c>
      <c r="B15" s="27"/>
      <c r="C15" s="27"/>
      <c r="D15" s="27"/>
      <c r="E15" s="24"/>
      <c r="F15" s="24"/>
      <c r="G15" s="24"/>
      <c r="H15" s="4"/>
      <c r="I15" s="4"/>
      <c r="J15" s="4"/>
      <c r="K15" s="4"/>
      <c r="L15" s="4"/>
    </row>
    <row r="16" spans="1:25">
      <c r="A16" s="4"/>
      <c r="B16" s="28"/>
      <c r="C16" s="28"/>
      <c r="D16" s="28"/>
      <c r="E16" s="25"/>
      <c r="F16" s="25"/>
      <c r="G16" s="25"/>
      <c r="H16" s="4"/>
      <c r="I16" s="4"/>
      <c r="J16" s="4"/>
      <c r="K16" s="4"/>
      <c r="L16" s="4"/>
    </row>
    <row r="17" spans="1:12" ht="11.4">
      <c r="B17" s="32" t="s">
        <v>19</v>
      </c>
      <c r="C17" s="28"/>
      <c r="D17" s="28"/>
      <c r="E17" s="31" t="s">
        <v>20</v>
      </c>
      <c r="F17" s="25"/>
      <c r="G17" s="25"/>
      <c r="H17" s="4"/>
      <c r="I17" s="4"/>
      <c r="J17" s="4"/>
      <c r="K17" s="4"/>
      <c r="L17" s="4"/>
    </row>
    <row r="18" spans="1:12">
      <c r="A18" s="4"/>
      <c r="B18" s="38" t="s">
        <v>16</v>
      </c>
      <c r="C18" s="39"/>
      <c r="D18" s="40"/>
      <c r="E18" s="41" t="s">
        <v>16</v>
      </c>
      <c r="F18" s="42"/>
      <c r="G18" s="43"/>
      <c r="H18" s="4"/>
      <c r="I18" s="4"/>
      <c r="J18" s="4"/>
      <c r="K18" s="5" t="s">
        <v>10</v>
      </c>
      <c r="L18" s="6" t="s">
        <v>2</v>
      </c>
    </row>
    <row r="19" spans="1:12">
      <c r="A19" s="7" t="s">
        <v>11</v>
      </c>
      <c r="B19" s="27" t="s">
        <v>4</v>
      </c>
      <c r="C19" s="27" t="s">
        <v>5</v>
      </c>
      <c r="D19" s="27" t="s">
        <v>6</v>
      </c>
      <c r="E19" s="24" t="s">
        <v>4</v>
      </c>
      <c r="F19" s="24" t="s">
        <v>5</v>
      </c>
      <c r="G19" s="24" t="s">
        <v>12</v>
      </c>
      <c r="H19" s="4"/>
      <c r="I19" s="38" t="s">
        <v>7</v>
      </c>
      <c r="J19" s="40"/>
      <c r="K19" s="5">
        <f>AVERAGE(D20:D29)</f>
        <v>0.125</v>
      </c>
      <c r="L19" s="5">
        <f>STDEV(D20:D29)/SQRT(4)</f>
        <v>2.9462782549439487E-2</v>
      </c>
    </row>
    <row r="20" spans="1:12">
      <c r="A20" s="5">
        <v>1</v>
      </c>
      <c r="B20" s="27">
        <v>2</v>
      </c>
      <c r="C20" s="27">
        <v>24</v>
      </c>
      <c r="D20" s="27">
        <f>B20/C20</f>
        <v>8.3333333333333329E-2</v>
      </c>
      <c r="E20" s="24">
        <v>7</v>
      </c>
      <c r="F20" s="24">
        <v>24</v>
      </c>
      <c r="G20" s="24">
        <f>E20/F20</f>
        <v>0.29166666666666669</v>
      </c>
      <c r="H20" s="4"/>
      <c r="I20" s="41" t="s">
        <v>7</v>
      </c>
      <c r="J20" s="43"/>
      <c r="K20" s="5">
        <f>AVERAGE(G20:G29)</f>
        <v>0.27083333333333337</v>
      </c>
      <c r="L20" s="5">
        <f>STDEV(G20:G29)/SQRT(4)</f>
        <v>4.3368041655544358E-2</v>
      </c>
    </row>
    <row r="21" spans="1:12">
      <c r="A21" s="5">
        <v>2</v>
      </c>
      <c r="B21" s="27">
        <v>5</v>
      </c>
      <c r="C21" s="27">
        <v>24</v>
      </c>
      <c r="D21" s="27">
        <f t="shared" ref="D21:D23" si="1">B21/C21</f>
        <v>0.20833333333333334</v>
      </c>
      <c r="E21" s="24">
        <v>4</v>
      </c>
      <c r="F21" s="24">
        <v>24</v>
      </c>
      <c r="G21" s="24">
        <f t="shared" ref="G21:G23" si="2">E21/F21</f>
        <v>0.16666666666666666</v>
      </c>
      <c r="H21" s="4"/>
    </row>
    <row r="22" spans="1:12">
      <c r="A22" s="5">
        <v>3</v>
      </c>
      <c r="B22" s="27">
        <v>3</v>
      </c>
      <c r="C22" s="27">
        <v>24</v>
      </c>
      <c r="D22" s="27">
        <f t="shared" si="1"/>
        <v>0.125</v>
      </c>
      <c r="E22" s="24">
        <v>6</v>
      </c>
      <c r="F22" s="24">
        <v>24</v>
      </c>
      <c r="G22" s="24">
        <f t="shared" si="2"/>
        <v>0.25</v>
      </c>
      <c r="H22" s="4"/>
      <c r="I22" s="4"/>
      <c r="J22" s="4"/>
      <c r="K22" s="4"/>
      <c r="L22" s="4"/>
    </row>
    <row r="23" spans="1:12">
      <c r="A23" s="5">
        <v>4</v>
      </c>
      <c r="B23" s="27">
        <v>2</v>
      </c>
      <c r="C23" s="27">
        <v>24</v>
      </c>
      <c r="D23" s="27">
        <f t="shared" si="1"/>
        <v>8.3333333333333329E-2</v>
      </c>
      <c r="E23" s="24">
        <v>9</v>
      </c>
      <c r="F23" s="24">
        <v>24</v>
      </c>
      <c r="G23" s="24">
        <f t="shared" si="2"/>
        <v>0.375</v>
      </c>
      <c r="H23" s="4"/>
      <c r="I23" s="4"/>
      <c r="J23" s="4"/>
      <c r="K23" s="4"/>
      <c r="L23" s="4"/>
    </row>
    <row r="24" spans="1:12">
      <c r="A24" s="5">
        <v>5</v>
      </c>
      <c r="B24" s="27"/>
      <c r="C24" s="27"/>
      <c r="D24" s="27"/>
      <c r="E24" s="24"/>
      <c r="F24" s="24"/>
      <c r="G24" s="24"/>
      <c r="H24" s="4"/>
      <c r="I24" s="4"/>
      <c r="J24" s="4"/>
      <c r="K24" s="4"/>
      <c r="L24" s="4"/>
    </row>
    <row r="25" spans="1:12">
      <c r="A25" s="5">
        <v>6</v>
      </c>
      <c r="B25" s="27"/>
      <c r="C25" s="27"/>
      <c r="D25" s="27"/>
      <c r="E25" s="24"/>
      <c r="F25" s="24"/>
      <c r="G25" s="24"/>
      <c r="H25" s="4"/>
      <c r="I25" s="4"/>
      <c r="J25" s="4"/>
      <c r="K25" s="4"/>
      <c r="L25" s="4"/>
    </row>
    <row r="26" spans="1:12">
      <c r="A26" s="5">
        <v>7</v>
      </c>
      <c r="B26" s="27"/>
      <c r="C26" s="27"/>
      <c r="D26" s="27"/>
      <c r="E26" s="24"/>
      <c r="F26" s="24"/>
      <c r="G26" s="24"/>
      <c r="H26" s="4"/>
      <c r="I26" s="4"/>
      <c r="J26" s="4"/>
      <c r="K26" s="4"/>
      <c r="L26" s="4"/>
    </row>
    <row r="27" spans="1:12">
      <c r="A27" s="5">
        <v>8</v>
      </c>
      <c r="B27" s="27"/>
      <c r="C27" s="27"/>
      <c r="D27" s="27"/>
      <c r="E27" s="24"/>
      <c r="F27" s="24"/>
      <c r="G27" s="24"/>
      <c r="H27" s="4"/>
      <c r="I27" s="4"/>
      <c r="J27" s="4"/>
      <c r="K27" s="4"/>
      <c r="L27" s="4"/>
    </row>
    <row r="28" spans="1:12">
      <c r="A28" s="5">
        <v>9</v>
      </c>
      <c r="B28" s="27"/>
      <c r="C28" s="27"/>
      <c r="D28" s="27"/>
      <c r="E28" s="24"/>
      <c r="F28" s="24"/>
      <c r="G28" s="24"/>
      <c r="H28" s="4"/>
      <c r="I28" s="4"/>
      <c r="J28" s="4"/>
      <c r="K28" s="4"/>
      <c r="L28" s="4"/>
    </row>
    <row r="29" spans="1:12">
      <c r="A29" s="5">
        <v>10</v>
      </c>
      <c r="B29" s="27"/>
      <c r="C29" s="27"/>
      <c r="D29" s="27"/>
      <c r="E29" s="24"/>
      <c r="F29" s="24"/>
      <c r="G29" s="24"/>
      <c r="H29" s="4"/>
      <c r="I29" s="4"/>
      <c r="J29" s="4"/>
      <c r="K29" s="4"/>
      <c r="L29" s="4"/>
    </row>
    <row r="30" spans="1:12">
      <c r="A30" s="4"/>
      <c r="B30" s="28"/>
      <c r="C30" s="28"/>
      <c r="D30" s="28"/>
      <c r="E30" s="25"/>
      <c r="F30" s="25"/>
      <c r="G30" s="25"/>
      <c r="H30" s="4"/>
      <c r="I30" s="4"/>
      <c r="J30" s="4"/>
      <c r="K30" s="4"/>
      <c r="L30" s="4"/>
    </row>
    <row r="31" spans="1:12" ht="11.4">
      <c r="A31" s="9"/>
      <c r="B31" s="28" t="s">
        <v>19</v>
      </c>
      <c r="C31" s="28"/>
      <c r="D31" s="28"/>
      <c r="E31" s="31" t="s">
        <v>20</v>
      </c>
      <c r="F31" s="25"/>
      <c r="G31" s="25"/>
      <c r="H31" s="4"/>
      <c r="I31" s="4"/>
      <c r="J31" s="4"/>
      <c r="K31" s="4"/>
      <c r="L31" s="4"/>
    </row>
    <row r="32" spans="1:12">
      <c r="A32" s="4"/>
      <c r="B32" s="38" t="s">
        <v>17</v>
      </c>
      <c r="C32" s="39"/>
      <c r="D32" s="40"/>
      <c r="E32" s="41" t="s">
        <v>17</v>
      </c>
      <c r="F32" s="42"/>
      <c r="G32" s="43"/>
      <c r="H32" s="4"/>
      <c r="I32" s="4"/>
      <c r="J32" s="4"/>
      <c r="K32" s="5" t="s">
        <v>1</v>
      </c>
      <c r="L32" s="6" t="s">
        <v>2</v>
      </c>
    </row>
    <row r="33" spans="1:15">
      <c r="A33" s="7" t="s">
        <v>3</v>
      </c>
      <c r="B33" s="27" t="s">
        <v>4</v>
      </c>
      <c r="C33" s="27" t="s">
        <v>5</v>
      </c>
      <c r="D33" s="27" t="s">
        <v>6</v>
      </c>
      <c r="E33" s="24" t="s">
        <v>4</v>
      </c>
      <c r="F33" s="24" t="s">
        <v>5</v>
      </c>
      <c r="G33" s="24" t="s">
        <v>6</v>
      </c>
      <c r="H33" s="4"/>
      <c r="I33" s="44" t="s">
        <v>8</v>
      </c>
      <c r="J33" s="44"/>
      <c r="K33" s="5">
        <f>AVERAGE(D34:D43)</f>
        <v>0.16666666666666669</v>
      </c>
      <c r="L33" s="5">
        <f>STDEV(D34:D43)/SQRT(4)</f>
        <v>5.1031036307982877E-2</v>
      </c>
    </row>
    <row r="34" spans="1:15">
      <c r="A34" s="5">
        <v>1</v>
      </c>
      <c r="B34" s="27">
        <v>2</v>
      </c>
      <c r="C34" s="27">
        <v>24</v>
      </c>
      <c r="D34" s="27">
        <f>B34/C34</f>
        <v>8.3333333333333329E-2</v>
      </c>
      <c r="E34" s="24">
        <v>9</v>
      </c>
      <c r="F34" s="24">
        <v>24</v>
      </c>
      <c r="G34" s="24">
        <f>E34/F34</f>
        <v>0.375</v>
      </c>
      <c r="H34" s="4"/>
      <c r="I34" s="37" t="s">
        <v>8</v>
      </c>
      <c r="J34" s="37"/>
      <c r="K34" s="5">
        <f>AVERAGE(G34:G43)</f>
        <v>0.34375</v>
      </c>
      <c r="L34" s="5">
        <f>STDEV(G34:G43)/SQRT(4)</f>
        <v>5.2083333333333273E-2</v>
      </c>
      <c r="O34" s="2" t="s">
        <v>15</v>
      </c>
    </row>
    <row r="35" spans="1:15">
      <c r="A35" s="5">
        <v>2</v>
      </c>
      <c r="B35" s="27">
        <v>7</v>
      </c>
      <c r="C35" s="27">
        <v>24</v>
      </c>
      <c r="D35" s="27">
        <f t="shared" ref="D35:D37" si="3">B35/C35</f>
        <v>0.29166666666666669</v>
      </c>
      <c r="E35" s="24">
        <v>5</v>
      </c>
      <c r="F35" s="24">
        <v>24</v>
      </c>
      <c r="G35" s="24">
        <f t="shared" ref="G35:G37" si="4">E35/F35</f>
        <v>0.20833333333333334</v>
      </c>
      <c r="H35" s="4"/>
    </row>
    <row r="36" spans="1:15">
      <c r="A36" s="5">
        <v>3</v>
      </c>
      <c r="B36" s="27">
        <v>5</v>
      </c>
      <c r="C36" s="27">
        <v>24</v>
      </c>
      <c r="D36" s="27">
        <f t="shared" si="3"/>
        <v>0.20833333333333334</v>
      </c>
      <c r="E36" s="24">
        <v>8</v>
      </c>
      <c r="F36" s="24">
        <v>24</v>
      </c>
      <c r="G36" s="24">
        <f t="shared" si="4"/>
        <v>0.33333333333333331</v>
      </c>
      <c r="H36" s="4"/>
      <c r="I36" s="4"/>
      <c r="J36" s="4"/>
      <c r="K36" s="4"/>
      <c r="L36" s="4"/>
    </row>
    <row r="37" spans="1:15">
      <c r="A37" s="5">
        <v>4</v>
      </c>
      <c r="B37" s="27">
        <v>2</v>
      </c>
      <c r="C37" s="27">
        <v>24</v>
      </c>
      <c r="D37" s="27">
        <f t="shared" si="3"/>
        <v>8.3333333333333329E-2</v>
      </c>
      <c r="E37" s="24">
        <v>11</v>
      </c>
      <c r="F37" s="24">
        <v>24</v>
      </c>
      <c r="G37" s="24">
        <f t="shared" si="4"/>
        <v>0.45833333333333331</v>
      </c>
      <c r="H37" s="4"/>
      <c r="I37" s="4"/>
      <c r="J37" s="4"/>
      <c r="K37" s="4"/>
      <c r="L37" s="4"/>
    </row>
    <row r="38" spans="1:15">
      <c r="A38" s="5">
        <v>5</v>
      </c>
      <c r="B38" s="27"/>
      <c r="C38" s="27"/>
      <c r="D38" s="27"/>
      <c r="E38" s="24"/>
      <c r="F38" s="24"/>
      <c r="G38" s="24"/>
      <c r="H38" s="4"/>
      <c r="I38" s="4"/>
      <c r="J38" s="4"/>
      <c r="K38" s="4"/>
      <c r="L38" s="4"/>
    </row>
    <row r="39" spans="1:15">
      <c r="A39" s="5">
        <v>6</v>
      </c>
      <c r="B39" s="27"/>
      <c r="C39" s="27"/>
      <c r="D39" s="27"/>
      <c r="E39" s="24"/>
      <c r="F39" s="24"/>
      <c r="G39" s="24"/>
      <c r="H39" s="4"/>
      <c r="I39" s="4"/>
      <c r="J39" s="4"/>
      <c r="K39" s="4"/>
      <c r="L39" s="4"/>
    </row>
    <row r="40" spans="1:15">
      <c r="A40" s="5">
        <v>7</v>
      </c>
      <c r="B40" s="27"/>
      <c r="C40" s="27"/>
      <c r="D40" s="27"/>
      <c r="E40" s="24"/>
      <c r="F40" s="24"/>
      <c r="G40" s="24"/>
      <c r="H40" s="4"/>
      <c r="I40" s="4"/>
      <c r="J40" s="4"/>
      <c r="K40" s="4"/>
      <c r="L40" s="4"/>
    </row>
    <row r="41" spans="1:15">
      <c r="A41" s="5">
        <v>8</v>
      </c>
      <c r="B41" s="27"/>
      <c r="C41" s="27"/>
      <c r="D41" s="27"/>
      <c r="E41" s="24"/>
      <c r="F41" s="24"/>
      <c r="G41" s="24"/>
      <c r="H41" s="4"/>
      <c r="I41" s="4"/>
      <c r="J41" s="4"/>
      <c r="K41" s="4"/>
      <c r="L41" s="4"/>
    </row>
    <row r="42" spans="1:15">
      <c r="A42" s="5">
        <v>9</v>
      </c>
      <c r="B42" s="27"/>
      <c r="C42" s="27"/>
      <c r="D42" s="27"/>
      <c r="E42" s="24"/>
      <c r="F42" s="24"/>
      <c r="G42" s="24"/>
      <c r="H42" s="4"/>
      <c r="I42" s="4"/>
      <c r="J42" s="4"/>
      <c r="K42" s="4"/>
      <c r="L42" s="4"/>
    </row>
    <row r="43" spans="1:15">
      <c r="A43" s="5">
        <v>10</v>
      </c>
      <c r="B43" s="27"/>
      <c r="C43" s="27"/>
      <c r="D43" s="27"/>
      <c r="E43" s="24"/>
      <c r="F43" s="24"/>
      <c r="G43" s="24"/>
      <c r="H43" s="4"/>
      <c r="I43" s="4"/>
      <c r="J43" s="4"/>
      <c r="K43" s="4"/>
      <c r="L43" s="4"/>
    </row>
    <row r="44" spans="1:15">
      <c r="B44" s="29"/>
      <c r="C44" s="29"/>
      <c r="D44" s="29"/>
      <c r="E44" s="26"/>
      <c r="F44" s="26"/>
      <c r="G44" s="26"/>
    </row>
    <row r="45" spans="1:15" ht="11.4">
      <c r="A45" s="9"/>
      <c r="B45" s="28" t="s">
        <v>19</v>
      </c>
      <c r="C45" s="28"/>
      <c r="D45" s="28"/>
      <c r="E45" s="31" t="s">
        <v>20</v>
      </c>
      <c r="F45" s="25"/>
      <c r="G45" s="25"/>
    </row>
    <row r="46" spans="1:15">
      <c r="A46" s="4"/>
      <c r="B46" s="38" t="s">
        <v>9</v>
      </c>
      <c r="C46" s="39"/>
      <c r="D46" s="40"/>
      <c r="E46" s="41" t="s">
        <v>9</v>
      </c>
      <c r="F46" s="42"/>
      <c r="G46" s="43"/>
      <c r="I46" s="4"/>
      <c r="J46" s="4"/>
      <c r="K46" s="5" t="s">
        <v>10</v>
      </c>
      <c r="L46" s="6" t="s">
        <v>2</v>
      </c>
    </row>
    <row r="47" spans="1:15">
      <c r="A47" s="7" t="s">
        <v>3</v>
      </c>
      <c r="B47" s="27" t="s">
        <v>4</v>
      </c>
      <c r="C47" s="27" t="s">
        <v>5</v>
      </c>
      <c r="D47" s="27" t="s">
        <v>6</v>
      </c>
      <c r="E47" s="24" t="s">
        <v>4</v>
      </c>
      <c r="F47" s="24" t="s">
        <v>5</v>
      </c>
      <c r="G47" s="24" t="s">
        <v>6</v>
      </c>
      <c r="I47" s="38" t="s">
        <v>18</v>
      </c>
      <c r="J47" s="40"/>
      <c r="K47" s="5">
        <f>AVERAGE(D48:D57)</f>
        <v>0.25000000000000006</v>
      </c>
      <c r="L47" s="5">
        <f>STDEV(D48:D57)/SQRT(4)</f>
        <v>2.9462782549439428E-2</v>
      </c>
    </row>
    <row r="48" spans="1:15">
      <c r="A48" s="5">
        <v>1</v>
      </c>
      <c r="B48" s="27">
        <v>6</v>
      </c>
      <c r="C48" s="27">
        <v>24</v>
      </c>
      <c r="D48" s="27">
        <f>B48/C48</f>
        <v>0.25</v>
      </c>
      <c r="E48" s="24">
        <v>16</v>
      </c>
      <c r="F48" s="24">
        <v>24</v>
      </c>
      <c r="G48" s="24">
        <f>E48/F48</f>
        <v>0.66666666666666663</v>
      </c>
      <c r="I48" s="41" t="s">
        <v>18</v>
      </c>
      <c r="J48" s="43"/>
      <c r="K48" s="5">
        <f>AVERAGE(G48:G57)</f>
        <v>0.53125</v>
      </c>
      <c r="L48" s="5">
        <f>STDEV(G48:G57)/SQRT(4)</f>
        <v>6.883412361666319E-2</v>
      </c>
    </row>
    <row r="49" spans="1:12">
      <c r="A49" s="5">
        <v>2</v>
      </c>
      <c r="B49" s="27">
        <v>7</v>
      </c>
      <c r="C49" s="27">
        <v>24</v>
      </c>
      <c r="D49" s="27">
        <f t="shared" ref="D49:D51" si="5">B49/C49</f>
        <v>0.29166666666666669</v>
      </c>
      <c r="E49" s="24">
        <v>9</v>
      </c>
      <c r="F49" s="24">
        <v>24</v>
      </c>
      <c r="G49" s="24">
        <f t="shared" ref="G49:G51" si="6">E49/F49</f>
        <v>0.375</v>
      </c>
    </row>
    <row r="50" spans="1:12">
      <c r="A50" s="5">
        <v>3</v>
      </c>
      <c r="B50" s="27">
        <v>7</v>
      </c>
      <c r="C50" s="27">
        <v>24</v>
      </c>
      <c r="D50" s="27">
        <f t="shared" si="5"/>
        <v>0.29166666666666669</v>
      </c>
      <c r="E50" s="24">
        <v>11</v>
      </c>
      <c r="F50" s="24">
        <v>24</v>
      </c>
      <c r="G50" s="24">
        <f t="shared" si="6"/>
        <v>0.45833333333333331</v>
      </c>
    </row>
    <row r="51" spans="1:12">
      <c r="A51" s="5">
        <v>4</v>
      </c>
      <c r="B51" s="27">
        <v>4</v>
      </c>
      <c r="C51" s="27">
        <v>24</v>
      </c>
      <c r="D51" s="27">
        <f t="shared" si="5"/>
        <v>0.16666666666666666</v>
      </c>
      <c r="E51" s="24">
        <v>15</v>
      </c>
      <c r="F51" s="24">
        <v>24</v>
      </c>
      <c r="G51" s="24">
        <f t="shared" si="6"/>
        <v>0.625</v>
      </c>
    </row>
    <row r="52" spans="1:12">
      <c r="A52" s="5">
        <v>5</v>
      </c>
      <c r="B52" s="27"/>
      <c r="C52" s="27"/>
      <c r="D52" s="27"/>
      <c r="E52" s="24"/>
      <c r="F52" s="24"/>
      <c r="G52" s="24"/>
    </row>
    <row r="53" spans="1:12">
      <c r="A53" s="5">
        <v>6</v>
      </c>
      <c r="B53" s="27"/>
      <c r="C53" s="27"/>
      <c r="D53" s="27"/>
      <c r="E53" s="24"/>
      <c r="F53" s="24"/>
      <c r="G53" s="24"/>
    </row>
    <row r="54" spans="1:12">
      <c r="A54" s="5">
        <v>7</v>
      </c>
      <c r="B54" s="27"/>
      <c r="C54" s="27"/>
      <c r="D54" s="27"/>
      <c r="E54" s="24"/>
      <c r="F54" s="24"/>
      <c r="G54" s="24"/>
    </row>
    <row r="55" spans="1:12">
      <c r="A55" s="5">
        <v>8</v>
      </c>
      <c r="B55" s="27"/>
      <c r="C55" s="27"/>
      <c r="D55" s="27"/>
      <c r="E55" s="24"/>
      <c r="F55" s="24"/>
      <c r="G55" s="24"/>
    </row>
    <row r="56" spans="1:12">
      <c r="A56" s="5">
        <v>9</v>
      </c>
      <c r="B56" s="27"/>
      <c r="C56" s="27"/>
      <c r="D56" s="27"/>
      <c r="E56" s="24"/>
      <c r="F56" s="24"/>
      <c r="G56" s="24"/>
    </row>
    <row r="57" spans="1:12">
      <c r="A57" s="5">
        <v>10</v>
      </c>
      <c r="B57" s="27"/>
      <c r="C57" s="27"/>
      <c r="D57" s="27"/>
      <c r="E57" s="24"/>
      <c r="F57" s="24"/>
      <c r="G57" s="24"/>
    </row>
    <row r="59" spans="1:12" ht="11.4">
      <c r="B59" s="11" t="s">
        <v>21</v>
      </c>
      <c r="C59" s="12"/>
      <c r="D59" s="12"/>
      <c r="E59" s="30" t="s">
        <v>22</v>
      </c>
      <c r="F59" s="13"/>
      <c r="G59" s="13"/>
    </row>
    <row r="60" spans="1:12">
      <c r="A60" s="4"/>
      <c r="B60" s="47" t="s">
        <v>26</v>
      </c>
      <c r="C60" s="48"/>
      <c r="D60" s="49"/>
      <c r="E60" s="45" t="s">
        <v>26</v>
      </c>
      <c r="F60" s="50"/>
      <c r="G60" s="46"/>
      <c r="H60" s="4"/>
      <c r="I60" s="4"/>
      <c r="J60" s="4"/>
      <c r="K60" s="5" t="s">
        <v>1</v>
      </c>
      <c r="L60" s="6" t="s">
        <v>2</v>
      </c>
    </row>
    <row r="61" spans="1:12">
      <c r="A61" s="7" t="s">
        <v>3</v>
      </c>
      <c r="B61" s="21" t="s">
        <v>4</v>
      </c>
      <c r="C61" s="21" t="s">
        <v>5</v>
      </c>
      <c r="D61" s="21" t="s">
        <v>6</v>
      </c>
      <c r="E61" s="18" t="s">
        <v>4</v>
      </c>
      <c r="F61" s="18" t="s">
        <v>5</v>
      </c>
      <c r="G61" s="18" t="s">
        <v>6</v>
      </c>
      <c r="H61" s="4"/>
      <c r="I61" s="47" t="s">
        <v>0</v>
      </c>
      <c r="J61" s="49"/>
      <c r="K61" s="5">
        <f>AVERAGE(D62:D71)</f>
        <v>0.23958333333333337</v>
      </c>
      <c r="L61" s="5">
        <f>STDEV(D62:D71)/SQRT(4)</f>
        <v>3.9436863512501905E-2</v>
      </c>
    </row>
    <row r="62" spans="1:12">
      <c r="A62" s="5">
        <v>1</v>
      </c>
      <c r="B62" s="21">
        <v>7</v>
      </c>
      <c r="C62" s="21">
        <v>24</v>
      </c>
      <c r="D62" s="21">
        <f>B62/C62</f>
        <v>0.29166666666666669</v>
      </c>
      <c r="E62" s="18">
        <v>1</v>
      </c>
      <c r="F62" s="18">
        <v>24</v>
      </c>
      <c r="G62" s="18">
        <f>E62/F62</f>
        <v>4.1666666666666664E-2</v>
      </c>
      <c r="H62" s="4"/>
      <c r="I62" s="45" t="s">
        <v>0</v>
      </c>
      <c r="J62" s="46"/>
      <c r="K62" s="5">
        <f>AVERAGE(G62:G71)</f>
        <v>5.2083333333333329E-2</v>
      </c>
      <c r="L62" s="5">
        <f>STDEV(G62:G71)/SQRT(4)</f>
        <v>2.6214702900245666E-2</v>
      </c>
    </row>
    <row r="63" spans="1:12">
      <c r="A63" s="5">
        <v>2</v>
      </c>
      <c r="B63" s="21">
        <v>3</v>
      </c>
      <c r="C63" s="21">
        <v>24</v>
      </c>
      <c r="D63" s="21">
        <f>B63/C63</f>
        <v>0.125</v>
      </c>
      <c r="E63" s="18">
        <v>0</v>
      </c>
      <c r="F63" s="18">
        <v>24</v>
      </c>
      <c r="G63" s="18">
        <f t="shared" ref="G63:G65" si="7">E63/F63</f>
        <v>0</v>
      </c>
      <c r="H63" s="4"/>
    </row>
    <row r="64" spans="1:12">
      <c r="A64" s="5">
        <v>3</v>
      </c>
      <c r="B64" s="21">
        <v>6</v>
      </c>
      <c r="C64" s="21">
        <v>24</v>
      </c>
      <c r="D64" s="21">
        <f>B64/C64</f>
        <v>0.25</v>
      </c>
      <c r="E64" s="18">
        <v>3</v>
      </c>
      <c r="F64" s="18">
        <v>24</v>
      </c>
      <c r="G64" s="18">
        <f t="shared" si="7"/>
        <v>0.125</v>
      </c>
      <c r="H64" s="4"/>
      <c r="I64" s="4"/>
      <c r="J64" s="4"/>
      <c r="K64" s="4"/>
      <c r="L64" s="4"/>
    </row>
    <row r="65" spans="1:12">
      <c r="A65" s="5">
        <v>4</v>
      </c>
      <c r="B65" s="21">
        <v>7</v>
      </c>
      <c r="C65" s="21">
        <v>24</v>
      </c>
      <c r="D65" s="21">
        <f>B65/C65</f>
        <v>0.29166666666666669</v>
      </c>
      <c r="E65" s="18">
        <v>1</v>
      </c>
      <c r="F65" s="18">
        <v>24</v>
      </c>
      <c r="G65" s="18">
        <f t="shared" si="7"/>
        <v>4.1666666666666664E-2</v>
      </c>
      <c r="H65" s="4"/>
      <c r="I65" s="4"/>
      <c r="J65" s="4"/>
      <c r="K65" s="4"/>
      <c r="L65" s="4"/>
    </row>
    <row r="66" spans="1:12">
      <c r="A66" s="5">
        <v>5</v>
      </c>
      <c r="B66" s="21"/>
      <c r="C66" s="21"/>
      <c r="D66" s="21"/>
      <c r="E66" s="18"/>
      <c r="F66" s="18"/>
      <c r="G66" s="18"/>
      <c r="H66" s="4"/>
      <c r="I66" s="4"/>
      <c r="J66" s="4"/>
      <c r="K66" s="4"/>
      <c r="L66" s="4"/>
    </row>
    <row r="67" spans="1:12">
      <c r="A67" s="5">
        <v>6</v>
      </c>
      <c r="B67" s="21"/>
      <c r="C67" s="21"/>
      <c r="D67" s="21"/>
      <c r="E67" s="18"/>
      <c r="F67" s="18"/>
      <c r="G67" s="18"/>
      <c r="H67" s="4"/>
      <c r="I67" s="4"/>
      <c r="J67" s="4"/>
      <c r="K67" s="4"/>
      <c r="L67" s="4"/>
    </row>
    <row r="68" spans="1:12">
      <c r="A68" s="5">
        <v>7</v>
      </c>
      <c r="B68" s="21"/>
      <c r="C68" s="21"/>
      <c r="D68" s="21"/>
      <c r="E68" s="18"/>
      <c r="F68" s="18"/>
      <c r="G68" s="18"/>
      <c r="H68" s="4"/>
      <c r="I68" s="4"/>
      <c r="J68" s="4"/>
      <c r="K68" s="4"/>
      <c r="L68" s="4"/>
    </row>
    <row r="69" spans="1:12">
      <c r="A69" s="5">
        <v>8</v>
      </c>
      <c r="B69" s="21"/>
      <c r="C69" s="21"/>
      <c r="D69" s="21"/>
      <c r="E69" s="18"/>
      <c r="F69" s="18"/>
      <c r="G69" s="18"/>
      <c r="H69" s="4"/>
      <c r="I69" s="4"/>
      <c r="J69" s="4"/>
      <c r="K69" s="4"/>
      <c r="L69" s="4"/>
    </row>
    <row r="70" spans="1:12">
      <c r="A70" s="5">
        <v>9</v>
      </c>
      <c r="B70" s="21"/>
      <c r="C70" s="21"/>
      <c r="D70" s="21"/>
      <c r="E70" s="18"/>
      <c r="F70" s="18"/>
      <c r="G70" s="18"/>
      <c r="H70" s="4"/>
      <c r="I70" s="4"/>
      <c r="J70" s="4"/>
      <c r="K70" s="4"/>
      <c r="L70" s="4"/>
    </row>
    <row r="71" spans="1:12">
      <c r="A71" s="5">
        <v>10</v>
      </c>
      <c r="B71" s="21"/>
      <c r="C71" s="21"/>
      <c r="D71" s="21"/>
      <c r="E71" s="18"/>
      <c r="F71" s="18"/>
      <c r="G71" s="18"/>
      <c r="H71" s="4"/>
      <c r="I71" s="4"/>
      <c r="J71" s="4"/>
      <c r="K71" s="4"/>
      <c r="L71" s="4"/>
    </row>
    <row r="72" spans="1:12">
      <c r="A72" s="4"/>
      <c r="B72" s="22"/>
      <c r="C72" s="22"/>
      <c r="D72" s="22"/>
      <c r="E72" s="19"/>
      <c r="F72" s="19"/>
      <c r="G72" s="19"/>
      <c r="H72" s="4"/>
      <c r="I72" s="4"/>
      <c r="J72" s="4"/>
      <c r="K72" s="4"/>
      <c r="L72" s="4"/>
    </row>
    <row r="73" spans="1:12" ht="11.4">
      <c r="A73" s="9"/>
      <c r="B73" s="22" t="s">
        <v>21</v>
      </c>
      <c r="C73" s="22"/>
      <c r="D73" s="22"/>
      <c r="E73" s="20" t="s">
        <v>22</v>
      </c>
      <c r="F73" s="19"/>
      <c r="G73" s="19"/>
      <c r="H73" s="4"/>
      <c r="I73" s="4"/>
      <c r="J73" s="4"/>
      <c r="K73" s="4"/>
      <c r="L73" s="4"/>
    </row>
    <row r="74" spans="1:12">
      <c r="A74" s="4"/>
      <c r="B74" s="47" t="s">
        <v>7</v>
      </c>
      <c r="C74" s="48"/>
      <c r="D74" s="49"/>
      <c r="E74" s="45" t="s">
        <v>16</v>
      </c>
      <c r="F74" s="50"/>
      <c r="G74" s="46"/>
      <c r="H74" s="4"/>
      <c r="I74" s="4"/>
      <c r="J74" s="4"/>
      <c r="K74" s="5" t="s">
        <v>10</v>
      </c>
      <c r="L74" s="6" t="s">
        <v>2</v>
      </c>
    </row>
    <row r="75" spans="1:12">
      <c r="A75" s="7" t="s">
        <v>11</v>
      </c>
      <c r="B75" s="21" t="s">
        <v>4</v>
      </c>
      <c r="C75" s="21" t="s">
        <v>5</v>
      </c>
      <c r="D75" s="21" t="s">
        <v>6</v>
      </c>
      <c r="E75" s="18" t="s">
        <v>4</v>
      </c>
      <c r="F75" s="18" t="s">
        <v>5</v>
      </c>
      <c r="G75" s="18" t="s">
        <v>12</v>
      </c>
      <c r="H75" s="4"/>
      <c r="I75" s="47" t="s">
        <v>7</v>
      </c>
      <c r="J75" s="49"/>
      <c r="K75" s="5">
        <f>AVERAGE(D76:D85)</f>
        <v>0.42708333333333337</v>
      </c>
      <c r="L75" s="5">
        <f>STDEV(D76:D85)/SQRT(4)</f>
        <v>6.2209975233225398E-2</v>
      </c>
    </row>
    <row r="76" spans="1:12">
      <c r="A76" s="5">
        <v>1</v>
      </c>
      <c r="B76" s="21">
        <v>9</v>
      </c>
      <c r="C76" s="21">
        <v>24</v>
      </c>
      <c r="D76" s="21">
        <f>B76/C76</f>
        <v>0.375</v>
      </c>
      <c r="E76" s="18">
        <v>2</v>
      </c>
      <c r="F76" s="18">
        <v>24</v>
      </c>
      <c r="G76" s="18">
        <f>E76/F76</f>
        <v>8.3333333333333329E-2</v>
      </c>
      <c r="H76" s="4"/>
      <c r="I76" s="45" t="s">
        <v>7</v>
      </c>
      <c r="J76" s="46"/>
      <c r="K76" s="5">
        <f>AVERAGE(G76:G85)</f>
        <v>7.2916666666666671E-2</v>
      </c>
      <c r="L76" s="5">
        <f>STDEV(G76:G85)/SQRT(4)</f>
        <v>1.9946398078257037E-2</v>
      </c>
    </row>
    <row r="77" spans="1:12">
      <c r="A77" s="5">
        <v>2</v>
      </c>
      <c r="B77" s="21">
        <v>7</v>
      </c>
      <c r="C77" s="21">
        <v>24</v>
      </c>
      <c r="D77" s="21">
        <f t="shared" ref="D77:D79" si="8">B77/C77</f>
        <v>0.29166666666666669</v>
      </c>
      <c r="E77" s="18">
        <v>1</v>
      </c>
      <c r="F77" s="18">
        <v>24</v>
      </c>
      <c r="G77" s="18">
        <f t="shared" ref="G77:G79" si="9">E77/F77</f>
        <v>4.1666666666666664E-2</v>
      </c>
      <c r="H77" s="4"/>
    </row>
    <row r="78" spans="1:12">
      <c r="A78" s="5">
        <v>3</v>
      </c>
      <c r="B78" s="21">
        <v>11</v>
      </c>
      <c r="C78" s="21">
        <v>24</v>
      </c>
      <c r="D78" s="21">
        <f t="shared" si="8"/>
        <v>0.45833333333333331</v>
      </c>
      <c r="E78" s="18">
        <v>3</v>
      </c>
      <c r="F78" s="18">
        <v>24</v>
      </c>
      <c r="G78" s="18">
        <f t="shared" si="9"/>
        <v>0.125</v>
      </c>
      <c r="H78" s="4"/>
      <c r="I78" s="4"/>
      <c r="J78" s="4"/>
      <c r="K78" s="4"/>
      <c r="L78" s="4"/>
    </row>
    <row r="79" spans="1:12">
      <c r="A79" s="5">
        <v>4</v>
      </c>
      <c r="B79" s="21">
        <v>14</v>
      </c>
      <c r="C79" s="21">
        <v>24</v>
      </c>
      <c r="D79" s="21">
        <f t="shared" si="8"/>
        <v>0.58333333333333337</v>
      </c>
      <c r="E79" s="18">
        <v>1</v>
      </c>
      <c r="F79" s="18">
        <v>24</v>
      </c>
      <c r="G79" s="18">
        <f t="shared" si="9"/>
        <v>4.1666666666666664E-2</v>
      </c>
      <c r="H79" s="4"/>
      <c r="I79" s="4"/>
      <c r="J79" s="4"/>
      <c r="K79" s="4"/>
      <c r="L79" s="4"/>
    </row>
    <row r="80" spans="1:12">
      <c r="A80" s="5">
        <v>5</v>
      </c>
      <c r="B80" s="21"/>
      <c r="C80" s="21"/>
      <c r="D80" s="21"/>
      <c r="E80" s="18"/>
      <c r="F80" s="18"/>
      <c r="G80" s="18"/>
      <c r="H80" s="4"/>
      <c r="I80" s="4"/>
      <c r="J80" s="4"/>
      <c r="K80" s="4"/>
      <c r="L80" s="4"/>
    </row>
    <row r="81" spans="1:12">
      <c r="A81" s="5">
        <v>6</v>
      </c>
      <c r="B81" s="21"/>
      <c r="C81" s="21"/>
      <c r="D81" s="21"/>
      <c r="E81" s="18"/>
      <c r="F81" s="18"/>
      <c r="G81" s="18"/>
      <c r="H81" s="4"/>
      <c r="I81" s="4"/>
      <c r="J81" s="4"/>
      <c r="K81" s="4"/>
      <c r="L81" s="4"/>
    </row>
    <row r="82" spans="1:12">
      <c r="A82" s="5">
        <v>7</v>
      </c>
      <c r="B82" s="21"/>
      <c r="C82" s="21"/>
      <c r="D82" s="21"/>
      <c r="E82" s="18"/>
      <c r="F82" s="18"/>
      <c r="G82" s="18"/>
      <c r="H82" s="4"/>
      <c r="I82" s="4"/>
      <c r="J82" s="4"/>
      <c r="K82" s="4"/>
      <c r="L82" s="4"/>
    </row>
    <row r="83" spans="1:12">
      <c r="A83" s="5">
        <v>8</v>
      </c>
      <c r="B83" s="21"/>
      <c r="C83" s="21"/>
      <c r="D83" s="21"/>
      <c r="E83" s="18"/>
      <c r="F83" s="18"/>
      <c r="G83" s="18"/>
      <c r="H83" s="4"/>
      <c r="I83" s="4"/>
      <c r="J83" s="4"/>
      <c r="K83" s="4"/>
      <c r="L83" s="4"/>
    </row>
    <row r="84" spans="1:12">
      <c r="A84" s="5">
        <v>9</v>
      </c>
      <c r="B84" s="21"/>
      <c r="C84" s="21"/>
      <c r="D84" s="21"/>
      <c r="E84" s="18"/>
      <c r="F84" s="18"/>
      <c r="G84" s="18"/>
      <c r="H84" s="4"/>
      <c r="I84" s="4"/>
      <c r="J84" s="4"/>
      <c r="K84" s="4"/>
      <c r="L84" s="4"/>
    </row>
    <row r="85" spans="1:12">
      <c r="A85" s="5">
        <v>10</v>
      </c>
      <c r="B85" s="21"/>
      <c r="C85" s="21"/>
      <c r="D85" s="21"/>
      <c r="E85" s="18"/>
      <c r="F85" s="18"/>
      <c r="G85" s="18"/>
      <c r="H85" s="4"/>
      <c r="I85" s="4"/>
      <c r="J85" s="4"/>
      <c r="K85" s="4"/>
      <c r="L85" s="4"/>
    </row>
    <row r="86" spans="1:12">
      <c r="A86" s="4"/>
      <c r="B86" s="22"/>
      <c r="C86" s="22"/>
      <c r="D86" s="22"/>
      <c r="E86" s="19"/>
      <c r="F86" s="19"/>
      <c r="G86" s="19"/>
      <c r="H86" s="4"/>
      <c r="I86" s="4"/>
      <c r="J86" s="4"/>
      <c r="K86" s="4"/>
      <c r="L86" s="4"/>
    </row>
    <row r="87" spans="1:12" ht="11.4">
      <c r="A87" s="9"/>
      <c r="B87" s="22" t="s">
        <v>21</v>
      </c>
      <c r="C87" s="22"/>
      <c r="D87" s="22"/>
      <c r="E87" s="20" t="s">
        <v>22</v>
      </c>
      <c r="F87" s="19"/>
      <c r="G87" s="19"/>
      <c r="H87" s="4"/>
      <c r="I87" s="4"/>
      <c r="J87" s="4"/>
      <c r="K87" s="4"/>
      <c r="L87" s="4"/>
    </row>
    <row r="88" spans="1:12">
      <c r="A88" s="4"/>
      <c r="B88" s="47" t="s">
        <v>8</v>
      </c>
      <c r="C88" s="48"/>
      <c r="D88" s="49"/>
      <c r="E88" s="45" t="s">
        <v>17</v>
      </c>
      <c r="F88" s="50"/>
      <c r="G88" s="46"/>
      <c r="H88" s="4"/>
      <c r="I88" s="4"/>
      <c r="J88" s="4"/>
      <c r="K88" s="5" t="s">
        <v>1</v>
      </c>
      <c r="L88" s="6" t="s">
        <v>2</v>
      </c>
    </row>
    <row r="89" spans="1:12">
      <c r="A89" s="7" t="s">
        <v>3</v>
      </c>
      <c r="B89" s="21" t="s">
        <v>4</v>
      </c>
      <c r="C89" s="21" t="s">
        <v>5</v>
      </c>
      <c r="D89" s="21" t="s">
        <v>6</v>
      </c>
      <c r="E89" s="18" t="s">
        <v>4</v>
      </c>
      <c r="F89" s="18" t="s">
        <v>5</v>
      </c>
      <c r="G89" s="18" t="s">
        <v>6</v>
      </c>
      <c r="H89" s="4"/>
      <c r="I89" s="51" t="s">
        <v>8</v>
      </c>
      <c r="J89" s="51"/>
      <c r="K89" s="5">
        <f>AVERAGE(D90:D99)</f>
        <v>0.53125</v>
      </c>
      <c r="L89" s="5">
        <f>STDEV(D90:D99)/SQRT(4)</f>
        <v>8.3981851544776595E-2</v>
      </c>
    </row>
    <row r="90" spans="1:12">
      <c r="A90" s="5">
        <v>1</v>
      </c>
      <c r="B90" s="21">
        <v>11</v>
      </c>
      <c r="C90" s="21">
        <v>24</v>
      </c>
      <c r="D90" s="21">
        <f>B90/C90</f>
        <v>0.45833333333333331</v>
      </c>
      <c r="E90" s="18">
        <v>2</v>
      </c>
      <c r="F90" s="18">
        <v>24</v>
      </c>
      <c r="G90" s="18">
        <f>E90/F90</f>
        <v>8.3333333333333329E-2</v>
      </c>
      <c r="H90" s="4"/>
      <c r="I90" s="52" t="s">
        <v>8</v>
      </c>
      <c r="J90" s="52"/>
      <c r="K90" s="5">
        <f>AVERAGE(G90:G99)</f>
        <v>6.2499999999999993E-2</v>
      </c>
      <c r="L90" s="5">
        <f>STDEV(G90:G99)/SQRT(4)</f>
        <v>1.2028130608117218E-2</v>
      </c>
    </row>
    <row r="91" spans="1:12">
      <c r="A91" s="5">
        <v>2</v>
      </c>
      <c r="B91" s="21">
        <v>8</v>
      </c>
      <c r="C91" s="21">
        <v>24</v>
      </c>
      <c r="D91" s="21">
        <f t="shared" ref="D91:D93" si="10">B91/C91</f>
        <v>0.33333333333333331</v>
      </c>
      <c r="E91" s="18">
        <v>1</v>
      </c>
      <c r="F91" s="18">
        <v>24</v>
      </c>
      <c r="G91" s="18">
        <f t="shared" ref="G91:G93" si="11">E91/F91</f>
        <v>4.1666666666666664E-2</v>
      </c>
      <c r="H91" s="4"/>
    </row>
    <row r="92" spans="1:12">
      <c r="A92" s="5">
        <v>3</v>
      </c>
      <c r="B92" s="21">
        <v>17</v>
      </c>
      <c r="C92" s="21">
        <v>24</v>
      </c>
      <c r="D92" s="21">
        <f t="shared" si="10"/>
        <v>0.70833333333333337</v>
      </c>
      <c r="E92" s="18">
        <v>2</v>
      </c>
      <c r="F92" s="18">
        <v>24</v>
      </c>
      <c r="G92" s="18">
        <f t="shared" si="11"/>
        <v>8.3333333333333329E-2</v>
      </c>
      <c r="H92" s="4"/>
      <c r="I92" s="4"/>
      <c r="J92" s="4"/>
      <c r="K92" s="4"/>
      <c r="L92" s="4"/>
    </row>
    <row r="93" spans="1:12">
      <c r="A93" s="5">
        <v>4</v>
      </c>
      <c r="B93" s="21">
        <v>15</v>
      </c>
      <c r="C93" s="21">
        <v>24</v>
      </c>
      <c r="D93" s="21">
        <f t="shared" si="10"/>
        <v>0.625</v>
      </c>
      <c r="E93" s="18">
        <v>1</v>
      </c>
      <c r="F93" s="18">
        <v>24</v>
      </c>
      <c r="G93" s="18">
        <f t="shared" si="11"/>
        <v>4.1666666666666664E-2</v>
      </c>
      <c r="H93" s="4"/>
      <c r="I93" s="4"/>
      <c r="J93" s="4"/>
      <c r="K93" s="4"/>
      <c r="L93" s="4"/>
    </row>
    <row r="94" spans="1:12">
      <c r="A94" s="5">
        <v>5</v>
      </c>
      <c r="B94" s="21"/>
      <c r="C94" s="21"/>
      <c r="D94" s="21"/>
      <c r="E94" s="18"/>
      <c r="F94" s="18"/>
      <c r="G94" s="18"/>
      <c r="H94" s="4"/>
      <c r="I94" s="4"/>
      <c r="J94" s="4"/>
      <c r="K94" s="4"/>
      <c r="L94" s="4"/>
    </row>
    <row r="95" spans="1:12">
      <c r="A95" s="5">
        <v>6</v>
      </c>
      <c r="B95" s="21"/>
      <c r="C95" s="21"/>
      <c r="D95" s="21"/>
      <c r="E95" s="18"/>
      <c r="F95" s="18"/>
      <c r="G95" s="18"/>
      <c r="H95" s="4"/>
      <c r="I95" s="4"/>
      <c r="J95" s="4"/>
      <c r="K95" s="4"/>
      <c r="L95" s="4"/>
    </row>
    <row r="96" spans="1:12">
      <c r="A96" s="5">
        <v>7</v>
      </c>
      <c r="B96" s="21"/>
      <c r="C96" s="21"/>
      <c r="D96" s="21"/>
      <c r="E96" s="18"/>
      <c r="F96" s="18"/>
      <c r="G96" s="18"/>
      <c r="H96" s="4"/>
      <c r="I96" s="4"/>
      <c r="J96" s="4"/>
      <c r="K96" s="4"/>
      <c r="L96" s="4"/>
    </row>
    <row r="97" spans="1:12">
      <c r="A97" s="5">
        <v>8</v>
      </c>
      <c r="B97" s="21"/>
      <c r="C97" s="21"/>
      <c r="D97" s="21"/>
      <c r="E97" s="18"/>
      <c r="F97" s="18"/>
      <c r="G97" s="18"/>
      <c r="H97" s="4"/>
      <c r="I97" s="4"/>
      <c r="J97" s="4"/>
      <c r="K97" s="4"/>
      <c r="L97" s="4"/>
    </row>
    <row r="98" spans="1:12">
      <c r="A98" s="5">
        <v>9</v>
      </c>
      <c r="B98" s="21"/>
      <c r="C98" s="21"/>
      <c r="D98" s="21"/>
      <c r="E98" s="18"/>
      <c r="F98" s="18"/>
      <c r="G98" s="18"/>
      <c r="H98" s="4"/>
      <c r="I98" s="4"/>
      <c r="J98" s="4"/>
      <c r="K98" s="4"/>
      <c r="L98" s="4"/>
    </row>
    <row r="99" spans="1:12">
      <c r="A99" s="5">
        <v>10</v>
      </c>
      <c r="B99" s="21"/>
      <c r="C99" s="21"/>
      <c r="D99" s="21"/>
      <c r="E99" s="18"/>
      <c r="F99" s="18"/>
      <c r="G99" s="18"/>
      <c r="H99" s="4"/>
      <c r="I99" s="4"/>
      <c r="J99" s="4"/>
      <c r="K99" s="4"/>
      <c r="L99" s="4"/>
    </row>
    <row r="100" spans="1:12">
      <c r="B100" s="23"/>
      <c r="C100" s="23"/>
      <c r="D100" s="23"/>
      <c r="E100" s="20"/>
      <c r="F100" s="20"/>
      <c r="G100" s="20"/>
    </row>
    <row r="101" spans="1:12" ht="11.4">
      <c r="A101" s="9"/>
      <c r="B101" s="22" t="s">
        <v>21</v>
      </c>
      <c r="C101" s="22"/>
      <c r="D101" s="22"/>
      <c r="E101" s="20" t="s">
        <v>22</v>
      </c>
      <c r="F101" s="19"/>
      <c r="G101" s="19"/>
    </row>
    <row r="102" spans="1:12">
      <c r="A102" s="4"/>
      <c r="B102" s="47" t="s">
        <v>9</v>
      </c>
      <c r="C102" s="48"/>
      <c r="D102" s="49"/>
      <c r="E102" s="52" t="s">
        <v>18</v>
      </c>
      <c r="F102" s="52"/>
      <c r="G102" s="52"/>
      <c r="I102" s="4"/>
      <c r="J102" s="4"/>
      <c r="K102" s="5" t="s">
        <v>10</v>
      </c>
      <c r="L102" s="6" t="s">
        <v>2</v>
      </c>
    </row>
    <row r="103" spans="1:12">
      <c r="A103" s="7" t="s">
        <v>3</v>
      </c>
      <c r="B103" s="21" t="s">
        <v>4</v>
      </c>
      <c r="C103" s="21" t="s">
        <v>5</v>
      </c>
      <c r="D103" s="21" t="s">
        <v>6</v>
      </c>
      <c r="E103" s="18" t="s">
        <v>4</v>
      </c>
      <c r="F103" s="18" t="s">
        <v>5</v>
      </c>
      <c r="G103" s="18" t="s">
        <v>6</v>
      </c>
      <c r="I103" s="47" t="s">
        <v>18</v>
      </c>
      <c r="J103" s="49"/>
      <c r="K103" s="5">
        <f>AVERAGE(D104:D113)</f>
        <v>0.6875</v>
      </c>
      <c r="L103" s="5">
        <f>STDEV(D104:D113)/SQRT(4)</f>
        <v>4.9593252975991972E-2</v>
      </c>
    </row>
    <row r="104" spans="1:12">
      <c r="A104" s="5">
        <v>1</v>
      </c>
      <c r="B104" s="21">
        <v>18</v>
      </c>
      <c r="C104" s="21">
        <v>24</v>
      </c>
      <c r="D104" s="21">
        <f>B104/C104</f>
        <v>0.75</v>
      </c>
      <c r="E104" s="18">
        <v>3</v>
      </c>
      <c r="F104" s="18">
        <v>24</v>
      </c>
      <c r="G104" s="18">
        <f>E104/F104</f>
        <v>0.125</v>
      </c>
      <c r="I104" s="45" t="s">
        <v>18</v>
      </c>
      <c r="J104" s="46"/>
      <c r="K104" s="5">
        <f>AVERAGE(G104:G113)</f>
        <v>9.375E-2</v>
      </c>
      <c r="L104" s="5">
        <f>STDEV(G104:G113)/SQRT(4)</f>
        <v>1.9946398078257051E-2</v>
      </c>
    </row>
    <row r="105" spans="1:12">
      <c r="A105" s="5">
        <v>2</v>
      </c>
      <c r="B105" s="21">
        <v>13</v>
      </c>
      <c r="C105" s="21">
        <v>24</v>
      </c>
      <c r="D105" s="21">
        <f t="shared" ref="D105:D107" si="12">B105/C105</f>
        <v>0.54166666666666663</v>
      </c>
      <c r="E105" s="18">
        <v>2</v>
      </c>
      <c r="F105" s="18">
        <v>24</v>
      </c>
      <c r="G105" s="18">
        <f t="shared" ref="G105:G107" si="13">E105/F105</f>
        <v>8.3333333333333329E-2</v>
      </c>
    </row>
    <row r="106" spans="1:12">
      <c r="A106" s="5">
        <v>3</v>
      </c>
      <c r="B106" s="21">
        <v>18</v>
      </c>
      <c r="C106" s="21">
        <v>24</v>
      </c>
      <c r="D106" s="21">
        <f t="shared" si="12"/>
        <v>0.75</v>
      </c>
      <c r="E106" s="18">
        <v>3</v>
      </c>
      <c r="F106" s="18">
        <v>24</v>
      </c>
      <c r="G106" s="18">
        <f t="shared" si="13"/>
        <v>0.125</v>
      </c>
    </row>
    <row r="107" spans="1:12">
      <c r="A107" s="5">
        <v>4</v>
      </c>
      <c r="B107" s="21">
        <v>17</v>
      </c>
      <c r="C107" s="21">
        <v>24</v>
      </c>
      <c r="D107" s="21">
        <f t="shared" si="12"/>
        <v>0.70833333333333337</v>
      </c>
      <c r="E107" s="18">
        <v>1</v>
      </c>
      <c r="F107" s="18">
        <v>24</v>
      </c>
      <c r="G107" s="18">
        <f t="shared" si="13"/>
        <v>4.1666666666666664E-2</v>
      </c>
    </row>
    <row r="108" spans="1:12">
      <c r="A108" s="5">
        <v>5</v>
      </c>
      <c r="B108" s="21"/>
      <c r="C108" s="21"/>
      <c r="D108" s="21"/>
      <c r="E108" s="18"/>
      <c r="F108" s="18"/>
      <c r="G108" s="18"/>
    </row>
    <row r="109" spans="1:12">
      <c r="A109" s="5">
        <v>6</v>
      </c>
      <c r="B109" s="21"/>
      <c r="C109" s="21"/>
      <c r="D109" s="21"/>
      <c r="E109" s="18"/>
      <c r="F109" s="18"/>
      <c r="G109" s="18"/>
    </row>
    <row r="110" spans="1:12">
      <c r="A110" s="5">
        <v>7</v>
      </c>
      <c r="B110" s="21"/>
      <c r="C110" s="21"/>
      <c r="D110" s="21"/>
      <c r="E110" s="18"/>
      <c r="F110" s="18"/>
      <c r="G110" s="18"/>
    </row>
    <row r="111" spans="1:12">
      <c r="A111" s="5">
        <v>8</v>
      </c>
      <c r="B111" s="21"/>
      <c r="C111" s="21"/>
      <c r="D111" s="21"/>
      <c r="E111" s="18"/>
      <c r="F111" s="18"/>
      <c r="G111" s="18"/>
    </row>
    <row r="112" spans="1:12">
      <c r="A112" s="5">
        <v>9</v>
      </c>
      <c r="B112" s="21"/>
      <c r="C112" s="21"/>
      <c r="D112" s="21"/>
      <c r="E112" s="18"/>
      <c r="F112" s="18"/>
      <c r="G112" s="18"/>
    </row>
    <row r="113" spans="1:7">
      <c r="A113" s="5">
        <v>10</v>
      </c>
      <c r="B113" s="21"/>
      <c r="C113" s="21"/>
      <c r="D113" s="21"/>
      <c r="E113" s="18"/>
      <c r="F113" s="18"/>
      <c r="G113" s="18"/>
    </row>
  </sheetData>
  <mergeCells count="32">
    <mergeCell ref="I103:J103"/>
    <mergeCell ref="I104:J104"/>
    <mergeCell ref="B88:D88"/>
    <mergeCell ref="E88:G88"/>
    <mergeCell ref="I89:J89"/>
    <mergeCell ref="I90:J90"/>
    <mergeCell ref="B102:D102"/>
    <mergeCell ref="E102:G102"/>
    <mergeCell ref="I76:J76"/>
    <mergeCell ref="B46:D46"/>
    <mergeCell ref="E46:G46"/>
    <mergeCell ref="I47:J47"/>
    <mergeCell ref="I48:J48"/>
    <mergeCell ref="B60:D60"/>
    <mergeCell ref="E60:G60"/>
    <mergeCell ref="I61:J61"/>
    <mergeCell ref="I62:J62"/>
    <mergeCell ref="B74:D74"/>
    <mergeCell ref="E74:G74"/>
    <mergeCell ref="I75:J75"/>
    <mergeCell ref="I34:J34"/>
    <mergeCell ref="B4:D4"/>
    <mergeCell ref="E4:G4"/>
    <mergeCell ref="I5:J5"/>
    <mergeCell ref="I6:J6"/>
    <mergeCell ref="B18:D18"/>
    <mergeCell ref="E18:G18"/>
    <mergeCell ref="I19:J19"/>
    <mergeCell ref="I20:J20"/>
    <mergeCell ref="B32:D32"/>
    <mergeCell ref="E32:G32"/>
    <mergeCell ref="I33:J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DC7B-FA35-41A1-8C0C-C63A72CDF5AA}">
  <dimension ref="A1"/>
  <sheetViews>
    <sheetView workbookViewId="0">
      <selection activeCell="G17" sqref="G17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atGRN,stGRN</vt:lpstr>
      <vt:lpstr>Sheet1</vt:lpstr>
    </vt:vector>
  </TitlesOfParts>
  <Company>YONSEI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데실바(구강생물학교실)</dc:creator>
  <cp:lastModifiedBy>DE SILVA, W.P.D.M.</cp:lastModifiedBy>
  <dcterms:created xsi:type="dcterms:W3CDTF">2022-02-16T08:52:50Z</dcterms:created>
  <dcterms:modified xsi:type="dcterms:W3CDTF">2025-05-18T17:31:42Z</dcterms:modified>
</cp:coreProperties>
</file>