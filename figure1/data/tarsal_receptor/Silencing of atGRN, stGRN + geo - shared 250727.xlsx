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 Drive\Yonsei - GMAIL\1. Geo_2025 - FLY RESEARCH\3. THIS WEEK REPORTs\x_THIS WEEK REPORT - 25.07.27\"/>
    </mc:Choice>
  </mc:AlternateContent>
  <bookViews>
    <workbookView xWindow="-105" yWindow="795" windowWidth="23250" windowHeight="12450"/>
  </bookViews>
  <sheets>
    <sheet name="atGRN,stGR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5" l="1"/>
  <c r="R78" i="5"/>
  <c r="R77" i="5"/>
  <c r="R76" i="5"/>
  <c r="R75" i="5"/>
  <c r="R64" i="5"/>
  <c r="R63" i="5"/>
  <c r="R62" i="5"/>
  <c r="R61" i="5"/>
  <c r="R47" i="5"/>
  <c r="R36" i="5"/>
  <c r="R35" i="5"/>
  <c r="R34" i="5"/>
  <c r="R33" i="5"/>
  <c r="M52" i="5" l="1"/>
  <c r="M53" i="5"/>
  <c r="J52" i="5"/>
  <c r="J53" i="5"/>
  <c r="G52" i="5"/>
  <c r="G53" i="5"/>
  <c r="D52" i="5"/>
  <c r="D53" i="5"/>
  <c r="M39" i="5"/>
  <c r="J39" i="5"/>
  <c r="G39" i="5"/>
  <c r="M38" i="5"/>
  <c r="J38" i="5"/>
  <c r="G38" i="5"/>
  <c r="D39" i="5"/>
  <c r="D38" i="5"/>
  <c r="M66" i="5" l="1"/>
  <c r="M67" i="5"/>
  <c r="J66" i="5"/>
  <c r="J67" i="5"/>
  <c r="G66" i="5"/>
  <c r="G67" i="5"/>
  <c r="D66" i="5"/>
  <c r="D67" i="5"/>
  <c r="M80" i="5"/>
  <c r="M81" i="5"/>
  <c r="J80" i="5"/>
  <c r="J81" i="5"/>
  <c r="G80" i="5"/>
  <c r="G81" i="5"/>
  <c r="D80" i="5"/>
  <c r="D81" i="5"/>
  <c r="M79" i="5"/>
  <c r="J79" i="5"/>
  <c r="G79" i="5"/>
  <c r="D79" i="5"/>
  <c r="M78" i="5"/>
  <c r="J78" i="5"/>
  <c r="G78" i="5"/>
  <c r="D78" i="5"/>
  <c r="M77" i="5"/>
  <c r="J77" i="5"/>
  <c r="G77" i="5"/>
  <c r="D77" i="5"/>
  <c r="M76" i="5"/>
  <c r="J76" i="5"/>
  <c r="G76" i="5"/>
  <c r="D76" i="5"/>
  <c r="M65" i="5"/>
  <c r="J65" i="5"/>
  <c r="G65" i="5"/>
  <c r="D65" i="5"/>
  <c r="M64" i="5"/>
  <c r="J64" i="5"/>
  <c r="G64" i="5"/>
  <c r="D64" i="5"/>
  <c r="M63" i="5"/>
  <c r="J63" i="5"/>
  <c r="G63" i="5"/>
  <c r="D63" i="5"/>
  <c r="M62" i="5"/>
  <c r="J62" i="5"/>
  <c r="G62" i="5"/>
  <c r="D62" i="5"/>
  <c r="Q77" i="5" l="1"/>
  <c r="W15" i="5" s="1"/>
  <c r="AA14" i="5"/>
  <c r="AA15" i="5"/>
  <c r="Q62" i="5"/>
  <c r="V14" i="5" s="1"/>
  <c r="AB15" i="5"/>
  <c r="Q75" i="5"/>
  <c r="U15" i="5" s="1"/>
  <c r="AB14" i="5"/>
  <c r="AC15" i="5"/>
  <c r="AC14" i="5"/>
  <c r="Z15" i="5"/>
  <c r="Z14" i="5"/>
  <c r="Q78" i="5"/>
  <c r="X15" i="5" s="1"/>
  <c r="Q76" i="5"/>
  <c r="V15" i="5" s="1"/>
  <c r="Q61" i="5"/>
  <c r="U14" i="5" s="1"/>
  <c r="Q64" i="5"/>
  <c r="X14" i="5" s="1"/>
  <c r="Q63" i="5"/>
  <c r="W14" i="5" s="1"/>
  <c r="M51" i="5" l="1"/>
  <c r="M50" i="5"/>
  <c r="M49" i="5"/>
  <c r="M48" i="5"/>
  <c r="R50" i="5" s="1"/>
  <c r="M37" i="5"/>
  <c r="M36" i="5"/>
  <c r="M35" i="5"/>
  <c r="M34" i="5"/>
  <c r="M23" i="5"/>
  <c r="M22" i="5"/>
  <c r="M21" i="5"/>
  <c r="M20" i="5"/>
  <c r="M9" i="5"/>
  <c r="M8" i="5"/>
  <c r="M7" i="5"/>
  <c r="M6" i="5"/>
  <c r="J51" i="5"/>
  <c r="J50" i="5"/>
  <c r="J49" i="5"/>
  <c r="J48" i="5"/>
  <c r="R49" i="5" s="1"/>
  <c r="J37" i="5"/>
  <c r="J36" i="5"/>
  <c r="J35" i="5"/>
  <c r="J34" i="5"/>
  <c r="J23" i="5"/>
  <c r="J22" i="5"/>
  <c r="J21" i="5"/>
  <c r="J20" i="5"/>
  <c r="J9" i="5"/>
  <c r="J8" i="5"/>
  <c r="J7" i="5"/>
  <c r="J6" i="5"/>
  <c r="G51" i="5"/>
  <c r="D51" i="5"/>
  <c r="G50" i="5"/>
  <c r="D50" i="5"/>
  <c r="G49" i="5"/>
  <c r="R48" i="5" s="1"/>
  <c r="D49" i="5"/>
  <c r="G48" i="5"/>
  <c r="G37" i="5"/>
  <c r="D37" i="5"/>
  <c r="G36" i="5"/>
  <c r="D36" i="5"/>
  <c r="G35" i="5"/>
  <c r="D35" i="5"/>
  <c r="G34" i="5"/>
  <c r="D34" i="5"/>
  <c r="G23" i="5"/>
  <c r="D23" i="5"/>
  <c r="G22" i="5"/>
  <c r="D22" i="5"/>
  <c r="G21" i="5"/>
  <c r="D21" i="5"/>
  <c r="G20" i="5"/>
  <c r="R20" i="5" s="1"/>
  <c r="AA11" i="5" s="1"/>
  <c r="D20" i="5"/>
  <c r="G9" i="5"/>
  <c r="D9" i="5"/>
  <c r="G8" i="5"/>
  <c r="D8" i="5"/>
  <c r="G7" i="5"/>
  <c r="D7" i="5"/>
  <c r="G6" i="5"/>
  <c r="D6" i="5"/>
  <c r="R5" i="5" s="1"/>
  <c r="Z10" i="5" s="1"/>
  <c r="Q6" i="5" l="1"/>
  <c r="V10" i="5" s="1"/>
  <c r="Q34" i="5"/>
  <c r="V12" i="5" s="1"/>
  <c r="R19" i="5"/>
  <c r="Z11" i="5" s="1"/>
  <c r="R8" i="5"/>
  <c r="AC10" i="5" s="1"/>
  <c r="AC12" i="5"/>
  <c r="R7" i="5"/>
  <c r="AB10" i="5" s="1"/>
  <c r="AB13" i="5"/>
  <c r="AA13" i="5"/>
  <c r="R6" i="5"/>
  <c r="AA10" i="5" s="1"/>
  <c r="Q7" i="5"/>
  <c r="W10" i="5" s="1"/>
  <c r="Q8" i="5"/>
  <c r="X10" i="5" s="1"/>
  <c r="Q47" i="5"/>
  <c r="U13" i="5" s="1"/>
  <c r="Q21" i="5"/>
  <c r="W11" i="5" s="1"/>
  <c r="Q35" i="5"/>
  <c r="W12" i="5" s="1"/>
  <c r="Q49" i="5"/>
  <c r="W13" i="5" s="1"/>
  <c r="Q22" i="5"/>
  <c r="X11" i="5" s="1"/>
  <c r="Q50" i="5"/>
  <c r="X13" i="5" s="1"/>
  <c r="Q5" i="5"/>
  <c r="AC13" i="5"/>
  <c r="Z13" i="5"/>
  <c r="Q36" i="5"/>
  <c r="X12" i="5" s="1"/>
  <c r="AB12" i="5"/>
  <c r="AA12" i="5"/>
  <c r="Z12" i="5"/>
  <c r="R22" i="5"/>
  <c r="AC11" i="5" s="1"/>
  <c r="R21" i="5"/>
  <c r="AB11" i="5" s="1"/>
  <c r="Q19" i="5"/>
  <c r="U11" i="5" s="1"/>
  <c r="Q33" i="5"/>
  <c r="U12" i="5" s="1"/>
  <c r="Q20" i="5"/>
  <c r="V11" i="5" s="1"/>
  <c r="Q48" i="5"/>
  <c r="V13" i="5" s="1"/>
  <c r="U10" i="5"/>
</calcChain>
</file>

<file path=xl/sharedStrings.xml><?xml version="1.0" encoding="utf-8"?>
<sst xmlns="http://schemas.openxmlformats.org/spreadsheetml/2006/main" count="154" uniqueCount="23">
  <si>
    <t>10mM Suc.</t>
    <phoneticPr fontId="1" type="noConversion"/>
  </si>
  <si>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</si>
  <si>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</si>
  <si>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</si>
  <si>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</si>
  <si>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</si>
  <si>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</si>
  <si>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50mM Suc.</t>
    <phoneticPr fontId="1" type="noConversion"/>
  </si>
  <si>
    <t>100mM Suc.</t>
    <phoneticPr fontId="1" type="noConversion"/>
  </si>
  <si>
    <t>500mM Suc.</t>
    <phoneticPr fontId="1" type="noConversion"/>
  </si>
  <si>
    <t>PER (average)</t>
  </si>
  <si>
    <t>Plate #</t>
  </si>
  <si>
    <t>Response Rate</t>
    <phoneticPr fontId="1" type="noConversion"/>
  </si>
  <si>
    <t>SEM</t>
    <phoneticPr fontId="1" type="noConversion"/>
  </si>
  <si>
    <t xml:space="preserve">  </t>
    <phoneticPr fontId="1" type="noConversion"/>
  </si>
  <si>
    <t>UAS-Kir2.1/+</t>
  </si>
  <si>
    <t>Fed - Tarsal PER</t>
  </si>
  <si>
    <r>
      <t xml:space="preserve">UAS-Kir2.1/+ </t>
    </r>
    <r>
      <rPr>
        <sz val="9"/>
        <color rgb="FF000000"/>
        <rFont val="Arial"/>
        <family val="2"/>
      </rPr>
      <t>with geo.</t>
    </r>
  </si>
  <si>
    <t>atGRN&gt;Kir2.1 with geo.</t>
  </si>
  <si>
    <t>atGRN&gt;Kir2.1</t>
  </si>
  <si>
    <t>Gr5a&gt;Kir2.1</t>
  </si>
  <si>
    <t>UAS-Kir2.1/+ with geo.</t>
  </si>
  <si>
    <t>Gr5a&gt;Kir2.1 with geo.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</si>
</sst>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9"/>
      <color rgb="FF000000"/>
      <name val="Arial"/>
      <family val="2"/>
    </font>
    <font>
      <i/>
      <sz val="8"/>
      <color theme="1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5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5" fillId="4" borderId="0" xfId="0" applyFont="1" applyFill="1">
      <alignment vertical="center"/>
    </xf>
    <xf numFmtId="0" fontId="3" fillId="4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5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3" fillId="5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5" fillId="6" borderId="0" xfId="0" applyFont="1" applyFill="1">
      <alignment vertical="center"/>
    </xf>
    <xf numFmtId="0" fontId="3" fillId="6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5" fillId="7" borderId="0" xfId="0" applyFont="1" applyFill="1">
      <alignment vertical="center"/>
    </xf>
    <xf numFmtId="0" fontId="3" fillId="7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3045563906598"/>
          <c:y val="0.10773407063975016"/>
          <c:w val="0.69133805910485258"/>
          <c:h val="0.40397509578544061"/>
        </c:manualLayout>
      </c:layout>
      <c:lineChart>
        <c:grouping val="standard"/>
        <c:varyColors val="0"/>
        <c:ser>
          <c:idx val="0"/>
          <c:order val="0"/>
          <c:tx>
            <c:strRef>
              <c:f>'atGRN,stGRN'!$T$10</c:f>
              <c:strCache>
                <c:ptCount val="1"/>
                <c:pt idx="0">
                  <c:v>UAS-Kir2.1/+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accent1">
                    <a:lumMod val="40000"/>
                    <a:lumOff val="60000"/>
                  </a:schemeClr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'atGRN,stGRN'!$Z$10:$AC$10</c:f>
                <c:numCache>
                  <c:formatCode>General</c:formatCode>
                  <c:ptCount val="4"/>
                  <c:pt idx="0">
                    <c:v>4.3368041655544406E-2</c:v>
                  </c:pt>
                  <c:pt idx="1">
                    <c:v>5.7370526534230158E-2</c:v>
                  </c:pt>
                  <c:pt idx="2">
                    <c:v>5.4790742493262344E-2</c:v>
                  </c:pt>
                  <c:pt idx="3">
                    <c:v>5.2429405800491352E-2</c:v>
                  </c:pt>
                </c:numCache>
              </c:numRef>
            </c:plus>
            <c:minus>
              <c:numRef>
                <c:f>'atGRN,stGRN'!$Z$10:$AC$10</c:f>
                <c:numCache>
                  <c:formatCode>General</c:formatCode>
                  <c:ptCount val="4"/>
                  <c:pt idx="0">
                    <c:v>4.3368041655544406E-2</c:v>
                  </c:pt>
                  <c:pt idx="1">
                    <c:v>5.7370526534230158E-2</c:v>
                  </c:pt>
                  <c:pt idx="2">
                    <c:v>5.4790742493262344E-2</c:v>
                  </c:pt>
                  <c:pt idx="3">
                    <c:v>5.2429405800491352E-2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'atGRN,stGRN'!$U$9:$X$9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'atGRN,stGRN'!$U$10:$X$10</c:f>
              <c:numCache>
                <c:formatCode>General</c:formatCode>
                <c:ptCount val="4"/>
                <c:pt idx="0">
                  <c:v>0.22916666666666669</c:v>
                </c:pt>
                <c:pt idx="1">
                  <c:v>0.40625</c:v>
                </c:pt>
                <c:pt idx="2">
                  <c:v>0.57291666666666663</c:v>
                </c:pt>
                <c:pt idx="3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F-490B-AD98-607B5B8000E2}"/>
            </c:ext>
          </c:extLst>
        </c:ser>
        <c:ser>
          <c:idx val="2"/>
          <c:order val="1"/>
          <c:tx>
            <c:strRef>
              <c:f>'atGRN,stGRN'!$T$11</c:f>
              <c:strCache>
                <c:ptCount val="1"/>
                <c:pt idx="0">
                  <c:v>UAS-Kir2.1/+ with geo.</c:v>
                </c:pt>
              </c:strCache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accent1">
                    <a:lumMod val="20000"/>
                    <a:lumOff val="80000"/>
                  </a:schemeClr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'atGRN,stGRN'!$Z$11:$AC$11</c:f>
                <c:numCache>
                  <c:formatCode>General</c:formatCode>
                  <c:ptCount val="4"/>
                  <c:pt idx="0">
                    <c:v>2.6895717681995956E-2</c:v>
                  </c:pt>
                  <c:pt idx="1">
                    <c:v>1.9946398078257096E-2</c:v>
                  </c:pt>
                  <c:pt idx="2">
                    <c:v>4.5005143738943446E-2</c:v>
                  </c:pt>
                  <c:pt idx="3">
                    <c:v>4.2949016933517367E-2</c:v>
                  </c:pt>
                </c:numCache>
              </c:numRef>
            </c:plus>
            <c:minus>
              <c:numRef>
                <c:f>'atGRN,stGRN'!$Z$11:$AC$11</c:f>
                <c:numCache>
                  <c:formatCode>General</c:formatCode>
                  <c:ptCount val="4"/>
                  <c:pt idx="0">
                    <c:v>2.6895717681995956E-2</c:v>
                  </c:pt>
                  <c:pt idx="1">
                    <c:v>1.9946398078257096E-2</c:v>
                  </c:pt>
                  <c:pt idx="2">
                    <c:v>4.5005143738943446E-2</c:v>
                  </c:pt>
                  <c:pt idx="3">
                    <c:v>4.2949016933517367E-2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'atGRN,stGRN'!$U$9:$X$9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'atGRN,stGRN'!$U$11:$X$11</c:f>
              <c:numCache>
                <c:formatCode>General</c:formatCode>
                <c:ptCount val="4"/>
                <c:pt idx="0">
                  <c:v>0.10416666666666666</c:v>
                </c:pt>
                <c:pt idx="1">
                  <c:v>0.21875</c:v>
                </c:pt>
                <c:pt idx="2">
                  <c:v>0.29166666666666669</c:v>
                </c:pt>
                <c:pt idx="3">
                  <c:v>0.53125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F-490B-AD98-607B5B8000E2}"/>
            </c:ext>
          </c:extLst>
        </c:ser>
        <c:ser>
          <c:idx val="1"/>
          <c:order val="2"/>
          <c:tx>
            <c:strRef>
              <c:f>'atGRN,stGRN'!$T$12</c:f>
              <c:strCache>
                <c:ptCount val="1"/>
                <c:pt idx="0">
                  <c:v>Gr5a&gt;Kir2.1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'atGRN,stGRN'!$Z$12:$AC$12</c:f>
                <c:numCache>
                  <c:formatCode>General</c:formatCode>
                  <c:ptCount val="4"/>
                  <c:pt idx="0">
                    <c:v>2.7251967875484149E-2</c:v>
                  </c:pt>
                  <c:pt idx="1">
                    <c:v>2.8463752127665568E-2</c:v>
                  </c:pt>
                  <c:pt idx="2">
                    <c:v>4.4897860764568358E-2</c:v>
                  </c:pt>
                  <c:pt idx="3">
                    <c:v>4.1201102706087067E-2</c:v>
                  </c:pt>
                </c:numCache>
              </c:numRef>
            </c:plus>
            <c:minus>
              <c:numRef>
                <c:f>'atGRN,stGRN'!$Z$12:$AC$12</c:f>
                <c:numCache>
                  <c:formatCode>General</c:formatCode>
                  <c:ptCount val="4"/>
                  <c:pt idx="0">
                    <c:v>2.7251967875484149E-2</c:v>
                  </c:pt>
                  <c:pt idx="1">
                    <c:v>2.8463752127665568E-2</c:v>
                  </c:pt>
                  <c:pt idx="2">
                    <c:v>4.4897860764568358E-2</c:v>
                  </c:pt>
                  <c:pt idx="3">
                    <c:v>4.1201102706087067E-2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'atGRN,stGRN'!$U$9:$X$9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'atGRN,stGRN'!$U$12:$X$12</c:f>
              <c:numCache>
                <c:formatCode>General</c:formatCode>
                <c:ptCount val="4"/>
                <c:pt idx="0">
                  <c:v>0.13194444444444445</c:v>
                </c:pt>
                <c:pt idx="1">
                  <c:v>0.25</c:v>
                </c:pt>
                <c:pt idx="2">
                  <c:v>0.38194444444444448</c:v>
                </c:pt>
                <c:pt idx="3">
                  <c:v>0.55555555555555547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F-490B-AD98-607B5B8000E2}"/>
            </c:ext>
          </c:extLst>
        </c:ser>
        <c:ser>
          <c:idx val="3"/>
          <c:order val="3"/>
          <c:tx>
            <c:strRef>
              <c:f>'atGRN,stGRN'!$T$13</c:f>
              <c:strCache>
                <c:ptCount val="1"/>
                <c:pt idx="0">
                  <c:v>Gr5a&gt;Kir2.1 with geo.</c:v>
                </c:pt>
              </c:strCache>
            </c:strRef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accent2">
                    <a:lumMod val="40000"/>
                    <a:lumOff val="60000"/>
                  </a:schemeClr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'atGRN,stGRN'!$Z$13:$AC$13</c:f>
                <c:numCache>
                  <c:formatCode>General</c:formatCode>
                  <c:ptCount val="4"/>
                  <c:pt idx="0">
                    <c:v>3.1823442326082231E-2</c:v>
                  </c:pt>
                  <c:pt idx="1">
                    <c:v>2.5797466140287106E-2</c:v>
                  </c:pt>
                  <c:pt idx="2">
                    <c:v>3.7909289066544991E-2</c:v>
                  </c:pt>
                  <c:pt idx="3">
                    <c:v>4.7810873550162385E-2</c:v>
                  </c:pt>
                </c:numCache>
              </c:numRef>
            </c:plus>
            <c:minus>
              <c:numRef>
                <c:f>'atGRN,stGRN'!$Z$13:$AC$13</c:f>
                <c:numCache>
                  <c:formatCode>General</c:formatCode>
                  <c:ptCount val="4"/>
                  <c:pt idx="0">
                    <c:v>3.1823442326082231E-2</c:v>
                  </c:pt>
                  <c:pt idx="1">
                    <c:v>2.5797466140287106E-2</c:v>
                  </c:pt>
                  <c:pt idx="2">
                    <c:v>3.7909289066544991E-2</c:v>
                  </c:pt>
                  <c:pt idx="3">
                    <c:v>4.7810873550162385E-2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'atGRN,stGRN'!$U$9:$X$9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'atGRN,stGRN'!$U$13:$X$13</c:f>
              <c:numCache>
                <c:formatCode>General</c:formatCode>
                <c:ptCount val="4"/>
                <c:pt idx="0">
                  <c:v>6.25E-2</c:v>
                </c:pt>
                <c:pt idx="1">
                  <c:v>0.14583333333333334</c:v>
                </c:pt>
                <c:pt idx="2">
                  <c:v>0.20138888888888887</c:v>
                </c:pt>
                <c:pt idx="3">
                  <c:v>0.35416666666666674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8-4C60-82EC-C18FA9AA8732}"/>
            </c:ext>
          </c:extLst>
        </c:ser>
        <c:ser>
          <c:idx val="4"/>
          <c:order val="4"/>
          <c:tx>
            <c:strRef>
              <c:f>'atGRN,stGRN'!$T$14</c:f>
              <c:strCache>
                <c:ptCount val="1"/>
                <c:pt idx="0">
                  <c:v>atGRN&gt;Kir2.1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'atGRN,stGRN'!$Z$14:$AC$14</c:f>
                <c:numCache>
                  <c:formatCode>General</c:formatCode>
                  <c:ptCount val="4"/>
                  <c:pt idx="0">
                    <c:v>1.4231876063832766E-2</c:v>
                  </c:pt>
                  <c:pt idx="1">
                    <c:v>2.0600551353043534E-2</c:v>
                  </c:pt>
                  <c:pt idx="2">
                    <c:v>4.2241406460404328E-2</c:v>
                  </c:pt>
                  <c:pt idx="3">
                    <c:v>4.3589874517986744E-2</c:v>
                  </c:pt>
                </c:numCache>
              </c:numRef>
            </c:plus>
            <c:minus>
              <c:numRef>
                <c:f>'atGRN,stGRN'!$Z$14:$AC$14</c:f>
                <c:numCache>
                  <c:formatCode>General</c:formatCode>
                  <c:ptCount val="4"/>
                  <c:pt idx="0">
                    <c:v>1.4231876063832766E-2</c:v>
                  </c:pt>
                  <c:pt idx="1">
                    <c:v>2.0600551353043534E-2</c:v>
                  </c:pt>
                  <c:pt idx="2">
                    <c:v>4.2241406460404328E-2</c:v>
                  </c:pt>
                  <c:pt idx="3">
                    <c:v>4.3589874517986744E-2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'atGRN,stGRN'!$U$9:$X$9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'atGRN,stGRN'!$U$14:$X$14</c:f>
              <c:numCache>
                <c:formatCode>General</c:formatCode>
                <c:ptCount val="4"/>
                <c:pt idx="0">
                  <c:v>0.10416666666666667</c:v>
                </c:pt>
                <c:pt idx="1">
                  <c:v>0.15277777777777776</c:v>
                </c:pt>
                <c:pt idx="2">
                  <c:v>0.20138888888888887</c:v>
                </c:pt>
                <c:pt idx="3">
                  <c:v>0.25694444444444448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8-417B-9171-77B521ECCDC4}"/>
            </c:ext>
          </c:extLst>
        </c:ser>
        <c:ser>
          <c:idx val="5"/>
          <c:order val="5"/>
          <c:tx>
            <c:strRef>
              <c:f>'atGRN,stGRN'!$T$15</c:f>
              <c:strCache>
                <c:ptCount val="1"/>
                <c:pt idx="0">
                  <c:v>atGRN&gt;Kir2.1 with geo.</c:v>
                </c:pt>
              </c:strCache>
            </c:strRef>
          </c:tx>
          <c:spPr>
            <a:ln w="19050" cap="rnd">
              <a:solidFill>
                <a:schemeClr val="accent4">
                  <a:lumMod val="20000"/>
                  <a:lumOff val="8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accent4">
                    <a:lumMod val="20000"/>
                    <a:lumOff val="80000"/>
                  </a:schemeClr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'atGRN,stGRN'!$Z$15:$AC$15</c:f>
                <c:numCache>
                  <c:formatCode>General</c:formatCode>
                  <c:ptCount val="4"/>
                  <c:pt idx="0">
                    <c:v>1.2804922857351235E-2</c:v>
                  </c:pt>
                  <c:pt idx="1">
                    <c:v>1.2804922857351244E-2</c:v>
                  </c:pt>
                  <c:pt idx="2">
                    <c:v>1.8633899812498269E-2</c:v>
                  </c:pt>
                  <c:pt idx="3">
                    <c:v>3.2274861218395158E-2</c:v>
                  </c:pt>
                </c:numCache>
              </c:numRef>
            </c:plus>
            <c:minus>
              <c:numRef>
                <c:f>'atGRN,stGRN'!$Z$15:$AC$15</c:f>
                <c:numCache>
                  <c:formatCode>General</c:formatCode>
                  <c:ptCount val="4"/>
                  <c:pt idx="0">
                    <c:v>1.2804922857351235E-2</c:v>
                  </c:pt>
                  <c:pt idx="1">
                    <c:v>1.2804922857351244E-2</c:v>
                  </c:pt>
                  <c:pt idx="2">
                    <c:v>1.8633899812498269E-2</c:v>
                  </c:pt>
                  <c:pt idx="3">
                    <c:v>3.2274861218395158E-2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'atGRN,stGRN'!$U$9:$X$9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'atGRN,stGRN'!$U$15:$X$15</c:f>
              <c:numCache>
                <c:formatCode>General</c:formatCode>
                <c:ptCount val="4"/>
                <c:pt idx="0">
                  <c:v>7.6388888888888881E-2</c:v>
                </c:pt>
                <c:pt idx="1">
                  <c:v>9.0277777777777776E-2</c:v>
                </c:pt>
                <c:pt idx="2">
                  <c:v>0.125</c:v>
                </c:pt>
                <c:pt idx="3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8-417B-9171-77B521ECC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39772621412042641"/>
              <c:y val="0.58014705882352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9.5821640537614231E-2"/>
          <c:y val="0.64671614932474408"/>
          <c:w val="0.76367345198666592"/>
          <c:h val="0.33089173015924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1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382700</xdr:colOff>
      <xdr:row>18</xdr:row>
      <xdr:rowOff>83634</xdr:rowOff>
    </xdr:from>
    <xdr:to>
      <xdr:col>23</xdr:col>
      <xdr:colOff>167268</xdr:colOff>
      <xdr:row>50</xdr:row>
      <xdr:rowOff>92926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A595D4-1E1E-4643-912C-1337CA3E9645}"/>
            </a:ext>
          </a:extLst>
        </xdr:cNvPr>
        <xdr:cNvGrpSpPr/>
      </xdr:nvGrpSpPr>
      <xdr:grpSpPr>
        <a:xfrm>
          <a:off x="11859163" y="2615890"/>
          <a:ext cx="2816306" cy="4493012"/>
          <a:chOff x="8232321" y="2225299"/>
          <a:chExt cx="3002076" cy="3557738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8E27F7A-008D-CBD5-3444-3E4173B57F8B}"/>
              </a:ext>
            </a:extLst>
          </xdr:cNvPr>
          <xdr:cNvGraphicFramePr>
            <a:graphicFrameLocks/>
          </xdr:cNvGraphicFramePr>
        </xdr:nvGraphicFramePr>
        <xdr:xfrm>
          <a:off x="8232321" y="2225299"/>
          <a:ext cx="3002076" cy="35577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963F622-6067-AD3E-FAF1-D704F948A866}"/>
              </a:ext>
            </a:extLst>
          </xdr:cNvPr>
          <xdr:cNvSpPr txBox="1"/>
        </xdr:nvSpPr>
        <xdr:spPr>
          <a:xfrm>
            <a:off x="9339593" y="2519154"/>
            <a:ext cx="1082519" cy="251823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condition</a:t>
            </a:r>
            <a:endParaRPr lang="ko-KR" altLang="ko-KR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5"/>
  <sheetViews>
    <sheetView tabSelected="1" zoomScale="82" zoomScaleNormal="82" workbookViewId="0">
      <selection activeCell="W71" sqref="W71"/>
    </sheetView>
  </sheetViews>
  <sheetFormatPr defaultColWidth="9" defaultRowHeight="11.25"/>
  <cols>
    <col min="1" max="19" width="9" style="2"/>
    <col min="20" max="20" width="18.28515625" style="2" customWidth="1"/>
    <col min="21" max="16384" width="9" style="2"/>
  </cols>
  <sheetData>
    <row r="1" spans="1:31">
      <c r="A1" s="1" t="s">
        <v>16</v>
      </c>
    </row>
    <row r="2" spans="1:31">
      <c r="T2" s="3"/>
      <c r="U2" s="3"/>
      <c r="V2" s="3"/>
    </row>
    <row r="3" spans="1:31" ht="12">
      <c r="A3" s="24"/>
      <c r="B3" s="25" t="s">
        <v>15</v>
      </c>
      <c r="C3" s="26"/>
      <c r="D3" s="26"/>
      <c r="E3" s="25"/>
      <c r="F3" s="26"/>
      <c r="G3" s="26"/>
      <c r="H3" s="25"/>
      <c r="I3" s="26"/>
      <c r="J3" s="26"/>
      <c r="K3" s="25"/>
      <c r="L3" s="26"/>
      <c r="M3" s="26"/>
      <c r="N3" s="4"/>
      <c r="O3" s="4"/>
      <c r="P3" s="4"/>
      <c r="Q3" s="4"/>
      <c r="R3" s="4"/>
      <c r="T3" s="3"/>
      <c r="U3" s="3"/>
      <c r="V3" s="3"/>
    </row>
    <row r="4" spans="1:31">
      <c r="A4" s="26"/>
      <c r="B4" s="45" t="s">
        <v>0</v>
      </c>
      <c r="C4" s="46"/>
      <c r="D4" s="47"/>
      <c r="E4" s="45" t="s">
        <v>7</v>
      </c>
      <c r="F4" s="46"/>
      <c r="G4" s="47"/>
      <c r="H4" s="45" t="s">
        <v>8</v>
      </c>
      <c r="I4" s="46"/>
      <c r="J4" s="47"/>
      <c r="K4" s="45" t="s">
        <v>9</v>
      </c>
      <c r="L4" s="46"/>
      <c r="M4" s="47"/>
      <c r="N4" s="4"/>
      <c r="O4" s="4"/>
      <c r="P4" s="4"/>
      <c r="Q4" s="5" t="s">
        <v>1</v>
      </c>
      <c r="R4" s="6" t="s">
        <v>2</v>
      </c>
      <c r="T4" s="3"/>
      <c r="U4" s="3"/>
      <c r="V4" s="3"/>
    </row>
    <row r="5" spans="1:31">
      <c r="A5" s="27" t="s">
        <v>3</v>
      </c>
      <c r="B5" s="28" t="s">
        <v>4</v>
      </c>
      <c r="C5" s="28" t="s">
        <v>5</v>
      </c>
      <c r="D5" s="28" t="s">
        <v>6</v>
      </c>
      <c r="E5" s="28" t="s">
        <v>4</v>
      </c>
      <c r="F5" s="28" t="s">
        <v>5</v>
      </c>
      <c r="G5" s="28" t="s">
        <v>6</v>
      </c>
      <c r="H5" s="28" t="s">
        <v>4</v>
      </c>
      <c r="I5" s="28" t="s">
        <v>5</v>
      </c>
      <c r="J5" s="28" t="s">
        <v>6</v>
      </c>
      <c r="K5" s="28" t="s">
        <v>4</v>
      </c>
      <c r="L5" s="28" t="s">
        <v>5</v>
      </c>
      <c r="M5" s="28" t="s">
        <v>6</v>
      </c>
      <c r="N5" s="4"/>
      <c r="O5" s="37" t="s">
        <v>0</v>
      </c>
      <c r="P5" s="38"/>
      <c r="Q5" s="5">
        <f>AVERAGE(D6:D15)</f>
        <v>0.22916666666666669</v>
      </c>
      <c r="R5" s="5">
        <f>STDEV(D6:D15)/SQRT(4)</f>
        <v>4.3368041655544406E-2</v>
      </c>
      <c r="T5" s="3"/>
      <c r="U5" s="3"/>
      <c r="V5" s="3"/>
    </row>
    <row r="6" spans="1:31">
      <c r="A6" s="28">
        <v>1</v>
      </c>
      <c r="B6" s="28">
        <v>5</v>
      </c>
      <c r="C6" s="28">
        <v>24</v>
      </c>
      <c r="D6" s="28">
        <f>B6/C6</f>
        <v>0.20833333333333334</v>
      </c>
      <c r="E6" s="28">
        <v>7</v>
      </c>
      <c r="F6" s="28">
        <v>24</v>
      </c>
      <c r="G6" s="28">
        <f>E6/F6</f>
        <v>0.29166666666666669</v>
      </c>
      <c r="H6" s="28">
        <v>14</v>
      </c>
      <c r="I6" s="28">
        <v>24</v>
      </c>
      <c r="J6" s="28">
        <f>H6/I6</f>
        <v>0.58333333333333337</v>
      </c>
      <c r="K6" s="28">
        <v>17</v>
      </c>
      <c r="L6" s="28">
        <v>24</v>
      </c>
      <c r="M6" s="28">
        <f>K6/L6</f>
        <v>0.70833333333333337</v>
      </c>
      <c r="N6" s="4"/>
      <c r="O6" s="37" t="s">
        <v>7</v>
      </c>
      <c r="P6" s="38"/>
      <c r="Q6" s="5">
        <f>AVERAGE(G6:G15)</f>
        <v>0.40625</v>
      </c>
      <c r="R6" s="5">
        <f>STDEV(G6:G15)/SQRT(4)</f>
        <v>5.7370526534230158E-2</v>
      </c>
    </row>
    <row r="7" spans="1:31">
      <c r="A7" s="28">
        <v>2</v>
      </c>
      <c r="B7" s="28">
        <v>3</v>
      </c>
      <c r="C7" s="28">
        <v>24</v>
      </c>
      <c r="D7" s="28">
        <f>B7/C7</f>
        <v>0.125</v>
      </c>
      <c r="E7" s="28">
        <v>8</v>
      </c>
      <c r="F7" s="28">
        <v>24</v>
      </c>
      <c r="G7" s="28">
        <f t="shared" ref="G7:G9" si="0">E7/F7</f>
        <v>0.33333333333333331</v>
      </c>
      <c r="H7" s="28">
        <v>10</v>
      </c>
      <c r="I7" s="28">
        <v>24</v>
      </c>
      <c r="J7" s="28">
        <f t="shared" ref="J7:J9" si="1">H7/I7</f>
        <v>0.41666666666666669</v>
      </c>
      <c r="K7" s="28">
        <v>13</v>
      </c>
      <c r="L7" s="28">
        <v>24</v>
      </c>
      <c r="M7" s="28">
        <f t="shared" ref="M7:M9" si="2">K7/L7</f>
        <v>0.54166666666666663</v>
      </c>
      <c r="N7" s="4"/>
      <c r="O7" s="37" t="s">
        <v>8</v>
      </c>
      <c r="P7" s="38"/>
      <c r="Q7" s="5">
        <f>AVERAGE(J6:J15)</f>
        <v>0.57291666666666663</v>
      </c>
      <c r="R7" s="5">
        <f>STDEV(J6:J15)/SQRT(4)</f>
        <v>5.4790742493262344E-2</v>
      </c>
    </row>
    <row r="8" spans="1:31">
      <c r="A8" s="28">
        <v>3</v>
      </c>
      <c r="B8" s="28">
        <v>6</v>
      </c>
      <c r="C8" s="28">
        <v>24</v>
      </c>
      <c r="D8" s="28">
        <f>B8/C8</f>
        <v>0.25</v>
      </c>
      <c r="E8" s="28">
        <v>11</v>
      </c>
      <c r="F8" s="28">
        <v>24</v>
      </c>
      <c r="G8" s="28">
        <f t="shared" si="0"/>
        <v>0.45833333333333331</v>
      </c>
      <c r="H8" s="28">
        <v>16</v>
      </c>
      <c r="I8" s="28">
        <v>24</v>
      </c>
      <c r="J8" s="28">
        <f t="shared" si="1"/>
        <v>0.66666666666666663</v>
      </c>
      <c r="K8" s="28">
        <v>19</v>
      </c>
      <c r="L8" s="28">
        <v>24</v>
      </c>
      <c r="M8" s="28">
        <f t="shared" si="2"/>
        <v>0.79166666666666663</v>
      </c>
      <c r="N8" s="4"/>
      <c r="O8" s="37" t="s">
        <v>9</v>
      </c>
      <c r="P8" s="38"/>
      <c r="Q8" s="5">
        <f>AVERAGE(M6:M15)</f>
        <v>0.6875</v>
      </c>
      <c r="R8" s="5">
        <f>STDEV(M6:M15)/SQRT(4)</f>
        <v>5.2429405800491352E-2</v>
      </c>
      <c r="U8" s="7" t="s">
        <v>1</v>
      </c>
      <c r="Z8" s="1" t="s">
        <v>13</v>
      </c>
    </row>
    <row r="9" spans="1:31">
      <c r="A9" s="28">
        <v>4</v>
      </c>
      <c r="B9" s="28">
        <v>8</v>
      </c>
      <c r="C9" s="28">
        <v>24</v>
      </c>
      <c r="D9" s="28">
        <f>B9/C9</f>
        <v>0.33333333333333331</v>
      </c>
      <c r="E9" s="28">
        <v>13</v>
      </c>
      <c r="F9" s="28">
        <v>24</v>
      </c>
      <c r="G9" s="28">
        <f t="shared" si="0"/>
        <v>0.54166666666666663</v>
      </c>
      <c r="H9" s="28">
        <v>15</v>
      </c>
      <c r="I9" s="28">
        <v>24</v>
      </c>
      <c r="J9" s="28">
        <f t="shared" si="1"/>
        <v>0.625</v>
      </c>
      <c r="K9" s="28">
        <v>17</v>
      </c>
      <c r="L9" s="28">
        <v>24</v>
      </c>
      <c r="M9" s="28">
        <f t="shared" si="2"/>
        <v>0.70833333333333337</v>
      </c>
      <c r="N9" s="4"/>
      <c r="O9" s="4"/>
      <c r="P9" s="4"/>
      <c r="Q9" s="4"/>
      <c r="R9" s="4"/>
      <c r="T9" s="10"/>
      <c r="U9" s="10">
        <v>10</v>
      </c>
      <c r="V9" s="10">
        <v>50</v>
      </c>
      <c r="W9" s="10">
        <v>100</v>
      </c>
      <c r="X9" s="10">
        <v>500</v>
      </c>
      <c r="Y9" s="1"/>
      <c r="Z9" s="1">
        <v>10</v>
      </c>
      <c r="AA9" s="1">
        <v>50</v>
      </c>
      <c r="AB9" s="1">
        <v>100</v>
      </c>
      <c r="AC9" s="1">
        <v>500</v>
      </c>
    </row>
    <row r="10" spans="1:31">
      <c r="A10" s="28">
        <v>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4"/>
      <c r="O10" s="4"/>
      <c r="P10" s="4"/>
      <c r="Q10" s="4"/>
      <c r="R10" s="4"/>
      <c r="T10" s="11" t="s">
        <v>15</v>
      </c>
      <c r="U10" s="11">
        <f>Q5</f>
        <v>0.22916666666666669</v>
      </c>
      <c r="V10" s="11">
        <f>Q6</f>
        <v>0.40625</v>
      </c>
      <c r="W10" s="11">
        <f>Q7</f>
        <v>0.57291666666666663</v>
      </c>
      <c r="X10" s="11">
        <f>Q8</f>
        <v>0.6875</v>
      </c>
      <c r="Z10" s="2">
        <f>R5</f>
        <v>4.3368041655544406E-2</v>
      </c>
      <c r="AA10" s="2">
        <f>R6</f>
        <v>5.7370526534230158E-2</v>
      </c>
      <c r="AB10" s="2">
        <f>R7</f>
        <v>5.4790742493262344E-2</v>
      </c>
      <c r="AC10" s="2">
        <f>R8</f>
        <v>5.2429405800491352E-2</v>
      </c>
      <c r="AE10" s="8"/>
    </row>
    <row r="11" spans="1:31">
      <c r="A11" s="28">
        <v>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4"/>
      <c r="O11" s="4"/>
      <c r="P11" s="4"/>
      <c r="Q11" s="4"/>
      <c r="R11" s="4"/>
      <c r="T11" s="11" t="s">
        <v>21</v>
      </c>
      <c r="U11" s="11">
        <f>Q19</f>
        <v>0.10416666666666666</v>
      </c>
      <c r="V11" s="11">
        <f>Q20</f>
        <v>0.21875</v>
      </c>
      <c r="W11" s="11">
        <f>Q21</f>
        <v>0.29166666666666669</v>
      </c>
      <c r="X11" s="11">
        <f>Q22</f>
        <v>0.53125</v>
      </c>
      <c r="Z11" s="2">
        <f>R19</f>
        <v>2.6895717681995956E-2</v>
      </c>
      <c r="AA11" s="2">
        <f>R20</f>
        <v>1.9946398078257096E-2</v>
      </c>
      <c r="AB11" s="2">
        <f>R21</f>
        <v>4.5005143738943446E-2</v>
      </c>
      <c r="AC11" s="2">
        <f>R22</f>
        <v>4.2949016933517367E-2</v>
      </c>
      <c r="AE11" s="8"/>
    </row>
    <row r="12" spans="1:31">
      <c r="A12" s="28">
        <v>7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4"/>
      <c r="O12" s="4"/>
      <c r="P12" s="4"/>
      <c r="Q12" s="4"/>
      <c r="R12" s="4"/>
      <c r="T12" s="11" t="s">
        <v>20</v>
      </c>
      <c r="U12" s="11">
        <f>Q33</f>
        <v>0.13194444444444445</v>
      </c>
      <c r="V12" s="11">
        <f>Q34</f>
        <v>0.25</v>
      </c>
      <c r="W12" s="11">
        <f>Q35</f>
        <v>0.38194444444444448</v>
      </c>
      <c r="X12" s="11">
        <f>Q36</f>
        <v>0.55555555555555547</v>
      </c>
      <c r="Z12" s="2">
        <f>R33</f>
        <v>2.7251967875484149E-2</v>
      </c>
      <c r="AA12" s="2">
        <f>R34</f>
        <v>2.8463752127665568E-2</v>
      </c>
      <c r="AB12" s="2">
        <f>R35</f>
        <v>4.4897860764568358E-2</v>
      </c>
      <c r="AC12" s="2">
        <f>R36</f>
        <v>4.1201102706087067E-2</v>
      </c>
    </row>
    <row r="13" spans="1:31">
      <c r="A13" s="28">
        <v>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4"/>
      <c r="O13" s="4"/>
      <c r="P13" s="4"/>
      <c r="Q13" s="4"/>
      <c r="R13" s="4"/>
      <c r="T13" s="11" t="s">
        <v>22</v>
      </c>
      <c r="U13" s="11">
        <f>Q47</f>
        <v>6.25E-2</v>
      </c>
      <c r="V13" s="11">
        <f>Q48</f>
        <v>0.14583333333333334</v>
      </c>
      <c r="W13" s="11">
        <f>Q49</f>
        <v>0.20138888888888887</v>
      </c>
      <c r="X13" s="11">
        <f>Q50</f>
        <v>0.35416666666666674</v>
      </c>
      <c r="Z13" s="2">
        <f>R47</f>
        <v>3.1823442326082231E-2</v>
      </c>
      <c r="AA13" s="2">
        <f>R48</f>
        <v>2.5797466140287106E-2</v>
      </c>
      <c r="AB13" s="2">
        <f>R49</f>
        <v>3.7909289066544991E-2</v>
      </c>
      <c r="AC13" s="2">
        <f>R50</f>
        <v>4.7810873550162385E-2</v>
      </c>
    </row>
    <row r="14" spans="1:31">
      <c r="A14" s="28">
        <v>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4"/>
      <c r="O14" s="4"/>
      <c r="P14" s="4"/>
      <c r="Q14" s="4"/>
      <c r="R14" s="4"/>
      <c r="T14" s="11" t="s">
        <v>19</v>
      </c>
      <c r="U14" s="11">
        <f>Q61</f>
        <v>0.10416666666666667</v>
      </c>
      <c r="V14" s="11">
        <f>Q62</f>
        <v>0.15277777777777776</v>
      </c>
      <c r="W14" s="11">
        <f>Q63</f>
        <v>0.20138888888888887</v>
      </c>
      <c r="X14" s="11">
        <f>Q64</f>
        <v>0.25694444444444448</v>
      </c>
      <c r="Z14" s="2">
        <f>R61</f>
        <v>1.4231876063832766E-2</v>
      </c>
      <c r="AA14" s="2">
        <f>R62</f>
        <v>2.0600551353043534E-2</v>
      </c>
      <c r="AB14" s="2">
        <f>R63</f>
        <v>4.2241406460404328E-2</v>
      </c>
      <c r="AC14" s="2">
        <f>R64</f>
        <v>4.3589874517986744E-2</v>
      </c>
    </row>
    <row r="15" spans="1:31">
      <c r="A15" s="28">
        <v>10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4"/>
      <c r="O15" s="4"/>
      <c r="P15" s="4"/>
      <c r="Q15" s="4"/>
      <c r="R15" s="4"/>
      <c r="T15" s="11" t="s">
        <v>18</v>
      </c>
      <c r="U15" s="11">
        <f>Q75</f>
        <v>7.6388888888888881E-2</v>
      </c>
      <c r="V15" s="11">
        <f>Q76</f>
        <v>9.0277777777777776E-2</v>
      </c>
      <c r="W15" s="11">
        <f>Q77</f>
        <v>0.125</v>
      </c>
      <c r="X15" s="11">
        <f>Q78</f>
        <v>0.16666666666666666</v>
      </c>
      <c r="Z15" s="2">
        <f>R75</f>
        <v>1.2804922857351235E-2</v>
      </c>
      <c r="AA15" s="2">
        <f>R76</f>
        <v>1.2804922857351244E-2</v>
      </c>
      <c r="AB15" s="2">
        <f>R77</f>
        <v>1.8633899812498269E-2</v>
      </c>
      <c r="AC15" s="2">
        <f>R78</f>
        <v>3.2274861218395158E-2</v>
      </c>
    </row>
    <row r="16" spans="1:3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">
      <c r="A17" s="9"/>
      <c r="B17" s="20" t="s">
        <v>17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4"/>
      <c r="O17" s="4"/>
      <c r="P17" s="4"/>
      <c r="Q17" s="4"/>
      <c r="R17" s="4"/>
    </row>
    <row r="18" spans="1:18">
      <c r="A18" s="21"/>
      <c r="B18" s="48" t="s">
        <v>0</v>
      </c>
      <c r="C18" s="49"/>
      <c r="D18" s="50"/>
      <c r="E18" s="48" t="s">
        <v>7</v>
      </c>
      <c r="F18" s="49"/>
      <c r="G18" s="50"/>
      <c r="H18" s="48" t="s">
        <v>8</v>
      </c>
      <c r="I18" s="49"/>
      <c r="J18" s="50"/>
      <c r="K18" s="48" t="s">
        <v>9</v>
      </c>
      <c r="L18" s="49"/>
      <c r="M18" s="50"/>
      <c r="N18" s="4"/>
      <c r="O18" s="4"/>
      <c r="P18" s="4"/>
      <c r="Q18" s="5" t="s">
        <v>10</v>
      </c>
      <c r="R18" s="6" t="s">
        <v>2</v>
      </c>
    </row>
    <row r="19" spans="1:18">
      <c r="A19" s="22" t="s">
        <v>11</v>
      </c>
      <c r="B19" s="23" t="s">
        <v>4</v>
      </c>
      <c r="C19" s="23" t="s">
        <v>5</v>
      </c>
      <c r="D19" s="23" t="s">
        <v>6</v>
      </c>
      <c r="E19" s="23" t="s">
        <v>4</v>
      </c>
      <c r="F19" s="23" t="s">
        <v>5</v>
      </c>
      <c r="G19" s="23" t="s">
        <v>12</v>
      </c>
      <c r="H19" s="23" t="s">
        <v>4</v>
      </c>
      <c r="I19" s="23" t="s">
        <v>5</v>
      </c>
      <c r="J19" s="23" t="s">
        <v>12</v>
      </c>
      <c r="K19" s="23" t="s">
        <v>4</v>
      </c>
      <c r="L19" s="23" t="s">
        <v>5</v>
      </c>
      <c r="M19" s="23" t="s">
        <v>12</v>
      </c>
      <c r="N19" s="4"/>
      <c r="O19" s="37" t="s">
        <v>0</v>
      </c>
      <c r="P19" s="38"/>
      <c r="Q19" s="5">
        <f>AVERAGE(D20:D29)</f>
        <v>0.10416666666666666</v>
      </c>
      <c r="R19" s="5">
        <f>STDEV(D20:D29)/SQRT(4)</f>
        <v>2.6895717681995956E-2</v>
      </c>
    </row>
    <row r="20" spans="1:18">
      <c r="A20" s="23">
        <v>1</v>
      </c>
      <c r="B20" s="23">
        <v>3</v>
      </c>
      <c r="C20" s="23">
        <v>24</v>
      </c>
      <c r="D20" s="23">
        <f>B20/C20</f>
        <v>0.125</v>
      </c>
      <c r="E20" s="23">
        <v>6</v>
      </c>
      <c r="F20" s="23">
        <v>24</v>
      </c>
      <c r="G20" s="23">
        <f>E20/F20</f>
        <v>0.25</v>
      </c>
      <c r="H20" s="23">
        <v>6</v>
      </c>
      <c r="I20" s="23">
        <v>24</v>
      </c>
      <c r="J20" s="23">
        <f>H20/I20</f>
        <v>0.25</v>
      </c>
      <c r="K20" s="23">
        <v>11</v>
      </c>
      <c r="L20" s="23">
        <v>24</v>
      </c>
      <c r="M20" s="23">
        <f>K20/L20</f>
        <v>0.45833333333333331</v>
      </c>
      <c r="N20" s="4"/>
      <c r="O20" s="37" t="s">
        <v>7</v>
      </c>
      <c r="P20" s="38"/>
      <c r="Q20" s="5">
        <f>AVERAGE(G20:G29)</f>
        <v>0.21875</v>
      </c>
      <c r="R20" s="5">
        <f>STDEV(G20:G29)/SQRT(4)</f>
        <v>1.9946398078257096E-2</v>
      </c>
    </row>
    <row r="21" spans="1:18">
      <c r="A21" s="23">
        <v>2</v>
      </c>
      <c r="B21" s="23">
        <v>1</v>
      </c>
      <c r="C21" s="23">
        <v>24</v>
      </c>
      <c r="D21" s="23">
        <f t="shared" ref="D21:D23" si="3">B21/C21</f>
        <v>4.1666666666666664E-2</v>
      </c>
      <c r="E21" s="23">
        <v>5</v>
      </c>
      <c r="F21" s="23">
        <v>24</v>
      </c>
      <c r="G21" s="23">
        <f t="shared" ref="G21:G23" si="4">E21/F21</f>
        <v>0.20833333333333334</v>
      </c>
      <c r="H21" s="23">
        <v>10</v>
      </c>
      <c r="I21" s="23">
        <v>24</v>
      </c>
      <c r="J21" s="23">
        <f t="shared" ref="J21:J23" si="5">H21/I21</f>
        <v>0.41666666666666669</v>
      </c>
      <c r="K21" s="23">
        <v>15</v>
      </c>
      <c r="L21" s="23">
        <v>24</v>
      </c>
      <c r="M21" s="23">
        <f t="shared" ref="M21:M23" si="6">K21/L21</f>
        <v>0.625</v>
      </c>
      <c r="N21" s="4"/>
      <c r="O21" s="37" t="s">
        <v>8</v>
      </c>
      <c r="P21" s="38"/>
      <c r="Q21" s="5">
        <f>AVERAGE(J20:J29)</f>
        <v>0.29166666666666669</v>
      </c>
      <c r="R21" s="5">
        <f>STDEV(J20:J29)/SQRT(4)</f>
        <v>4.5005143738943446E-2</v>
      </c>
    </row>
    <row r="22" spans="1:18">
      <c r="A22" s="23">
        <v>3</v>
      </c>
      <c r="B22" s="23">
        <v>4</v>
      </c>
      <c r="C22" s="23">
        <v>24</v>
      </c>
      <c r="D22" s="23">
        <f t="shared" si="3"/>
        <v>0.16666666666666666</v>
      </c>
      <c r="E22" s="23">
        <v>4</v>
      </c>
      <c r="F22" s="23">
        <v>24</v>
      </c>
      <c r="G22" s="23">
        <f t="shared" si="4"/>
        <v>0.16666666666666666</v>
      </c>
      <c r="H22" s="23">
        <v>5</v>
      </c>
      <c r="I22" s="23">
        <v>24</v>
      </c>
      <c r="J22" s="23">
        <f t="shared" si="5"/>
        <v>0.20833333333333334</v>
      </c>
      <c r="K22" s="23">
        <v>14</v>
      </c>
      <c r="L22" s="23">
        <v>24</v>
      </c>
      <c r="M22" s="23">
        <f t="shared" si="6"/>
        <v>0.58333333333333337</v>
      </c>
      <c r="N22" s="4"/>
      <c r="O22" s="37" t="s">
        <v>9</v>
      </c>
      <c r="P22" s="38"/>
      <c r="Q22" s="5">
        <f>AVERAGE(M20:M29)</f>
        <v>0.53125</v>
      </c>
      <c r="R22" s="5">
        <f>STDEV(M20:M29)/SQRT(4)</f>
        <v>4.2949016933517367E-2</v>
      </c>
    </row>
    <row r="23" spans="1:18">
      <c r="A23" s="23">
        <v>4</v>
      </c>
      <c r="B23" s="23">
        <v>2</v>
      </c>
      <c r="C23" s="23">
        <v>24</v>
      </c>
      <c r="D23" s="23">
        <f t="shared" si="3"/>
        <v>8.3333333333333329E-2</v>
      </c>
      <c r="E23" s="23">
        <v>6</v>
      </c>
      <c r="F23" s="23">
        <v>24</v>
      </c>
      <c r="G23" s="23">
        <f t="shared" si="4"/>
        <v>0.25</v>
      </c>
      <c r="H23" s="23">
        <v>7</v>
      </c>
      <c r="I23" s="23">
        <v>24</v>
      </c>
      <c r="J23" s="23">
        <f t="shared" si="5"/>
        <v>0.29166666666666669</v>
      </c>
      <c r="K23" s="23">
        <v>11</v>
      </c>
      <c r="L23" s="23">
        <v>24</v>
      </c>
      <c r="M23" s="23">
        <f t="shared" si="6"/>
        <v>0.45833333333333331</v>
      </c>
      <c r="N23" s="4"/>
      <c r="O23" s="4"/>
      <c r="P23" s="4"/>
      <c r="Q23" s="4"/>
      <c r="R23" s="4"/>
    </row>
    <row r="24" spans="1:18">
      <c r="A24" s="23">
        <v>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4"/>
      <c r="O24" s="4"/>
      <c r="P24" s="4"/>
      <c r="Q24" s="4"/>
      <c r="R24" s="4"/>
    </row>
    <row r="25" spans="1:18">
      <c r="A25" s="23">
        <v>6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4"/>
      <c r="O25" s="4"/>
      <c r="P25" s="4"/>
      <c r="Q25" s="4"/>
      <c r="R25" s="4"/>
    </row>
    <row r="26" spans="1:18">
      <c r="A26" s="23">
        <v>7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4"/>
      <c r="O26" s="4"/>
      <c r="P26" s="4"/>
      <c r="Q26" s="4"/>
      <c r="R26" s="4"/>
    </row>
    <row r="27" spans="1:18">
      <c r="A27" s="23">
        <v>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4"/>
      <c r="O27" s="4"/>
      <c r="P27" s="4"/>
      <c r="Q27" s="4"/>
      <c r="R27" s="4"/>
    </row>
    <row r="28" spans="1:18">
      <c r="A28" s="23">
        <v>9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4"/>
      <c r="O28" s="4"/>
      <c r="P28" s="4"/>
      <c r="Q28" s="4"/>
      <c r="R28" s="4"/>
    </row>
    <row r="29" spans="1:18">
      <c r="A29" s="23">
        <v>10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4"/>
      <c r="O29" s="4"/>
      <c r="P29" s="4"/>
      <c r="Q29" s="4"/>
      <c r="R29" s="4"/>
    </row>
    <row r="30" spans="1:1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2">
      <c r="A31" s="33"/>
      <c r="B31" s="33" t="s">
        <v>20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4"/>
      <c r="O31" s="4"/>
      <c r="P31" s="4"/>
      <c r="Q31" s="4"/>
      <c r="R31" s="4"/>
    </row>
    <row r="32" spans="1:18">
      <c r="A32" s="34"/>
      <c r="B32" s="51" t="s">
        <v>0</v>
      </c>
      <c r="C32" s="52"/>
      <c r="D32" s="53"/>
      <c r="E32" s="51" t="s">
        <v>7</v>
      </c>
      <c r="F32" s="52"/>
      <c r="G32" s="53"/>
      <c r="H32" s="51" t="s">
        <v>8</v>
      </c>
      <c r="I32" s="52"/>
      <c r="J32" s="53"/>
      <c r="K32" s="51" t="s">
        <v>9</v>
      </c>
      <c r="L32" s="52"/>
      <c r="M32" s="53"/>
      <c r="N32" s="4"/>
      <c r="O32" s="4"/>
      <c r="P32" s="4"/>
      <c r="Q32" s="5" t="s">
        <v>1</v>
      </c>
      <c r="R32" s="6" t="s">
        <v>2</v>
      </c>
    </row>
    <row r="33" spans="1:21">
      <c r="A33" s="35" t="s">
        <v>3</v>
      </c>
      <c r="B33" s="36" t="s">
        <v>4</v>
      </c>
      <c r="C33" s="36" t="s">
        <v>5</v>
      </c>
      <c r="D33" s="36" t="s">
        <v>6</v>
      </c>
      <c r="E33" s="36" t="s">
        <v>4</v>
      </c>
      <c r="F33" s="36" t="s">
        <v>5</v>
      </c>
      <c r="G33" s="36" t="s">
        <v>6</v>
      </c>
      <c r="H33" s="36" t="s">
        <v>4</v>
      </c>
      <c r="I33" s="36" t="s">
        <v>5</v>
      </c>
      <c r="J33" s="36" t="s">
        <v>6</v>
      </c>
      <c r="K33" s="36" t="s">
        <v>4</v>
      </c>
      <c r="L33" s="36" t="s">
        <v>5</v>
      </c>
      <c r="M33" s="36" t="s">
        <v>6</v>
      </c>
      <c r="N33" s="4"/>
      <c r="O33" s="37" t="s">
        <v>0</v>
      </c>
      <c r="P33" s="38"/>
      <c r="Q33" s="5">
        <f>AVERAGE(D34:D43)</f>
        <v>0.13194444444444445</v>
      </c>
      <c r="R33" s="5">
        <f>STDEV(D34:D43)/SQRT(6)</f>
        <v>2.7251967875484149E-2</v>
      </c>
    </row>
    <row r="34" spans="1:21">
      <c r="A34" s="36">
        <v>1</v>
      </c>
      <c r="B34" s="36">
        <v>2</v>
      </c>
      <c r="C34" s="36">
        <v>24</v>
      </c>
      <c r="D34" s="36">
        <f>B34/C34</f>
        <v>8.3333333333333329E-2</v>
      </c>
      <c r="E34" s="36">
        <v>5</v>
      </c>
      <c r="F34" s="36">
        <v>24</v>
      </c>
      <c r="G34" s="36">
        <f>E34/F34</f>
        <v>0.20833333333333334</v>
      </c>
      <c r="H34" s="36">
        <v>7</v>
      </c>
      <c r="I34" s="36">
        <v>24</v>
      </c>
      <c r="J34" s="36">
        <f>H34/I34</f>
        <v>0.29166666666666669</v>
      </c>
      <c r="K34" s="36">
        <v>12</v>
      </c>
      <c r="L34" s="36">
        <v>24</v>
      </c>
      <c r="M34" s="36">
        <f>K34/L34</f>
        <v>0.5</v>
      </c>
      <c r="N34" s="4"/>
      <c r="O34" s="37" t="s">
        <v>7</v>
      </c>
      <c r="P34" s="38"/>
      <c r="Q34" s="5">
        <f>AVERAGE(G34:G43)</f>
        <v>0.25</v>
      </c>
      <c r="R34" s="5">
        <f>STDEV(G34:G43)/SQRT(6)</f>
        <v>2.8463752127665568E-2</v>
      </c>
      <c r="U34" s="2" t="s">
        <v>14</v>
      </c>
    </row>
    <row r="35" spans="1:21">
      <c r="A35" s="36">
        <v>2</v>
      </c>
      <c r="B35" s="36">
        <v>3</v>
      </c>
      <c r="C35" s="36">
        <v>24</v>
      </c>
      <c r="D35" s="36">
        <f t="shared" ref="D35:D39" si="7">B35/C35</f>
        <v>0.125</v>
      </c>
      <c r="E35" s="36">
        <v>8</v>
      </c>
      <c r="F35" s="36">
        <v>24</v>
      </c>
      <c r="G35" s="36">
        <f t="shared" ref="G35:G39" si="8">E35/F35</f>
        <v>0.33333333333333331</v>
      </c>
      <c r="H35" s="36">
        <v>10</v>
      </c>
      <c r="I35" s="36">
        <v>24</v>
      </c>
      <c r="J35" s="36">
        <f t="shared" ref="J35:J39" si="9">H35/I35</f>
        <v>0.41666666666666669</v>
      </c>
      <c r="K35" s="36">
        <v>13</v>
      </c>
      <c r="L35" s="36">
        <v>24</v>
      </c>
      <c r="M35" s="36">
        <f t="shared" ref="M35:M39" si="10">K35/L35</f>
        <v>0.54166666666666663</v>
      </c>
      <c r="N35" s="4"/>
      <c r="O35" s="37" t="s">
        <v>8</v>
      </c>
      <c r="P35" s="38"/>
      <c r="Q35" s="5">
        <f>AVERAGE(J34:J43)</f>
        <v>0.38194444444444448</v>
      </c>
      <c r="R35" s="5">
        <f>STDEV(J34:J43)/SQRT(6)</f>
        <v>4.4897860764568358E-2</v>
      </c>
    </row>
    <row r="36" spans="1:21">
      <c r="A36" s="36">
        <v>3</v>
      </c>
      <c r="B36" s="36">
        <v>6</v>
      </c>
      <c r="C36" s="36">
        <v>24</v>
      </c>
      <c r="D36" s="36">
        <f t="shared" si="7"/>
        <v>0.25</v>
      </c>
      <c r="E36" s="36">
        <v>8</v>
      </c>
      <c r="F36" s="36">
        <v>24</v>
      </c>
      <c r="G36" s="36">
        <f t="shared" si="8"/>
        <v>0.33333333333333331</v>
      </c>
      <c r="H36" s="36">
        <v>14</v>
      </c>
      <c r="I36" s="36">
        <v>24</v>
      </c>
      <c r="J36" s="36">
        <f t="shared" si="9"/>
        <v>0.58333333333333337</v>
      </c>
      <c r="K36" s="36">
        <v>18</v>
      </c>
      <c r="L36" s="36">
        <v>24</v>
      </c>
      <c r="M36" s="36">
        <f t="shared" si="10"/>
        <v>0.75</v>
      </c>
      <c r="N36" s="4"/>
      <c r="O36" s="37" t="s">
        <v>9</v>
      </c>
      <c r="P36" s="38"/>
      <c r="Q36" s="5">
        <f>AVERAGE(M34:M43)</f>
        <v>0.55555555555555547</v>
      </c>
      <c r="R36" s="5">
        <f>STDEV(M34:M43)/SQRT(6)</f>
        <v>4.1201102706087067E-2</v>
      </c>
    </row>
    <row r="37" spans="1:21">
      <c r="A37" s="36">
        <v>4</v>
      </c>
      <c r="B37" s="36">
        <v>2</v>
      </c>
      <c r="C37" s="36">
        <v>24</v>
      </c>
      <c r="D37" s="36">
        <f t="shared" si="7"/>
        <v>8.3333333333333329E-2</v>
      </c>
      <c r="E37" s="36">
        <v>4</v>
      </c>
      <c r="F37" s="36">
        <v>24</v>
      </c>
      <c r="G37" s="36">
        <f t="shared" si="8"/>
        <v>0.16666666666666666</v>
      </c>
      <c r="H37" s="36">
        <v>7</v>
      </c>
      <c r="I37" s="36">
        <v>24</v>
      </c>
      <c r="J37" s="36">
        <f t="shared" si="9"/>
        <v>0.29166666666666669</v>
      </c>
      <c r="K37" s="36">
        <v>13</v>
      </c>
      <c r="L37" s="36">
        <v>24</v>
      </c>
      <c r="M37" s="36">
        <f t="shared" si="10"/>
        <v>0.54166666666666663</v>
      </c>
      <c r="N37" s="4"/>
      <c r="O37" s="4"/>
      <c r="P37" s="4"/>
      <c r="Q37" s="4"/>
      <c r="R37" s="4"/>
    </row>
    <row r="38" spans="1:21">
      <c r="A38" s="36">
        <v>5</v>
      </c>
      <c r="B38" s="36">
        <v>2</v>
      </c>
      <c r="C38" s="36">
        <v>24</v>
      </c>
      <c r="D38" s="36">
        <f t="shared" si="7"/>
        <v>8.3333333333333329E-2</v>
      </c>
      <c r="E38" s="36">
        <v>6</v>
      </c>
      <c r="F38" s="36">
        <v>24</v>
      </c>
      <c r="G38" s="36">
        <f t="shared" si="8"/>
        <v>0.25</v>
      </c>
      <c r="H38" s="36">
        <v>8</v>
      </c>
      <c r="I38" s="36">
        <v>24</v>
      </c>
      <c r="J38" s="36">
        <f t="shared" si="9"/>
        <v>0.33333333333333331</v>
      </c>
      <c r="K38" s="36">
        <v>13</v>
      </c>
      <c r="L38" s="36">
        <v>24</v>
      </c>
      <c r="M38" s="36">
        <f t="shared" si="10"/>
        <v>0.54166666666666663</v>
      </c>
      <c r="N38" s="4"/>
      <c r="O38" s="4"/>
      <c r="P38" s="4"/>
      <c r="Q38" s="4"/>
      <c r="R38" s="4"/>
    </row>
    <row r="39" spans="1:21">
      <c r="A39" s="36">
        <v>6</v>
      </c>
      <c r="B39" s="36">
        <v>4</v>
      </c>
      <c r="C39" s="36">
        <v>24</v>
      </c>
      <c r="D39" s="36">
        <f t="shared" si="7"/>
        <v>0.16666666666666666</v>
      </c>
      <c r="E39" s="36">
        <v>5</v>
      </c>
      <c r="F39" s="36">
        <v>24</v>
      </c>
      <c r="G39" s="36">
        <f t="shared" si="8"/>
        <v>0.20833333333333334</v>
      </c>
      <c r="H39" s="36">
        <v>9</v>
      </c>
      <c r="I39" s="36">
        <v>24</v>
      </c>
      <c r="J39" s="36">
        <f t="shared" si="9"/>
        <v>0.375</v>
      </c>
      <c r="K39" s="36">
        <v>11</v>
      </c>
      <c r="L39" s="36">
        <v>24</v>
      </c>
      <c r="M39" s="36">
        <f t="shared" si="10"/>
        <v>0.45833333333333331</v>
      </c>
      <c r="N39" s="4"/>
      <c r="O39" s="4"/>
      <c r="P39" s="4"/>
      <c r="Q39" s="4"/>
      <c r="R39" s="4"/>
    </row>
    <row r="40" spans="1:21">
      <c r="A40" s="36">
        <v>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4"/>
      <c r="O40" s="4"/>
      <c r="P40" s="4"/>
      <c r="Q40" s="4"/>
      <c r="R40" s="4"/>
    </row>
    <row r="41" spans="1:21">
      <c r="A41" s="36">
        <v>8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4"/>
      <c r="O41" s="4"/>
      <c r="P41" s="4"/>
      <c r="Q41" s="4"/>
      <c r="R41" s="4"/>
    </row>
    <row r="42" spans="1:21">
      <c r="A42" s="36">
        <v>9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R42" s="4"/>
    </row>
    <row r="43" spans="1:21">
      <c r="A43" s="36">
        <v>10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4"/>
      <c r="O43" s="4"/>
      <c r="P43" s="4"/>
      <c r="Q43" s="4"/>
      <c r="R43" s="4"/>
    </row>
    <row r="45" spans="1:21" ht="12">
      <c r="A45" s="16"/>
      <c r="B45" s="16" t="s">
        <v>22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21">
      <c r="A46" s="17"/>
      <c r="B46" s="54" t="s">
        <v>0</v>
      </c>
      <c r="C46" s="55"/>
      <c r="D46" s="56"/>
      <c r="E46" s="54" t="s">
        <v>7</v>
      </c>
      <c r="F46" s="55"/>
      <c r="G46" s="56"/>
      <c r="H46" s="54" t="s">
        <v>8</v>
      </c>
      <c r="I46" s="55"/>
      <c r="J46" s="56"/>
      <c r="K46" s="54" t="s">
        <v>9</v>
      </c>
      <c r="L46" s="55"/>
      <c r="M46" s="56"/>
      <c r="O46" s="4"/>
      <c r="P46" s="4"/>
      <c r="Q46" s="5" t="s">
        <v>10</v>
      </c>
      <c r="R46" s="6" t="s">
        <v>2</v>
      </c>
    </row>
    <row r="47" spans="1:21">
      <c r="A47" s="18" t="s">
        <v>3</v>
      </c>
      <c r="B47" s="19" t="s">
        <v>4</v>
      </c>
      <c r="C47" s="19" t="s">
        <v>5</v>
      </c>
      <c r="D47" s="19" t="s">
        <v>6</v>
      </c>
      <c r="E47" s="19" t="s">
        <v>4</v>
      </c>
      <c r="F47" s="19" t="s">
        <v>5</v>
      </c>
      <c r="G47" s="19" t="s">
        <v>6</v>
      </c>
      <c r="H47" s="19" t="s">
        <v>4</v>
      </c>
      <c r="I47" s="19" t="s">
        <v>5</v>
      </c>
      <c r="J47" s="19" t="s">
        <v>6</v>
      </c>
      <c r="K47" s="19" t="s">
        <v>4</v>
      </c>
      <c r="L47" s="19" t="s">
        <v>5</v>
      </c>
      <c r="M47" s="19" t="s">
        <v>6</v>
      </c>
      <c r="O47" s="37" t="s">
        <v>0</v>
      </c>
      <c r="P47" s="38"/>
      <c r="Q47" s="5">
        <f>AVERAGE(D48:D57)</f>
        <v>6.25E-2</v>
      </c>
      <c r="R47" s="5">
        <f>STDEV(D48:D57)/SQRT(6)</f>
        <v>3.1823442326082231E-2</v>
      </c>
    </row>
    <row r="48" spans="1:21">
      <c r="A48" s="19">
        <v>1</v>
      </c>
      <c r="B48" s="19">
        <v>0</v>
      </c>
      <c r="C48" s="19">
        <v>24</v>
      </c>
      <c r="D48" s="19">
        <f>B48/C48</f>
        <v>0</v>
      </c>
      <c r="E48" s="19">
        <v>2</v>
      </c>
      <c r="F48" s="19">
        <v>24</v>
      </c>
      <c r="G48" s="19">
        <f>E48/F48</f>
        <v>8.3333333333333329E-2</v>
      </c>
      <c r="H48" s="19">
        <v>2</v>
      </c>
      <c r="I48" s="19">
        <v>24</v>
      </c>
      <c r="J48" s="19">
        <f>H48/I48</f>
        <v>8.3333333333333329E-2</v>
      </c>
      <c r="K48" s="19">
        <v>6</v>
      </c>
      <c r="L48" s="19">
        <v>24</v>
      </c>
      <c r="M48" s="19">
        <f>K48/L48</f>
        <v>0.25</v>
      </c>
      <c r="O48" s="37" t="s">
        <v>7</v>
      </c>
      <c r="P48" s="38"/>
      <c r="Q48" s="5">
        <f>AVERAGE(G48:G57)</f>
        <v>0.14583333333333334</v>
      </c>
      <c r="R48" s="5">
        <f>STDEV(G48:G57)/SQRT(6)</f>
        <v>2.5797466140287106E-2</v>
      </c>
    </row>
    <row r="49" spans="1:18">
      <c r="A49" s="19">
        <v>2</v>
      </c>
      <c r="B49" s="19">
        <v>1</v>
      </c>
      <c r="C49" s="19">
        <v>24</v>
      </c>
      <c r="D49" s="19">
        <f>B49/C49</f>
        <v>4.1666666666666664E-2</v>
      </c>
      <c r="E49" s="19">
        <v>4</v>
      </c>
      <c r="F49" s="19">
        <v>24</v>
      </c>
      <c r="G49" s="19">
        <f t="shared" ref="G49:G53" si="11">E49/F49</f>
        <v>0.16666666666666666</v>
      </c>
      <c r="H49" s="19">
        <v>4</v>
      </c>
      <c r="I49" s="19">
        <v>24</v>
      </c>
      <c r="J49" s="19">
        <f t="shared" ref="J49:J53" si="12">H49/I49</f>
        <v>0.16666666666666666</v>
      </c>
      <c r="K49" s="19">
        <v>7</v>
      </c>
      <c r="L49" s="19">
        <v>24</v>
      </c>
      <c r="M49" s="19">
        <f t="shared" ref="M49:M53" si="13">K49/L49</f>
        <v>0.29166666666666669</v>
      </c>
      <c r="O49" s="37" t="s">
        <v>8</v>
      </c>
      <c r="P49" s="38"/>
      <c r="Q49" s="5">
        <f>AVERAGE(J48:J57)</f>
        <v>0.20138888888888887</v>
      </c>
      <c r="R49" s="5">
        <f>STDEV(J48:J57)/SQRT(6)</f>
        <v>3.7909289066544991E-2</v>
      </c>
    </row>
    <row r="50" spans="1:18">
      <c r="A50" s="19">
        <v>3</v>
      </c>
      <c r="B50" s="19">
        <v>5</v>
      </c>
      <c r="C50" s="19">
        <v>24</v>
      </c>
      <c r="D50" s="19">
        <f>B50/C50</f>
        <v>0.20833333333333334</v>
      </c>
      <c r="E50" s="19">
        <v>6</v>
      </c>
      <c r="F50" s="19">
        <v>24</v>
      </c>
      <c r="G50" s="19">
        <f t="shared" si="11"/>
        <v>0.25</v>
      </c>
      <c r="H50" s="19">
        <v>8</v>
      </c>
      <c r="I50" s="19">
        <v>24</v>
      </c>
      <c r="J50" s="19">
        <f t="shared" si="12"/>
        <v>0.33333333333333331</v>
      </c>
      <c r="K50" s="19">
        <v>13</v>
      </c>
      <c r="L50" s="19">
        <v>24</v>
      </c>
      <c r="M50" s="19">
        <f t="shared" si="13"/>
        <v>0.54166666666666663</v>
      </c>
      <c r="O50" s="37" t="s">
        <v>9</v>
      </c>
      <c r="P50" s="38"/>
      <c r="Q50" s="5">
        <f>AVERAGE(M48:M57)</f>
        <v>0.35416666666666674</v>
      </c>
      <c r="R50" s="5">
        <f>STDEV(M48:M57)/SQRT(6)</f>
        <v>4.7810873550162385E-2</v>
      </c>
    </row>
    <row r="51" spans="1:18">
      <c r="A51" s="19">
        <v>4</v>
      </c>
      <c r="B51" s="19">
        <v>0</v>
      </c>
      <c r="C51" s="19">
        <v>24</v>
      </c>
      <c r="D51" s="19">
        <f>B51/C51</f>
        <v>0</v>
      </c>
      <c r="E51" s="19">
        <v>2</v>
      </c>
      <c r="F51" s="19">
        <v>24</v>
      </c>
      <c r="G51" s="19">
        <f t="shared" si="11"/>
        <v>8.3333333333333329E-2</v>
      </c>
      <c r="H51" s="19">
        <v>4</v>
      </c>
      <c r="I51" s="19">
        <v>24</v>
      </c>
      <c r="J51" s="19">
        <f t="shared" si="12"/>
        <v>0.16666666666666666</v>
      </c>
      <c r="K51" s="19">
        <v>7</v>
      </c>
      <c r="L51" s="19">
        <v>24</v>
      </c>
      <c r="M51" s="19">
        <f t="shared" si="13"/>
        <v>0.29166666666666669</v>
      </c>
    </row>
    <row r="52" spans="1:18">
      <c r="A52" s="19">
        <v>5</v>
      </c>
      <c r="B52" s="19">
        <v>1</v>
      </c>
      <c r="C52" s="19">
        <v>24</v>
      </c>
      <c r="D52" s="19">
        <f t="shared" ref="D52:D53" si="14">B52/C52</f>
        <v>4.1666666666666664E-2</v>
      </c>
      <c r="E52" s="19">
        <v>3</v>
      </c>
      <c r="F52" s="19">
        <v>24</v>
      </c>
      <c r="G52" s="19">
        <f t="shared" si="11"/>
        <v>0.125</v>
      </c>
      <c r="H52" s="19">
        <v>4</v>
      </c>
      <c r="I52" s="19">
        <v>24</v>
      </c>
      <c r="J52" s="19">
        <f t="shared" si="12"/>
        <v>0.16666666666666666</v>
      </c>
      <c r="K52" s="19">
        <v>7</v>
      </c>
      <c r="L52" s="19">
        <v>24</v>
      </c>
      <c r="M52" s="19">
        <f t="shared" si="13"/>
        <v>0.29166666666666669</v>
      </c>
    </row>
    <row r="53" spans="1:18">
      <c r="A53" s="19">
        <v>6</v>
      </c>
      <c r="B53" s="19">
        <v>2</v>
      </c>
      <c r="C53" s="19">
        <v>24</v>
      </c>
      <c r="D53" s="19">
        <f t="shared" si="14"/>
        <v>8.3333333333333329E-2</v>
      </c>
      <c r="E53" s="19">
        <v>4</v>
      </c>
      <c r="F53" s="19">
        <v>24</v>
      </c>
      <c r="G53" s="19">
        <f t="shared" si="11"/>
        <v>0.16666666666666666</v>
      </c>
      <c r="H53" s="19">
        <v>7</v>
      </c>
      <c r="I53" s="19">
        <v>24</v>
      </c>
      <c r="J53" s="19">
        <f t="shared" si="12"/>
        <v>0.29166666666666669</v>
      </c>
      <c r="K53" s="19">
        <v>11</v>
      </c>
      <c r="L53" s="19">
        <v>24</v>
      </c>
      <c r="M53" s="19">
        <f t="shared" si="13"/>
        <v>0.45833333333333331</v>
      </c>
    </row>
    <row r="54" spans="1:18">
      <c r="A54" s="19">
        <v>7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1:18">
      <c r="A55" s="19">
        <v>8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1:18">
      <c r="A56" s="19">
        <v>9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1:18">
      <c r="A57" s="19">
        <v>10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9" spans="1:18" ht="12">
      <c r="A59" s="12"/>
      <c r="B59" s="12" t="s">
        <v>19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8">
      <c r="A60" s="13"/>
      <c r="B60" s="42" t="s">
        <v>0</v>
      </c>
      <c r="C60" s="43"/>
      <c r="D60" s="44"/>
      <c r="E60" s="42" t="s">
        <v>7</v>
      </c>
      <c r="F60" s="43"/>
      <c r="G60" s="44"/>
      <c r="H60" s="42" t="s">
        <v>8</v>
      </c>
      <c r="I60" s="43"/>
      <c r="J60" s="44"/>
      <c r="K60" s="42" t="s">
        <v>9</v>
      </c>
      <c r="L60" s="43"/>
      <c r="M60" s="44"/>
      <c r="O60" s="4"/>
      <c r="P60" s="4"/>
      <c r="Q60" s="5" t="s">
        <v>10</v>
      </c>
      <c r="R60" s="6" t="s">
        <v>2</v>
      </c>
    </row>
    <row r="61" spans="1:18">
      <c r="A61" s="14" t="s">
        <v>3</v>
      </c>
      <c r="B61" s="15" t="s">
        <v>4</v>
      </c>
      <c r="C61" s="15" t="s">
        <v>5</v>
      </c>
      <c r="D61" s="15" t="s">
        <v>6</v>
      </c>
      <c r="E61" s="15" t="s">
        <v>4</v>
      </c>
      <c r="F61" s="15" t="s">
        <v>5</v>
      </c>
      <c r="G61" s="15" t="s">
        <v>6</v>
      </c>
      <c r="H61" s="15" t="s">
        <v>4</v>
      </c>
      <c r="I61" s="15" t="s">
        <v>5</v>
      </c>
      <c r="J61" s="15" t="s">
        <v>6</v>
      </c>
      <c r="K61" s="15" t="s">
        <v>4</v>
      </c>
      <c r="L61" s="15" t="s">
        <v>5</v>
      </c>
      <c r="M61" s="15" t="s">
        <v>6</v>
      </c>
      <c r="O61" s="37" t="s">
        <v>0</v>
      </c>
      <c r="P61" s="38"/>
      <c r="Q61" s="5">
        <f>AVERAGE(D62:D71)</f>
        <v>0.10416666666666667</v>
      </c>
      <c r="R61" s="5">
        <f>STDEV(D62:D71)/SQRT(6)</f>
        <v>1.4231876063832766E-2</v>
      </c>
    </row>
    <row r="62" spans="1:18">
      <c r="A62" s="15">
        <v>1</v>
      </c>
      <c r="B62" s="15">
        <v>2</v>
      </c>
      <c r="C62" s="15">
        <v>24</v>
      </c>
      <c r="D62" s="15">
        <f>B62/C62</f>
        <v>8.3333333333333329E-2</v>
      </c>
      <c r="E62" s="15">
        <v>2</v>
      </c>
      <c r="F62" s="15">
        <v>24</v>
      </c>
      <c r="G62" s="15">
        <f>E62/F62</f>
        <v>8.3333333333333329E-2</v>
      </c>
      <c r="H62" s="15">
        <v>2</v>
      </c>
      <c r="I62" s="15">
        <v>24</v>
      </c>
      <c r="J62" s="15">
        <f>H62/I62</f>
        <v>8.3333333333333329E-2</v>
      </c>
      <c r="K62" s="15">
        <v>3</v>
      </c>
      <c r="L62" s="15">
        <v>24</v>
      </c>
      <c r="M62" s="15">
        <f>K62/L62</f>
        <v>0.125</v>
      </c>
      <c r="O62" s="37" t="s">
        <v>7</v>
      </c>
      <c r="P62" s="38"/>
      <c r="Q62" s="5">
        <f>AVERAGE(G62:G71)</f>
        <v>0.15277777777777776</v>
      </c>
      <c r="R62" s="5">
        <f>STDEV(G62:G71)/SQRT(6)</f>
        <v>2.0600551353043534E-2</v>
      </c>
    </row>
    <row r="63" spans="1:18">
      <c r="A63" s="15">
        <v>2</v>
      </c>
      <c r="B63" s="15">
        <v>3</v>
      </c>
      <c r="C63" s="15">
        <v>24</v>
      </c>
      <c r="D63" s="15">
        <f>B63/C63</f>
        <v>0.125</v>
      </c>
      <c r="E63" s="15">
        <v>3</v>
      </c>
      <c r="F63" s="15">
        <v>24</v>
      </c>
      <c r="G63" s="15">
        <f t="shared" ref="G63:G67" si="15">E63/F63</f>
        <v>0.125</v>
      </c>
      <c r="H63" s="15">
        <v>3</v>
      </c>
      <c r="I63" s="15">
        <v>24</v>
      </c>
      <c r="J63" s="15">
        <f t="shared" ref="J63:J67" si="16">H63/I63</f>
        <v>0.125</v>
      </c>
      <c r="K63" s="15">
        <v>3</v>
      </c>
      <c r="L63" s="15">
        <v>24</v>
      </c>
      <c r="M63" s="15">
        <f t="shared" ref="M63:M67" si="17">K63/L63</f>
        <v>0.125</v>
      </c>
      <c r="O63" s="37" t="s">
        <v>8</v>
      </c>
      <c r="P63" s="38"/>
      <c r="Q63" s="5">
        <f>AVERAGE(J62:J71)</f>
        <v>0.20138888888888887</v>
      </c>
      <c r="R63" s="5">
        <f>STDEV(J62:J71)/SQRT(6)</f>
        <v>4.2241406460404328E-2</v>
      </c>
    </row>
    <row r="64" spans="1:18">
      <c r="A64" s="15">
        <v>3</v>
      </c>
      <c r="B64" s="15">
        <v>2</v>
      </c>
      <c r="C64" s="15">
        <v>24</v>
      </c>
      <c r="D64" s="15">
        <f>B64/C64</f>
        <v>8.3333333333333329E-2</v>
      </c>
      <c r="E64" s="15">
        <v>5</v>
      </c>
      <c r="F64" s="15">
        <v>24</v>
      </c>
      <c r="G64" s="15">
        <f t="shared" si="15"/>
        <v>0.20833333333333334</v>
      </c>
      <c r="H64" s="15">
        <v>8</v>
      </c>
      <c r="I64" s="15">
        <v>24</v>
      </c>
      <c r="J64" s="15">
        <f t="shared" si="16"/>
        <v>0.33333333333333331</v>
      </c>
      <c r="K64" s="15">
        <v>9</v>
      </c>
      <c r="L64" s="15">
        <v>24</v>
      </c>
      <c r="M64" s="15">
        <f t="shared" si="17"/>
        <v>0.375</v>
      </c>
      <c r="O64" s="37" t="s">
        <v>9</v>
      </c>
      <c r="P64" s="38"/>
      <c r="Q64" s="5">
        <f>AVERAGE(M62:M71)</f>
        <v>0.25694444444444448</v>
      </c>
      <c r="R64" s="5">
        <f>STDEV(M62:M71)/SQRT(6)</f>
        <v>4.3589874517986744E-2</v>
      </c>
    </row>
    <row r="65" spans="1:18">
      <c r="A65" s="15">
        <v>4</v>
      </c>
      <c r="B65" s="15">
        <v>2</v>
      </c>
      <c r="C65" s="15">
        <v>24</v>
      </c>
      <c r="D65" s="15">
        <f>B65/C65</f>
        <v>8.3333333333333329E-2</v>
      </c>
      <c r="E65" s="15">
        <v>3</v>
      </c>
      <c r="F65" s="15">
        <v>24</v>
      </c>
      <c r="G65" s="15">
        <f t="shared" si="15"/>
        <v>0.125</v>
      </c>
      <c r="H65" s="15">
        <v>3</v>
      </c>
      <c r="I65" s="15">
        <v>24</v>
      </c>
      <c r="J65" s="15">
        <f t="shared" si="16"/>
        <v>0.125</v>
      </c>
      <c r="K65" s="15">
        <v>7</v>
      </c>
      <c r="L65" s="15">
        <v>24</v>
      </c>
      <c r="M65" s="15">
        <f t="shared" si="17"/>
        <v>0.29166666666666669</v>
      </c>
    </row>
    <row r="66" spans="1:18">
      <c r="A66" s="15">
        <v>5</v>
      </c>
      <c r="B66" s="15">
        <v>4</v>
      </c>
      <c r="C66" s="15">
        <v>24</v>
      </c>
      <c r="D66" s="15">
        <f t="shared" ref="D66:D67" si="18">B66/C66</f>
        <v>0.16666666666666666</v>
      </c>
      <c r="E66" s="15">
        <v>4</v>
      </c>
      <c r="F66" s="15">
        <v>24</v>
      </c>
      <c r="G66" s="15">
        <f t="shared" si="15"/>
        <v>0.16666666666666666</v>
      </c>
      <c r="H66" s="15">
        <v>7</v>
      </c>
      <c r="I66" s="15">
        <v>24</v>
      </c>
      <c r="J66" s="15">
        <f t="shared" si="16"/>
        <v>0.29166666666666669</v>
      </c>
      <c r="K66" s="15">
        <v>8</v>
      </c>
      <c r="L66" s="15">
        <v>24</v>
      </c>
      <c r="M66" s="15">
        <f t="shared" si="17"/>
        <v>0.33333333333333331</v>
      </c>
    </row>
    <row r="67" spans="1:18">
      <c r="A67" s="15">
        <v>6</v>
      </c>
      <c r="B67" s="15">
        <v>2</v>
      </c>
      <c r="C67" s="15">
        <v>24</v>
      </c>
      <c r="D67" s="15">
        <f t="shared" si="18"/>
        <v>8.3333333333333329E-2</v>
      </c>
      <c r="E67" s="15">
        <v>5</v>
      </c>
      <c r="F67" s="15">
        <v>24</v>
      </c>
      <c r="G67" s="15">
        <f t="shared" si="15"/>
        <v>0.20833333333333334</v>
      </c>
      <c r="H67" s="15">
        <v>6</v>
      </c>
      <c r="I67" s="15">
        <v>24</v>
      </c>
      <c r="J67" s="15">
        <f t="shared" si="16"/>
        <v>0.25</v>
      </c>
      <c r="K67" s="15">
        <v>7</v>
      </c>
      <c r="L67" s="15">
        <v>24</v>
      </c>
      <c r="M67" s="15">
        <f t="shared" si="17"/>
        <v>0.29166666666666669</v>
      </c>
    </row>
    <row r="68" spans="1:18">
      <c r="A68" s="15">
        <v>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8">
      <c r="A69" s="15">
        <v>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8">
      <c r="A70" s="15">
        <v>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8">
      <c r="A71" s="15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3" spans="1:18" ht="12">
      <c r="A73" s="29"/>
      <c r="B73" s="29" t="s">
        <v>18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</row>
    <row r="74" spans="1:18">
      <c r="A74" s="30"/>
      <c r="B74" s="39" t="s">
        <v>0</v>
      </c>
      <c r="C74" s="40"/>
      <c r="D74" s="41"/>
      <c r="E74" s="39" t="s">
        <v>7</v>
      </c>
      <c r="F74" s="40"/>
      <c r="G74" s="41"/>
      <c r="H74" s="39" t="s">
        <v>8</v>
      </c>
      <c r="I74" s="40"/>
      <c r="J74" s="41"/>
      <c r="K74" s="39" t="s">
        <v>9</v>
      </c>
      <c r="L74" s="40"/>
      <c r="M74" s="41"/>
      <c r="O74" s="4"/>
      <c r="P74" s="4"/>
      <c r="Q74" s="5" t="s">
        <v>10</v>
      </c>
      <c r="R74" s="6" t="s">
        <v>2</v>
      </c>
    </row>
    <row r="75" spans="1:18">
      <c r="A75" s="31" t="s">
        <v>3</v>
      </c>
      <c r="B75" s="32" t="s">
        <v>4</v>
      </c>
      <c r="C75" s="32" t="s">
        <v>5</v>
      </c>
      <c r="D75" s="32" t="s">
        <v>6</v>
      </c>
      <c r="E75" s="32" t="s">
        <v>4</v>
      </c>
      <c r="F75" s="32" t="s">
        <v>5</v>
      </c>
      <c r="G75" s="32" t="s">
        <v>6</v>
      </c>
      <c r="H75" s="32" t="s">
        <v>4</v>
      </c>
      <c r="I75" s="32" t="s">
        <v>5</v>
      </c>
      <c r="J75" s="32" t="s">
        <v>6</v>
      </c>
      <c r="K75" s="32" t="s">
        <v>4</v>
      </c>
      <c r="L75" s="32" t="s">
        <v>5</v>
      </c>
      <c r="M75" s="32" t="s">
        <v>6</v>
      </c>
      <c r="O75" s="37" t="s">
        <v>0</v>
      </c>
      <c r="P75" s="38"/>
      <c r="Q75" s="5">
        <f>AVERAGE(D76:D85)</f>
        <v>7.6388888888888881E-2</v>
      </c>
      <c r="R75" s="5">
        <f>STDEV(D76:D85)/SQRT(6)</f>
        <v>1.2804922857351235E-2</v>
      </c>
    </row>
    <row r="76" spans="1:18">
      <c r="A76" s="32">
        <v>1</v>
      </c>
      <c r="B76" s="32">
        <v>3</v>
      </c>
      <c r="C76" s="32">
        <v>24</v>
      </c>
      <c r="D76" s="32">
        <f>B76/C76</f>
        <v>0.125</v>
      </c>
      <c r="E76" s="32">
        <v>2</v>
      </c>
      <c r="F76" s="32">
        <v>24</v>
      </c>
      <c r="G76" s="32">
        <f>E76/F76</f>
        <v>8.3333333333333329E-2</v>
      </c>
      <c r="H76" s="32">
        <v>2</v>
      </c>
      <c r="I76" s="32">
        <v>24</v>
      </c>
      <c r="J76" s="32">
        <f>H76/I76</f>
        <v>8.3333333333333329E-2</v>
      </c>
      <c r="K76" s="32">
        <v>2</v>
      </c>
      <c r="L76" s="32">
        <v>24</v>
      </c>
      <c r="M76" s="32">
        <f>K76/L76</f>
        <v>8.3333333333333329E-2</v>
      </c>
      <c r="O76" s="37" t="s">
        <v>7</v>
      </c>
      <c r="P76" s="38"/>
      <c r="Q76" s="5">
        <f>AVERAGE(G76:G85)</f>
        <v>9.0277777777777776E-2</v>
      </c>
      <c r="R76" s="5">
        <f>STDEV(G76:G85)/SQRT(6)</f>
        <v>1.2804922857351244E-2</v>
      </c>
    </row>
    <row r="77" spans="1:18">
      <c r="A77" s="32">
        <v>2</v>
      </c>
      <c r="B77" s="32">
        <v>2</v>
      </c>
      <c r="C77" s="32">
        <v>24</v>
      </c>
      <c r="D77" s="32">
        <f>B77/C77</f>
        <v>8.3333333333333329E-2</v>
      </c>
      <c r="E77" s="32">
        <v>3</v>
      </c>
      <c r="F77" s="32">
        <v>24</v>
      </c>
      <c r="G77" s="32">
        <f t="shared" ref="G77:G81" si="19">E77/F77</f>
        <v>0.125</v>
      </c>
      <c r="H77" s="32">
        <v>3</v>
      </c>
      <c r="I77" s="32">
        <v>24</v>
      </c>
      <c r="J77" s="32">
        <f t="shared" ref="J77:J81" si="20">H77/I77</f>
        <v>0.125</v>
      </c>
      <c r="K77" s="32">
        <v>3</v>
      </c>
      <c r="L77" s="32">
        <v>24</v>
      </c>
      <c r="M77" s="32">
        <f t="shared" ref="M77:M81" si="21">K77/L77</f>
        <v>0.125</v>
      </c>
      <c r="O77" s="37" t="s">
        <v>8</v>
      </c>
      <c r="P77" s="38"/>
      <c r="Q77" s="5">
        <f>AVERAGE(J76:J85)</f>
        <v>0.125</v>
      </c>
      <c r="R77" s="5">
        <f>STDEV(J76:J85)/SQRT(6)</f>
        <v>1.8633899812498269E-2</v>
      </c>
    </row>
    <row r="78" spans="1:18">
      <c r="A78" s="32">
        <v>3</v>
      </c>
      <c r="B78" s="32">
        <v>2</v>
      </c>
      <c r="C78" s="32">
        <v>24</v>
      </c>
      <c r="D78" s="32">
        <f>B78/C78</f>
        <v>8.3333333333333329E-2</v>
      </c>
      <c r="E78" s="32">
        <v>3</v>
      </c>
      <c r="F78" s="32">
        <v>24</v>
      </c>
      <c r="G78" s="32">
        <f t="shared" si="19"/>
        <v>0.125</v>
      </c>
      <c r="H78" s="32">
        <v>3</v>
      </c>
      <c r="I78" s="32">
        <v>24</v>
      </c>
      <c r="J78" s="32">
        <f t="shared" si="20"/>
        <v>0.125</v>
      </c>
      <c r="K78" s="32">
        <v>6</v>
      </c>
      <c r="L78" s="32">
        <v>24</v>
      </c>
      <c r="M78" s="32">
        <f t="shared" si="21"/>
        <v>0.25</v>
      </c>
      <c r="O78" s="37" t="s">
        <v>9</v>
      </c>
      <c r="P78" s="38"/>
      <c r="Q78" s="5">
        <f>AVERAGE(M76:M85)</f>
        <v>0.16666666666666666</v>
      </c>
      <c r="R78" s="5">
        <f>STDEV(M76:M85)/SQRT(6)</f>
        <v>3.2274861218395158E-2</v>
      </c>
    </row>
    <row r="79" spans="1:18">
      <c r="A79" s="32">
        <v>4</v>
      </c>
      <c r="B79" s="32">
        <v>1</v>
      </c>
      <c r="C79" s="32">
        <v>24</v>
      </c>
      <c r="D79" s="32">
        <f>B79/C79</f>
        <v>4.1666666666666664E-2</v>
      </c>
      <c r="E79" s="32">
        <v>1</v>
      </c>
      <c r="F79" s="32">
        <v>24</v>
      </c>
      <c r="G79" s="32">
        <f t="shared" si="19"/>
        <v>4.1666666666666664E-2</v>
      </c>
      <c r="H79" s="32">
        <v>2</v>
      </c>
      <c r="I79" s="32">
        <v>24</v>
      </c>
      <c r="J79" s="32">
        <f t="shared" si="20"/>
        <v>8.3333333333333329E-2</v>
      </c>
      <c r="K79" s="32">
        <v>2</v>
      </c>
      <c r="L79" s="32">
        <v>24</v>
      </c>
      <c r="M79" s="32">
        <f t="shared" si="21"/>
        <v>8.3333333333333329E-2</v>
      </c>
    </row>
    <row r="80" spans="1:18">
      <c r="A80" s="32">
        <v>5</v>
      </c>
      <c r="B80" s="32">
        <v>1</v>
      </c>
      <c r="C80" s="32">
        <v>24</v>
      </c>
      <c r="D80" s="32">
        <f t="shared" ref="D80:D81" si="22">B80/C80</f>
        <v>4.1666666666666664E-2</v>
      </c>
      <c r="E80" s="32">
        <v>2</v>
      </c>
      <c r="F80" s="32">
        <v>24</v>
      </c>
      <c r="G80" s="32">
        <f t="shared" si="19"/>
        <v>8.3333333333333329E-2</v>
      </c>
      <c r="H80" s="32">
        <v>5</v>
      </c>
      <c r="I80" s="32">
        <v>24</v>
      </c>
      <c r="J80" s="32">
        <f t="shared" si="20"/>
        <v>0.20833333333333334</v>
      </c>
      <c r="K80" s="32">
        <v>6</v>
      </c>
      <c r="L80" s="32">
        <v>24</v>
      </c>
      <c r="M80" s="32">
        <f t="shared" si="21"/>
        <v>0.25</v>
      </c>
    </row>
    <row r="81" spans="1:13">
      <c r="A81" s="32">
        <v>6</v>
      </c>
      <c r="B81" s="32">
        <v>2</v>
      </c>
      <c r="C81" s="32">
        <v>24</v>
      </c>
      <c r="D81" s="32">
        <f t="shared" si="22"/>
        <v>8.3333333333333329E-2</v>
      </c>
      <c r="E81" s="32">
        <v>2</v>
      </c>
      <c r="F81" s="32">
        <v>24</v>
      </c>
      <c r="G81" s="32">
        <f t="shared" si="19"/>
        <v>8.3333333333333329E-2</v>
      </c>
      <c r="H81" s="32">
        <v>3</v>
      </c>
      <c r="I81" s="32">
        <v>24</v>
      </c>
      <c r="J81" s="32">
        <f t="shared" si="20"/>
        <v>0.125</v>
      </c>
      <c r="K81" s="32">
        <v>5</v>
      </c>
      <c r="L81" s="32">
        <v>24</v>
      </c>
      <c r="M81" s="32">
        <f t="shared" si="21"/>
        <v>0.20833333333333334</v>
      </c>
    </row>
    <row r="82" spans="1:13">
      <c r="A82" s="32">
        <v>7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>
      <c r="A83" s="32">
        <v>8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>
      <c r="A84" s="32">
        <v>9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>
      <c r="A85" s="32">
        <v>10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</sheetData>
  <mergeCells count="48">
    <mergeCell ref="H32:J32"/>
    <mergeCell ref="K4:M4"/>
    <mergeCell ref="B46:D46"/>
    <mergeCell ref="E46:G46"/>
    <mergeCell ref="H46:J46"/>
    <mergeCell ref="K18:M18"/>
    <mergeCell ref="K32:M32"/>
    <mergeCell ref="K46:M46"/>
    <mergeCell ref="B32:D32"/>
    <mergeCell ref="E32:G32"/>
    <mergeCell ref="B4:D4"/>
    <mergeCell ref="E4:G4"/>
    <mergeCell ref="O5:P5"/>
    <mergeCell ref="O6:P6"/>
    <mergeCell ref="B18:D18"/>
    <mergeCell ref="E18:G18"/>
    <mergeCell ref="H4:J4"/>
    <mergeCell ref="H18:J18"/>
    <mergeCell ref="O61:P61"/>
    <mergeCell ref="O36:P36"/>
    <mergeCell ref="O49:P49"/>
    <mergeCell ref="O50:P50"/>
    <mergeCell ref="O7:P7"/>
    <mergeCell ref="O8:P8"/>
    <mergeCell ref="O21:P21"/>
    <mergeCell ref="O22:P22"/>
    <mergeCell ref="O35:P35"/>
    <mergeCell ref="O47:P47"/>
    <mergeCell ref="O48:P48"/>
    <mergeCell ref="O34:P34"/>
    <mergeCell ref="O19:P19"/>
    <mergeCell ref="O20:P20"/>
    <mergeCell ref="O33:P33"/>
    <mergeCell ref="B74:D74"/>
    <mergeCell ref="E74:G74"/>
    <mergeCell ref="H74:J74"/>
    <mergeCell ref="K74:M74"/>
    <mergeCell ref="B60:D60"/>
    <mergeCell ref="E60:G60"/>
    <mergeCell ref="H60:J60"/>
    <mergeCell ref="K60:M60"/>
    <mergeCell ref="O75:P75"/>
    <mergeCell ref="O76:P76"/>
    <mergeCell ref="O77:P77"/>
    <mergeCell ref="O78:P78"/>
    <mergeCell ref="O62:P62"/>
    <mergeCell ref="O63:P63"/>
    <mergeCell ref="O64:P6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atGRN,stGRN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W.P.D.M,DE SILVA(구강생물학교실)</cp:lastModifiedBy>
  <dcterms:created xsi:type="dcterms:W3CDTF">2022-02-16T08:52:50Z</dcterms:created>
  <dcterms:modified xsi:type="dcterms:W3CDTF">2025-07-28T03:39:47Z</dcterms:modified>
</cp:coreProperties>
</file>